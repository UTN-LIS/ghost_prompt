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eval" sheetId="1" r:id="rId5"/>
    <sheet state="visible" name="mbpp" sheetId="2" r:id="rId6"/>
    <sheet state="visible" name="Sheet5" sheetId="3" r:id="rId7"/>
    <sheet state="visible" name="Análisis_Fallos_HE" sheetId="4" r:id="rId8"/>
    <sheet state="visible" name="Análisis_Fallos_MBPP" sheetId="5" r:id="rId9"/>
    <sheet state="visible" name="Sheet7" sheetId="6" r:id="rId10"/>
  </sheets>
  <definedNames/>
  <calcPr/>
</workbook>
</file>

<file path=xl/sharedStrings.xml><?xml version="1.0" encoding="utf-8"?>
<sst xmlns="http://schemas.openxmlformats.org/spreadsheetml/2006/main" count="2685" uniqueCount="1555">
  <si>
    <t>task_id</t>
  </si>
  <si>
    <t>dataset</t>
  </si>
  <si>
    <t>sample</t>
  </si>
  <si>
    <t>method</t>
  </si>
  <si>
    <t>passed</t>
  </si>
  <si>
    <t>failed</t>
  </si>
  <si>
    <t>error</t>
  </si>
  <si>
    <t>prompt</t>
  </si>
  <si>
    <t>raw_output</t>
  </si>
  <si>
    <t>code</t>
  </si>
  <si>
    <t>output_tokens</t>
  </si>
  <si>
    <t>gen_time_s</t>
  </si>
  <si>
    <t>mean_entropy</t>
  </si>
  <si>
    <t>model_name</t>
  </si>
  <si>
    <t>max_entropy</t>
  </si>
  <si>
    <t>mean_margin</t>
  </si>
  <si>
    <t>min_margin</t>
  </si>
  <si>
    <t>error_type</t>
  </si>
  <si>
    <t>error_message</t>
  </si>
  <si>
    <t>n_tokens</t>
  </si>
  <si>
    <t>entropy_mean</t>
  </si>
  <si>
    <t>entropy_std</t>
  </si>
  <si>
    <t>stderr_tail</t>
  </si>
  <si>
    <t>entropy_min</t>
  </si>
  <si>
    <t>stdout_tail</t>
  </si>
  <si>
    <t>entropy_max</t>
  </si>
  <si>
    <t>entropy_range</t>
  </si>
  <si>
    <t>entropy_p90</t>
  </si>
  <si>
    <t>model_prompt</t>
  </si>
  <si>
    <t>entropy_p95</t>
  </si>
  <si>
    <t>entry_point</t>
  </si>
  <si>
    <t>entropy_p99</t>
  </si>
  <si>
    <t>margin_mean</t>
  </si>
  <si>
    <t>do_sample</t>
  </si>
  <si>
    <t>margin_std</t>
  </si>
  <si>
    <t>temperature</t>
  </si>
  <si>
    <t>margin_min</t>
  </si>
  <si>
    <t>top_p</t>
  </si>
  <si>
    <t>margin_p01</t>
  </si>
  <si>
    <t>prompt_tokens</t>
  </si>
  <si>
    <t>margin_p05</t>
  </si>
  <si>
    <t>margin_p10</t>
  </si>
  <si>
    <t>n_entropy_gt_0_5</t>
  </si>
  <si>
    <t>tokens_per_second</t>
  </si>
  <si>
    <t>n_entropy_gt_1_0</t>
  </si>
  <si>
    <t>n_entropy_gt_1_5</t>
  </si>
  <si>
    <t>n_entropy_gt_2_0</t>
  </si>
  <si>
    <t>frac_entropy_gt_0_5</t>
  </si>
  <si>
    <t>frac_entropy_gt_1_0</t>
  </si>
  <si>
    <t>frac_entropy_gt_1_5</t>
  </si>
  <si>
    <t>n_margin_lt_0_05</t>
  </si>
  <si>
    <t>n_margin_lt_0_10</t>
  </si>
  <si>
    <t>n_margin_lt_0_25</t>
  </si>
  <si>
    <t>Promedio de Entropía en HumanEval (Éxitos)</t>
  </si>
  <si>
    <t>n_margin_lt_0_50</t>
  </si>
  <si>
    <t>entropy_delta_abs_mean</t>
  </si>
  <si>
    <t>entropy_median</t>
  </si>
  <si>
    <t>entropy_delta_abs_max</t>
  </si>
  <si>
    <t>entropy_delta_std</t>
  </si>
  <si>
    <t>entropy_p75</t>
  </si>
  <si>
    <t>longest_entropy_gt_0_5_run</t>
  </si>
  <si>
    <t>longest_entropy_gt_1_0_run</t>
  </si>
  <si>
    <t>longest_entropy_gt_1_5_run</t>
  </si>
  <si>
    <t>peak_valley_spikes</t>
  </si>
  <si>
    <t>burst_spike_run</t>
  </si>
  <si>
    <t>code_lines</t>
  </si>
  <si>
    <t>code_chars</t>
  </si>
  <si>
    <t>raw_output_chars</t>
  </si>
  <si>
    <t>group</t>
  </si>
  <si>
    <t>HumanEval/0</t>
  </si>
  <si>
    <t>humaneval</t>
  </si>
  <si>
    <t>baseline_deterministic</t>
  </si>
  <si>
    <t>margin_max</t>
  </si>
  <si>
    <t>margin_median</t>
  </si>
  <si>
    <t>{'type': None}</t>
  </si>
  <si>
    <t>Promedios (Éxito)</t>
  </si>
  <si>
    <t xml:space="preserve">from typing import List
def has_close_elements(numbers: List[float], threshold: float) -&gt; bool:
    """ Check if in given list of numbers, are any two numbers closer to each other than
    given threshold.
    &gt;&gt;&gt; has_close_elements([1.0, 2.0, 3.0], 0.5)
    False
    &gt;&gt;&gt; has_close_elements([1.0, 2.8, 3.0, 4.0, 5.0, 2.0], 0.3)
    True
    """
</t>
  </si>
  <si>
    <t>```python
from typing import List
def has_close_elements(numbers: List[float], threshold: float) -&gt; bool:
    for i in range(len(numbers)):
        for j in range(i + 1, len(numbers)):
            if abs(numbers[i] - numbers[j]) &lt; threshold:
                return True
    return False
```</t>
  </si>
  <si>
    <t>margin_p25</t>
  </si>
  <si>
    <t>from typing import List
def has_close_elements(numbers: List[float], threshold: float) -&gt; bool:
    for i in range(len(numbers)):
        for j in range(i + 1, len(numbers)):
            if abs(numbers[i] - numbers[j]) &lt; threshold:
                return True
    return False</t>
  </si>
  <si>
    <t>entropy_count_gt_0_5</t>
  </si>
  <si>
    <t>entropy_count_gt_1_0</t>
  </si>
  <si>
    <t>entropy_count_gt_1_5</t>
  </si>
  <si>
    <t>entropy_count_gt_2_0</t>
  </si>
  <si>
    <t>entropy_frac_gt_0_5</t>
  </si>
  <si>
    <t>entropy_frac_gt_1_0</t>
  </si>
  <si>
    <t>entropy_frac_gt_1_5</t>
  </si>
  <si>
    <t>entropy_frac_gt_2_0</t>
  </si>
  <si>
    <t>margin_count_lt_0_1</t>
  </si>
  <si>
    <t>margin_count_lt_0_25</t>
  </si>
  <si>
    <t>Mean Entropy</t>
  </si>
  <si>
    <t>margin_count_lt_0_5</t>
  </si>
  <si>
    <t>margin_count_lt_1_0</t>
  </si>
  <si>
    <t>Max Entropy</t>
  </si>
  <si>
    <t>margin_frac_lt_0_1</t>
  </si>
  <si>
    <t>margin_frac_lt_0_25</t>
  </si>
  <si>
    <t>Mean Margin</t>
  </si>
  <si>
    <t>margin_frac_lt_0_5</t>
  </si>
  <si>
    <t>margin_frac_lt_1_0</t>
  </si>
  <si>
    <t>first_entropy_gt_1_0_t</t>
  </si>
  <si>
    <t>Min Margin</t>
  </si>
  <si>
    <t>first_entropy_gt_1_5_t</t>
  </si>
  <si>
    <t>first_entropy_gt_2_0_t</t>
  </si>
  <si>
    <t>first_margin_lt_0_25_t</t>
  </si>
  <si>
    <t>first_margin_lt_0_5_t</t>
  </si>
  <si>
    <t>top10_entropy_tokens</t>
  </si>
  <si>
    <t>top10_low_margin_tokens</t>
  </si>
  <si>
    <t>prompt_chars</t>
  </si>
  <si>
    <t>Pass</t>
  </si>
  <si>
    <t>model_prompt_chars</t>
  </si>
  <si>
    <t>HumanEval/1</t>
  </si>
  <si>
    <t>Promedio</t>
  </si>
  <si>
    <t>raw_output_lines</t>
  </si>
  <si>
    <t xml:space="preserve">from typing import List
def separate_paren_groups(paren_string: str) -&gt; List[str]:
    """ Input to this function is a string containing multiple groups of nested parentheses. Your goal is to
    separate those group into separate strings and return the list of those.
    Separate groups are balanced (each open brace is properly closed) and not nested within each other
    Ignore any spaces in the input string.
    &gt;&gt;&gt; separate_paren_groups('( ) (( )) (( )( ))')
    ['()', '(())', '(()())']
    """
</t>
  </si>
  <si>
    <t>code_has_def</t>
  </si>
  <si>
    <t>code_has_import</t>
  </si>
  <si>
    <t>```python
from typing import List
def separate_paren_groups(paren_string: str) -&gt; List[str]:
    result = []
    current_group = []
    depth = 0
    for char in paren_string.replace(' ', ''):
        if char == '(':
            depth += 1
            current_group.append(char)
        elif char == ')':
            depth -= 1
            current_group.append(char)
            if depth == 0:
                result.append(''.join(current_group))
                current_group = []
    return result
```</t>
  </si>
  <si>
    <t>raw_output_has_markdown_fence</t>
  </si>
  <si>
    <t>from typing import List
def separate_paren_groups(paren_string: str) -&gt; List[str]:
    result = []
    current_group = []
    depth = 0
    for char in paren_string.replace(' ', ''):
        if char == '(':
            depth += 1
            current_group.append(char)
        elif char == ')':
            depth -= 1
            current_group.append(char)
            if depth == 0:
                result.append(''.join(current_group))
                current_group = []
    return result</t>
  </si>
  <si>
    <t>token_rows</t>
  </si>
  <si>
    <t>mbpp_11</t>
  </si>
  <si>
    <t>mbpp</t>
  </si>
  <si>
    <t>Qwen/Qwen2.5-Coder-7B-Instruct</t>
  </si>
  <si>
    <t>HumanEval/2</t>
  </si>
  <si>
    <t xml:space="preserve">
def truncate_number(number: float) -&gt; float:
    """ Given a positive floating point number, it can be decomposed into
    and integer part (largest integer smaller than given number) and decimals
    (leftover part always smaller than 1).
    Return the decimal part of the number.
    &gt;&gt;&gt; truncate_number(3.5)
    0.5
    """
</t>
  </si>
  <si>
    <t>```python
def truncate_number(number: float) -&gt; float:
    return number - int(number)
```</t>
  </si>
  <si>
    <t>Promedio de Entropía en HumanEval (Fallos)</t>
  </si>
  <si>
    <t>def truncate_number(number: float) -&gt; float:
    return number - int(number)</t>
  </si>
  <si>
    <t>Write a python function to remove first and last occurrence of a given character from the string.</t>
  </si>
  <si>
    <t xml:space="preserve">&lt;|im_start|&gt;system
You are an expert Python competitive programmer.&lt;|im_end|&gt;
&lt;|im_start|&gt;user
Solve the following Python programming task. Return only valid Python code. Do not use Markdown. Do not explain.Task:Write a python function to remove first and last occurrence of a given character from the string.Required tests include:assert remove_Occ("hello","l") == "heo"assert remove_Occ("abcda","a") == "bcd"assert remove_Occ("PHP","P") == "H"&lt;|im_end|&gt;
&lt;|im_start|&gt;assistant
</t>
  </si>
  <si>
    <t>```python
def remove_Occ(s, ch):
    # Find the index of the first occurrence of the character
    first_occurrence = s.find(ch)
    if first_occurrence != -1:
        # Remove the first occurrence by slicing the string
        s = s[:first_occurrence] + s[first_occurrence+1:]
    # Find the index of the last occurrence of the character
    last_occurrence = s.rfind(ch)
    if last_occurrence != -1:
        # Remove the last occurrence by slicing the string
        s = s[:last_occurrence] + s[last_occurrence+1:]
    return s
# Test cases
assert remove_Occ("hello", "l") == "heo"
assert remove_Occ("abcda", "a") == "bcd"
assert remove_Occ("PHP", "P") == "H"
```</t>
  </si>
  <si>
    <t>def remove_Occ(s, ch):
    # Find the index of the first occurrence of the character
    first_occurrence = s.find(ch)
    if first_occurrence != -1:
        # Remove the first occurrence by slicing the string
        s = s[:first_occurrence] + s[first_occurrence+1:]
    # Find the index of the last occurrence of the character
    last_occurrence = s.rfind(ch)
    if last_occurrence != -1:
        # Remove the last occurrence by slicing the string
        s = s[:last_occurrence] + s[last_occurrence+1:]
    return s
# Test cases
assert remove_Occ("hello", "l") == "heo"
assert remove_Occ("abcda", "a") == "bcd"
assert remove_Occ("PHP", "P") == "H"</t>
  </si>
  <si>
    <t>HumanEval/3</t>
  </si>
  <si>
    <t xml:space="preserve">from typing import List
def below_zero(operations: List[int]) -&gt; bool:
    """ 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
</t>
  </si>
  <si>
    <t>```python
from typing import List
def below_zero(operations: List[int]) -&gt; bool:
    balance = 0
    for operation in operations:
        balance += operation
        if balance &lt; 0:
            return True
    return False
```</t>
  </si>
  <si>
    <t>from typing import List
def below_zero(operations: List[int]) -&gt; bool:
    balance = 0
    for operation in operations:
        balance += operation
        if balance &lt; 0:
            return True
    return False</t>
  </si>
  <si>
    <t>Dif(fallo-exito)</t>
  </si>
  <si>
    <t>HumanEval/4</t>
  </si>
  <si>
    <t xml:space="preserve">from typing import List
def mean_absolute_deviation(numbers: List[float]) -&gt; float:
    """ For a given list of input numbers, calculate Mean Absolute Deviation
    around the mean of this dataset.
    Mean Absolute Deviation is the average absolute difference between each
    element and a centerpoint (mean in this case):
    MAD = average | x - x_mean |
    &gt;&gt;&gt; mean_absolute_deviation([1.0, 2.0, 3.0, 4.0])
    1.0
    """
</t>
  </si>
  <si>
    <t>```python
from typing import List
def mean_absolute_deviation(numbers: List[float]) -&gt; float:
    mean = sum(numbers) / len(numbers)
    return sum(abs(x - mean) for x in numbers) / len(numbers)
```</t>
  </si>
  <si>
    <t>from typing import List
def mean_absolute_deviation(numbers: List[float]) -&gt; float:
    mean = sum(numbers) / len(numbers)
    return sum(abs(x - mean) for x in numbers) / len(numbers)</t>
  </si>
  <si>
    <t>t=25|entropy=2.4716|tok=' first' ; t=7|entropy=2.0831|tok='(s' ; t=12|entropy=1.4540|tok=' #' ; t=9|entropy=1.2003|tok=' ch' ; t=26|entropy=1.0201|tok='_occ' ; t=21|entropy=0.9412|tok=' the' ; t=13|entropy=0.9103|tok=' Find' ; t=51|entropy=0.8400|tok=' the' ; t=49|entropy=0.8053|tok=' by' ; t=0|entropy=0.7481|tok='```'</t>
  </si>
  <si>
    <t>t=35|margin=0.0099|tok=' if' ; t=7|margin=0.0469|tok='(s' ; t=74|margin=0.0497|tok=' Find' ; t=49|margin=0.0625|tok=' by' ; t=51|margin=0.2557|tok=' the' ; t=26|margin=0.3438|tok='_occ' ; t=33|margin=0.7401|tok='    \\n' ; t=186|margin=0.9531|tok='```' ; t=21|margin=0.9943|tok=' the' ; t=9|margin=1.0625|tok=' ch'</t>
  </si>
  <si>
    <t>HumanEval/5</t>
  </si>
  <si>
    <t>Promedio de Entropía en MBPP (Éxitos):</t>
  </si>
  <si>
    <t xml:space="preserve">from typing import List
def intersperse(numbers: List[int], delimeter: int) -&gt; List[int]:
    """ Insert a number 'delimeter' between every two consecutive elements of input list `numbers'
    &gt;&gt;&gt; intersperse([], 4)
    []
    &gt;&gt;&gt; intersperse([1, 2, 3], 4)
    [1, 4, 2, 4, 3]
    """
</t>
  </si>
  <si>
    <t>```python
from typing import List
def intersperse(numbers: List[int], delimiter: int) -&gt; List[int]:
    result = []
    for i, num in enumerate(numbers):
        result.append(num)
        if i &lt; len(numbers) - 1:
            result.append(delimiter)
    return result
```</t>
  </si>
  <si>
    <t>mbpp_12</t>
  </si>
  <si>
    <t>from typing import List
def intersperse(numbers: List[int], delimiter: int) -&gt; List[int]:
    result = []
    for i, num in enumerate(numbers):
        result.append(num)
        if i &lt; len(numbers) - 1:
            result.append(delimiter)
    return result</t>
  </si>
  <si>
    <t>Write a function to sort a given matrix in ascending order according to the sum of its rows.</t>
  </si>
  <si>
    <t xml:space="preserve">&lt;|im_start|&gt;system
You are an expert Python competitive programmer.&lt;|im_end|&gt;
&lt;|im_start|&gt;user
Solve the following Python programming task. Return only valid Python code. Do not use Markdown. Do not explain.Task:Write a function to sort a given matrix in ascending order according to the sum of its rows.Required tests include:assert sort_matrix([[1, 2, 3], [2, 4, 5], [1, 1, 1]])==[[1, 1, 1], [1, 2, 3], [2, 4, 5]]assert sort_matrix([[1, 2, 3], [-2, 4, -5], [1, -1, 1]])==[[-2, 4, -5], [1, -1, 1], [1, 2, 3]]assert sort_matrix([[5,8,9],[6,4,3],[2,1,4]])==[[2, 1, 4], [6, 4, 3], [5, 8, 9]]&lt;|im_end|&gt;
&lt;|im_start|&gt;assistant
</t>
  </si>
  <si>
    <t>```python
def sort_matrix(matrix):
    # Sort the matrix based on the sum of each row
    return sorted(matrix, key=sum)
```</t>
  </si>
  <si>
    <t>def sort_matrix(matrix):
    # Sort the matrix based on the sum of each row
    return sorted(matrix, key=sum)</t>
  </si>
  <si>
    <t>HumanEval/6</t>
  </si>
  <si>
    <t xml:space="preserve">from typing import List
def parse_nested_parens(paren_string: str) -&gt; List[int]:
    """ Input to this function is a string represented multiple groups for nested parentheses separated by spaces.
    For each of the group, output the deepest level of nesting of parentheses.
    E.g. (()()) has maximum two levels of nesting while ((())) has three.
    &gt;&gt;&gt; parse_nested_parens('(()()) ((())) () ((())()())')
    [2, 3, 1, 3]
    """
</t>
  </si>
  <si>
    <t>```python
from typing import List
def parse_nested_parens(paren_string: str) -&gt; List[int]:
    result = []
    for group in paren_string.split():
        depth = max_depth = 0
        for char in group:
            if char == '(':
                depth += 1
                max_depth = max(max_depth, depth)
            elif char == ')':
                depth -= 1
        result.append(max_depth)
    return result
```</t>
  </si>
  <si>
    <t>Promedio de Entropía en MBPP (Fallos):</t>
  </si>
  <si>
    <t>from typing import List
def parse_nested_parens(paren_string: str) -&gt; List[int]:
    result = []
    for group in paren_string.split():
        depth = max_depth = 0
        for char in group:
            if char == '(':
                depth += 1
                max_depth = max(max_depth, depth)
            elif char == ')':
                depth -= 1
        result.append(max_depth)
    return result</t>
  </si>
  <si>
    <t>t=6|entropy=1.6435|tok='(matrix' ; t=18|entropy=1.2852|tok=' each' ; t=20|entropy=1.0251|tok='\\n' ; t=0|entropy=0.7811|tok='```' ; t=9|entropy=0.6777|tok=' #' ; t=27|entropy=0.6267|tok='=sum' ; t=22|entropy=0.6183|tok=' return' ; t=28|entropy=0.4233|tok=')\\n' ; t=7|entropy=0.3398|tok='):\\n' ; t=29|entropy=0.1818|tok='```'</t>
  </si>
  <si>
    <t>t=6|margin=0.3750|tok='(matrix' ; t=0|margin=0.4219|tok='```' ; t=18|margin=0.5284|tok=' each' ; t=27|margin=0.8750|tok='=sum' ; t=20|margin=0.8963|tok='\\n' ; t=9|margin=0.9062|tok=' #' ; t=22|margin=1.6562|tok=' return' ; t=28|margin=1.7656|tok=')\\n' ; t=7|margin=2.4688|tok='):\\n' ; t=10|margin=3.2969|tok=' Sort'</t>
  </si>
  <si>
    <t>HumanEval/7</t>
  </si>
  <si>
    <t xml:space="preserve">from typing import List
def filter_by_substring(strings: List[str], substring: str) -&gt; List[str]:
    """ Filter an input list of strings only for ones that contain given substring
    &gt;&gt;&gt; filter_by_substring([], 'a')
    []
    &gt;&gt;&gt; filter_by_substring(['abc', 'bacd', 'cde', 'array'], 'a')
    ['abc', 'bacd', 'array']
    """
</t>
  </si>
  <si>
    <t>mbpp_14</t>
  </si>
  <si>
    <t>```python
from typing import List
def filter_by_substring(strings: List[str], substring: str) -&gt; List[str]:
    return [s for s in strings if substring in s]
```</t>
  </si>
  <si>
    <t>from typing import List
def filter_by_substring(strings: List[str], substring: str) -&gt; List[str]:
    return [s for s in strings if substring in s]</t>
  </si>
  <si>
    <t>Write a python function to find the volume of a triangular prism.</t>
  </si>
  <si>
    <t xml:space="preserve">&lt;|im_start|&gt;system
You are an expert Python competitive programmer.&lt;|im_end|&gt;
&lt;|im_start|&gt;user
Solve the following Python programming task. Return only valid Python code. Do not use Markdown. Do not explain.Task:Write a python function to find the volume of a triangular prism.Required tests include:assert find_Volume(10,8,6) == 240assert find_Volume(3,2,2) == 6assert find_Volume(1,2,1) == 1&lt;|im_end|&gt;
&lt;|im_start|&gt;assistant
</t>
  </si>
  <si>
    <t>```python
def find_Volume(base, height, length):
    # Calculate the area of the triangular base
    base_area = (base * height) / 2
    # Calculate the volume of the triangular prism
    volume = base_area * length
    return volume
# Test cases
assert find_Volume(10, 8, 6) == 240
assert find_Volume(3, 2, 2) == 6
assert find_Volume(1, 2, 1) == 1
```</t>
  </si>
  <si>
    <t>def find_Volume(base, height, length):
    # Calculate the area of the triangular base
    base_area = (base * height) / 2
    # Calculate the volume of the triangular prism
    volume = base_area * length
    return volume
# Test cases
assert find_Volume(10, 8, 6) == 240
assert find_Volume(3, 2, 2) == 6
assert find_Volume(1, 2, 1) == 1</t>
  </si>
  <si>
    <t>HumanEval/8</t>
  </si>
  <si>
    <t xml:space="preserve">from typing import List, Tuple
def sum_product(numbers: List[int]) -&gt; Tuple[int, int]:
    """ For a given list of integers, return a tuple consisting of a sum and a product of all the integers in a list.
    Empty sum should be equal to 0 and empty product should be equal to 1.
    &gt;&gt;&gt; sum_product([])
    (0, 1)
    &gt;&gt;&gt; sum_product([1, 2, 3, 4])
    (10, 24)
    """
</t>
  </si>
  <si>
    <t>Análisis de Confianza (Margen)</t>
  </si>
  <si>
    <t>```python
from typing import List, Tuple
def sum_product(numbers: List[int]) -&gt; Tuple[int, int]:
    if not numbers:
        return (0, 1)
    total_sum = sum(numbers)
    total_product = 1
    for number in numbers:
        total_product *= number
    return (total_sum, total_product)
```</t>
  </si>
  <si>
    <t>from typing import List, Tuple
def sum_product(numbers: List[int]) -&gt; Tuple[int, int]:
    if not numbers:
        return (0, 1)
    total_sum = sum(numbers)
    total_product = 1
    for number in numbers:
        total_product *= number
    return (total_sum, total_product)</t>
  </si>
  <si>
    <t>mide la diferencia entre la mejor opción y la segunda mejor</t>
  </si>
  <si>
    <t>t=7|entropy=1.3008|tok='(base' ; t=24|entropy=1.1421|tok=' base' ; t=14|entropy=0.7818|tok=' #' ; t=47|entropy=0.7094|tok=' volume' ; t=0|entropy=0.6888|tok='```' ; t=43|entropy=0.6668|tok=' triangular' ; t=35|entropy=0.6346|tok='\\n' ; t=57|entropy=0.6039|tok='\\n\\n' ; t=41|entropy=0.5997|tok=' of' ; t=11|entropy=0.4599|tok=' length'</t>
  </si>
  <si>
    <t>t=7|margin=0.0000|tok='(base' ; t=14|margin=0.3438|tok=' #' ; t=43|margin=0.8097|tok=' triangular' ; t=35|margin=0.8835|tok='\\n' ; t=0|margin=0.9062|tok='```' ; t=57|margin=0.9219|tok='\\n\\n' ; t=41|margin=1.0639|tok=' of' ; t=47|margin=1.2159|tok=' volume' ; t=24|margin=1.4205|tok=' base' ; t=11|margin=1.6562|tok=' length'</t>
  </si>
  <si>
    <t>Margen Medio en HumanEval (Éxitos):</t>
  </si>
  <si>
    <t>mbpp_16</t>
  </si>
  <si>
    <t>HumanEval/9</t>
  </si>
  <si>
    <t>Write a function to that returns true if the input string contains sequences of lowercase letters joined with an underscore and false otherwise.</t>
  </si>
  <si>
    <t xml:space="preserve">from typing import List, Tuple
def rolling_max(numbers: List[int]) -&gt; List[int]:
    """ From a given list of integers, generate a list of rolling maximum element found until given moment
    in the sequence.
    &gt;&gt;&gt; rolling_max([1, 2, 3, 2, 3, 4, 2])
    [1, 2, 3, 3, 3, 4, 4]
    """
</t>
  </si>
  <si>
    <t xml:space="preserve">&lt;|im_start|&gt;system
You are an expert Python competitive programmer.&lt;|im_end|&gt;
&lt;|im_start|&gt;user
Solve the following Python programming task. Return only valid Python code. Do not use Markdown. Do not explain.Task:Write a function to that returns true if the input string contains sequences of lowercase letters joined with an underscore and false otherwise.Required tests include:assert text_lowercase_underscore("aab_cbbbc")==(True)assert text_lowercase_underscore("aab_Abbbc")==(False)assert text_lowercase_underscore("Aaab_abbbc")==(False)&lt;|im_end|&gt;
&lt;|im_start|&gt;assistant
</t>
  </si>
  <si>
    <t>```python
from typing import List, Tuple
def rolling_max(numbers: List[int]) -&gt; List[int]:
    if not numbers:
        return []
    result = []
    current_max = float('-inf')
    for number in numbers:
        current_max = max(current_max, number)
        result.append(current_max)
    return result
```</t>
  </si>
  <si>
    <t>```python
import re
def text_lowercase_underscore(text):
    # Regular expression pattern to match sequences of lowercase letters joined with an underscore
    pattern = '^[a-z]+_[a-z]+$'
    # Check if the input text matches the pattern
    return bool(re.match(pattern, text))
```</t>
  </si>
  <si>
    <t>from typing import List, Tuple
def rolling_max(numbers: List[int]) -&gt; List[int]:
    if not numbers:
        return []
    result = []
    current_max = float('-inf')
    for number in numbers:
        current_max = max(current_max, number)
        result.append(current_max)
    return result</t>
  </si>
  <si>
    <t>import re
def text_lowercase_underscore(text):
    # Regular expression pattern to match sequences of lowercase letters joined with an underscore
    pattern = '^[a-z]+_[a-z]+$'
    # Check if the input text matches the pattern
    return bool(re.match(pattern, text))</t>
  </si>
  <si>
    <t>Tareas Fallidas</t>
  </si>
  <si>
    <t>Margen Medio en HumanEval (Fallos):</t>
  </si>
  <si>
    <t>HumanEval/10</t>
  </si>
  <si>
    <t>{'type': 'RuntimeError', 'message': "NameError: name 'is_palindrome' is not defined. Did you mean: 'make_palindrome'?", 'stderr_tail': 'Traceback (most recent call last):\n  File "/tmp/tmpt4uudtga/candidate_eval.py", line 47, in &lt;module&gt;\n    check(make_palindrome)\n  File "/tmp/tmpt4uudtga/candidate_eval.py", line 40, in check\n    assert candidate(\'\') == \'\'\n           ^^^^^^^^^^^^^\n  File "/tmp/tmpt4uudtga/candidate_eval.py", line 27, in make_palindrome\n    if is_palindrome(string[:i]):\n       ^^^^^^^^^^^^^\nNameError: name \'is_palindrome\' is not defined. Did you mean: \'make_palindrome\'?\n', 'stdout_tail': ''}</t>
  </si>
  <si>
    <t>t=15|entropy=1.5298|tok=' Regular' ; t=48|entropy=1.1877|tok=' input' ; t=20|entropy=1.1157|tok=' sequences' ; t=45|entropy=1.0818|tok=' Check' ; t=11|entropy=0.8407|tok='(text' ; t=14|entropy=0.7666|tok=' #' ; t=55|entropy=0.7167|tok=' return' ; t=18|entropy=0.7139|tok=' to' ; t=17|entropy=0.6932|tok=' pattern' ; t=25|entropy=0.5880|tok=' with'</t>
  </si>
  <si>
    <t xml:space="preserve">
def is_palindrome(string: str) -&gt; bool:
    """ Test if given string is a palindrome """
    return string == string[::-1]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t>
  </si>
  <si>
    <t>t=18|margin=0.1392|tok=' to' ; t=55|margin=0.1662|tok=' return' ; t=15|margin=0.1875|tok=' Regular' ; t=17|margin=0.2983|tok=' pattern' ; t=48|margin=0.2983|tok=' input' ; t=20|margin=0.8097|tok=' sequences' ; t=25|margin=0.9730|tok=' with' ; t=14|margin=1.0156|tok=' #' ; t=45|margin=1.0312|tok=' Check' ; t=42|margin=1.0639|tok='    \\n'</t>
  </si>
  <si>
    <t>```python
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n = len(string)
    for i in range(n, -1, -1):
        if is_palindrome(string[:i]):
            return string + string[i-1::-1]
    return string
```</t>
  </si>
  <si>
    <t>def make_palindrome(string: str) -&gt; str:
    """ Find the shortest palindrome that begins with a supplied string.
    Algorithm idea is simple:
    - Find the longest postfix of supplied string that is a palindrome.
    - Append to the end of the string reverse of a string prefix that comes before the palindromic suffix.
    &gt;&gt;&gt; make_palindrome('')
    ''
    &gt;&gt;&gt; make_palindrome('cat')
    'catac'
    &gt;&gt;&gt; make_palindrome('cata')
    'catac'
    """
    n = len(string)
    for i in range(n, -1, -1):
        if is_palindrome(string[:i]):
            return string + string[i-1::-1]
    return string</t>
  </si>
  <si>
    <t>Margen Medio en MBPP (Éxitos):</t>
  </si>
  <si>
    <t>mbpp_17</t>
  </si>
  <si>
    <t>RuntimeError</t>
  </si>
  <si>
    <t>NameError: name 'is_palindrome' is not defined. Did you mean: 'make_palindrome'?</t>
  </si>
  <si>
    <t>Write a function that returns the perimeter of a square given its side length as input.</t>
  </si>
  <si>
    <t xml:space="preserve">&lt;|im_start|&gt;system
You are an expert Python competitive programmer.&lt;|im_end|&gt;
&lt;|im_start|&gt;user
Solve the following Python programming task. Return only valid Python code. Do not use Markdown. Do not explain.Task:Write a function that returns the perimeter of a square given its side length as input.Required tests include:assert square_perimeter(10)==40assert square_perimeter(5)==20assert square_perimeter(4)==16&lt;|im_end|&gt;
&lt;|im_start|&gt;assistant
</t>
  </si>
  <si>
    <t>```python
def square_perimeter(side_length):
    return 4 * side_length
# Test cases
assert square_perimeter(10) == 40
assert square_perimeter(5) == 20
assert square_perimeter(4) == 16
```</t>
  </si>
  <si>
    <t>def square_perimeter(side_length):
    return 4 * side_length
# Test cases
assert square_perimeter(10) == 40
assert square_perimeter(5) == 20
assert square_perimeter(4) == 16</t>
  </si>
  <si>
    <t>Other_fail</t>
  </si>
  <si>
    <t>HumanEval/11</t>
  </si>
  <si>
    <t xml:space="preserve">from typing import List
def string_xor(a: str, b: str) -&gt; str:
    """ Input are two strings a and b consisting only of 1s and 0s.
    Perform binary XOR on these inputs and return result also as a string.
    &gt;&gt;&gt; string_xor('010', '110')
    '100'
    """
</t>
  </si>
  <si>
    <t>```python
from typing import List
def string_xor(a: str, b: str) -&gt; str:
    """ Input are two strings a and b consisting only of 1s and 0s.
    Perform binary XOR on these inputs and return result also as a string.
    &gt;&gt;&gt; string_xor('010', '110')
    '100'
    """
    return ''.join(str(int(x) ^ int(y)) for x, y in zip(a, b))
```</t>
  </si>
  <si>
    <t>from typing import List
def string_xor(a: str, b: str) -&gt; str:
    """ Input are two strings a and b consisting only of 1s and 0s.
    Perform binary XOR on these inputs and return result also as a string.
    &gt;&gt;&gt; string_xor('010', '110')
    '100'
    """
    return ''.join(str(int(x) ^ int(y)) for x, y in zip(a, b))</t>
  </si>
  <si>
    <t>t=0|entropy=0.8145|tok='```' ; t=17|entropy=0.6076|tok='\\n\\n' ; t=10|entropy=0.5029|tok='   ' ; t=8|entropy=0.4776|tok='_length' ; t=11|entropy=0.3964|tok=' return' ; t=7|entropy=0.2128|tok='(side' ; t=19|entropy=0.1071|tok=' Test' ; t=9|entropy=0.0859|tok='):\\n' ; t=21|entropy=0.0540|tok='\\n' ; t=59|entropy=0.0383|tok='```'</t>
  </si>
  <si>
    <t>t=0|margin=0.0312|tok='```' ; t=17|margin=0.8949|tok='\\n\\n' ; t=10|margin=1.4062|tok='   ' ; t=8|margin=1.6406|tok='_length' ; t=11|margin=1.8906|tok=' return' ; t=7|margin=4.0156|tok='(side' ; t=19|margin=4.3438|tok=' Test' ; t=9|margin=4.6406|tok='):\\n' ; t=21|margin=4.8807|tok='\\n' ; t=59|margin=5.0795|tok='```'</t>
  </si>
  <si>
    <t>mbpp_18</t>
  </si>
  <si>
    <t>Margen Medio en MBPP (Fallos):</t>
  </si>
  <si>
    <t>HumanEval/12</t>
  </si>
  <si>
    <t>Write a function to remove characters from the first string which are present in the second string.</t>
  </si>
  <si>
    <t xml:space="preserve">&lt;|im_start|&gt;system
You are an expert Python competitive programmer.&lt;|im_end|&gt;
&lt;|im_start|&gt;user
Solve the following Python programming task. Return only valid Python code. Do not use Markdown. Do not explain.Task:Write a function to remove characters from the first string which are present in the second string.Required tests include:assert remove_dirty_chars("probasscurve", "pros") == 'bacuve'assert remove_dirty_chars("digitalindia", "talent") == 'digiidi'assert remove_dirty_chars("exoticmiles", "toxic") == 'emles'&lt;|im_end|&gt;
&lt;|im_start|&gt;assistant
</t>
  </si>
  <si>
    <t xml:space="preserve">from typing import List, Optional
def longest(strings: List[str]) -&gt; Optional[str]:
    """ Out of list of strings, return the longest one. Return the first one in case of multiple
    strings of the same length. Return None in case the input list is empty.
    &gt;&gt;&gt; longest([])
    &gt;&gt;&gt; longest(['a', 'b', 'c'])
    'a'
    &gt;&gt;&gt; longest(['a', 'bb', 'ccc'])
    'ccc'
    """
</t>
  </si>
  <si>
    <t>```python
def remove_dirty_chars(str1, str2):
    # Create a set of characters to be removed for faster lookup
    chars_to_remove = set(str2)
    # Use list comprehension to filter out unwanted characters
    result = ''.join([char for char in str1 if char not in chars_to_remove])
    return result
# Test cases
assert remove_dirty_chars("probasscurve", "pros") == 'bacuve'
assert remove_dirty_chars("digitalindia", "talent") == 'digiidi'
assert remove_dirty_chars("exoticmiles", "toxic") == 'emles'
```</t>
  </si>
  <si>
    <t>```python
from typing import List, Optional
def longest(strings: List[str]) -&gt; Optional[str]:
    if not strings:
        return None
    return max(strings, key=len)
```</t>
  </si>
  <si>
    <t>from typing import List, Optional
def longest(strings: List[str]) -&gt; Optional[str]:
    if not strings:
        return None
    return max(strings, key=len)</t>
  </si>
  <si>
    <t>def remove_dirty_chars(str1, str2):
    # Create a set of characters to be removed for faster lookup
    chars_to_remove = set(str2)
    # Use list comprehension to filter out unwanted characters
    result = ''.join([char for char in str1 if char not in chars_to_remove])
    return result
# Test cases
assert remove_dirty_chars("probasscurve", "pros") == 'bacuve'
assert remove_dirty_chars("digitalindia", "talent") == 'digiidi'
assert remove_dirty_chars("exoticmiles", "toxic") == 'emles'</t>
  </si>
  <si>
    <t>HumanEval/13</t>
  </si>
  <si>
    <t>Problemas q fallan mas largos</t>
  </si>
  <si>
    <t xml:space="preserve">
def greatest_common_divisor(a: int, b: int) -&gt; int:
    """ Return a greatest common divisor of two integers a and b
    &gt;&gt;&gt; greatest_common_divisor(3, 5)
    1
    &gt;&gt;&gt; greatest_common_divisor(25, 15)
    5
    """
</t>
  </si>
  <si>
    <t>```python
def greatest_common_divisor(a: int, b: int) -&gt; int:
    while b != 0:
        a, b = b, a % b
    return a
```</t>
  </si>
  <si>
    <t>def greatest_common_divisor(a: int, b: int) -&gt; int:
    while b != 0:
        a, b = b, a % b
    return a</t>
  </si>
  <si>
    <t xml:space="preserve">Promedio de Líneas en HumanEval (Fallos):
</t>
  </si>
  <si>
    <t>t=28|entropy=1.7997|tok=' chars' ; t=14|entropy=1.4013|tok=' #' ; t=7|entropy=1.2625|tok='(str' ; t=24|entropy=1.1782|tok=' faster' ; t=49|entropy=1.1167|tok=' result' ; t=15|entropy=0.9155|tok=' Create' ; t=20|entropy=0.9137|tok=' to' ; t=39|entropy=0.8718|tok=' Use' ; t=45|entropy=0.7585|tok=' unwanted' ; t=43|entropy=0.7021|tok=' filter'</t>
  </si>
  <si>
    <t>t=7|margin=0.5156|tok='(str' ; t=28|margin=0.5810|tok=' chars' ; t=39|margin=0.5938|tok=' Use' ; t=45|margin=0.6151|tok=' unwanted' ; t=72|margin=0.8707|tok='\\n\\n' ; t=36|margin=0.9219|tok='    \\n' ; t=20|margin=0.9233|tok=' to' ; t=24|margin=0.9844|tok=' faster' ; t=47|margin=1.0540|tok='\\n' ; t=0|margin=1.0781|tok='```'</t>
  </si>
  <si>
    <t>HumanEval/14</t>
  </si>
  <si>
    <t>mbpp_19</t>
  </si>
  <si>
    <t xml:space="preserve">from typing import List
def all_prefixes(string: str) -&gt; List[str]:
    """ Return list of all prefixes from shortest to longest of the input string
    &gt;&gt;&gt; all_prefixes('abc')
    ['a', 'ab', 'abc']
    """
</t>
  </si>
  <si>
    <t>```python
from typing import List
def all_prefixes(string: str) -&gt; List[str]:
    return [string[:i] for i in range(1, len(string) + 1)]
```</t>
  </si>
  <si>
    <t>from typing import List
def all_prefixes(string: str) -&gt; List[str]:
    return [string[:i] for i in range(1, len(string) + 1)]</t>
  </si>
  <si>
    <t>Write a function to find whether a given array of integers contains any duplicate element.</t>
  </si>
  <si>
    <t xml:space="preserve">Promedio de Líneas en HumanEval (Exitos):
</t>
  </si>
  <si>
    <t xml:space="preserve">&lt;|im_start|&gt;system
You are an expert Python competitive programmer.&lt;|im_end|&gt;
&lt;|im_start|&gt;user
Solve the following Python programming task. Return only valid Python code. Do not use Markdown. Do not explain.Task:Write a function to find whether a given array of integers contains any duplicate element.Required tests include:assert test_duplicate(([1,2,3,4,5]))==Falseassert test_duplicate(([1,2,3,4, 4]))==Trueassert test_duplicate([1,1,2,2,3,3,4,4,5])==True&lt;|im_end|&gt;
&lt;|im_start|&gt;assistant
</t>
  </si>
  <si>
    <t>```python
def test_duplicate(nums):
    # Convert the list to a set to remove duplicates and compare lengths
    return len(nums) != len(set(nums))
```</t>
  </si>
  <si>
    <t>def test_duplicate(nums):
    # Convert the list to a set to remove duplicates and compare lengths
    return len(nums) != len(set(nums))</t>
  </si>
  <si>
    <t>HumanEval/15</t>
  </si>
  <si>
    <t xml:space="preserve">
def string_sequence(n: int) -&gt; str:
    """ Return a string containing space-delimited numbers starting from 0 upto n inclusive.
    &gt;&gt;&gt; string_sequence(0)
    '0'
    &gt;&gt;&gt; string_sequence(5)
    '0 1 2 3 4 5'
    """
</t>
  </si>
  <si>
    <t>```python
def string_sequence(n: int) -&gt; str:
    return ' '.join(str(i) for i in range(n + 1))
```</t>
  </si>
  <si>
    <t>def string_sequence(n: int) -&gt; str:
    return ' '.join(str(i) for i in range(n + 1))</t>
  </si>
  <si>
    <t>Promedio de Líneas en MBPP (Fallos):</t>
  </si>
  <si>
    <t>t=9|entropy=1.2166|tok=' #' ; t=10|entropy=1.1378|tok=' Convert' ; t=6|entropy=0.9349|tok='(nums' ; t=26|entropy=0.7269|tok='(nums' ; t=0|entropy=0.6586|tok='```' ; t=32|entropy=0.6223|tok='))\\n' ; t=16|entropy=0.6171|tok=' to' ; t=21|entropy=0.5110|tok=' lengths' ; t=11|entropy=0.3515|tok=' the' ; t=28|entropy=0.2252|tok=' !='</t>
  </si>
  <si>
    <t>t=26|margin=0.1321|tok='(nums' ; t=9|margin=0.3281|tok=' #' ; t=10|margin=0.7812|tok=' Convert' ; t=16|margin=0.8480|tok=' to' ; t=32|margin=0.9062|tok='))\\n' ; t=6|margin=1.0469|tok='(nums' ; t=0|margin=1.2656|tok='```' ; t=21|margin=1.4219|tok=' lengths' ; t=11|margin=2.1165|tok=' the' ; t=28|margin=2.7656|tok=' !='</t>
  </si>
  <si>
    <t>mbpp_20</t>
  </si>
  <si>
    <t>AssertionError</t>
  </si>
  <si>
    <t>HumanEval/16</t>
  </si>
  <si>
    <t xml:space="preserve">Traceback (most recent call last):
  File "/tmp/tmpchf04fnm/candidate_eval.py", line 11, in &lt;module&gt;
    assert is_woodall(383) == True
           ^^^^^^^^^^^^^^^^^^^^^^^
AssertionError
</t>
  </si>
  <si>
    <t>Write a function to check if the given number is woodball or not.</t>
  </si>
  <si>
    <t>Promedio de Líneas en MBPP (Exitos):</t>
  </si>
  <si>
    <t xml:space="preserve">&lt;|im_start|&gt;system
You are an expert Python competitive programmer.&lt;|im_end|&gt;
&lt;|im_start|&gt;user
Solve the following Python programming task. Return only valid Python code. Do not use Markdown. Do not explain.Task:Write a function to check if the given number is woodball or not.Required tests include:assert is_woodall(383) == Trueassert is_woodall(254) == Falseassert is_woodall(200) == False&lt;|im_end|&gt;
&lt;|im_start|&gt;assistant
</t>
  </si>
  <si>
    <t xml:space="preserve">
def count_distinct_characters(string: str) -&gt; int:
    """ Given a string, find out how many distinct characters (regardless of case) does it consist of
    &gt;&gt;&gt; count_distinct_characters('xyzXYZ')
    3
    &gt;&gt;&gt; count_distinct_characters('Jerry')
    4
    """
</t>
  </si>
  <si>
    <t>```python
def is_woodall(n):
    if n &lt;= 1:
        return False
    k = 0
    while (n + 1) % (k + 1) == 0 and (n + 1) // (k + 1) == 2 ** k:
        n = (n + 1) // (k + 1)
        k += 1
    return n == 1
# Test cases
assert is_woodall(383) == True
assert is_woodall(254) == False
assert is_woodall(200) == False
```</t>
  </si>
  <si>
    <t>```python
def count_distinct_characters(string: str) -&gt; int:
    return len(set(string.lower()))
```</t>
  </si>
  <si>
    <t>def count_distinct_characters(string: str) -&gt; int:
    return len(set(string.lower()))</t>
  </si>
  <si>
    <t>def is_woodall(n):
    if n &lt;= 1:
        return False
    k = 0
    while (n + 1) % (k + 1) == 0 and (n + 1) // (k + 1) == 2 ** k:
        n = (n + 1) // (k + 1)
        k += 1
    return n == 1
# Test cases
assert is_woodall(383) == True
assert is_woodall(254) == False
assert is_woodall(200) == False</t>
  </si>
  <si>
    <t>Ranking de Errores en HumanEval:</t>
  </si>
  <si>
    <t>HumanEval/17</t>
  </si>
  <si>
    <t xml:space="preserve">from typing import List
def parse_music(music_string: str) -&gt; List[int]:
    """ Input to this function is a string representing musical notes in a special ASCII format.
    Your task is to parse this string and return list of integers corresponding to how many beats does each
    not last.
    Here is a legend:
    'o' - whole note, lasts four beats
    'o|' - half note, lasts two beats
    '.|' - quater note, lasts one beat
    &gt;&gt;&gt; parse_music('o o| .| o| o| .| .| .| .| o o')
    [4, 2, 1, 2, 2, 1, 1, 1, 1, 4, 4]
    """
</t>
  </si>
  <si>
    <t>t=22|entropy=2.3966|tok=' k' ; t=59|entropy=1.4940|tok=' ==' ; t=31|entropy=1.4272|tok=' +' ; t=11|entropy=1.3111|tok=' if' ; t=13|entropy=1.2097|tok=' &lt;=' ; t=67|entropy=1.1654|tok=' =' ; t=66|entropy=1.1553|tok=' n' ; t=28|entropy=1.0627|tok=' while' ; t=46|entropy=0.9698|tok=' (' ; t=36|entropy=0.8417|tok=' ('</t>
  </si>
  <si>
    <t>```python
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quarter note, lasts one beat
    &gt;&gt;&gt; parse_music('o o| .| o| o| .| .| .| .| o o')
    [4, 2, 1, 2, 2, 1, 1, 1, 1, 4, 4]
    """
    note_map = {'o': 4, 'o|': 2, '.|': 1}
    return [note_map[note] for note in music_string.split()]
```</t>
  </si>
  <si>
    <t>t=59|margin=0.0028|tok=' ==' ; t=67|margin=0.0554|tok=' =' ; t=13|margin=0.0938|tok=' &lt;=' ; t=31|margin=0.2344|tok=' +' ; t=11|margin=0.2969|tok=' if' ; t=37|margin=0.3509|tok='k' ; t=42|margin=0.4020|tok=' ==' ; t=36|margin=0.4403|tok=' (' ; t=66|margin=0.4688|tok=' n' ; t=22|margin=0.6094|tok=' k'</t>
  </si>
  <si>
    <t>from typing import List
def parse_music(music_string: str) -&gt; List[int]:
    """ Input to this function is a string representing musical notes in a special ASCII format.
    Your task is to parse this string and return list of integers corresponding to how many beats does each
    note last.
    Here is a legend:
    'o' - whole note, lasts four beats
    'o|' - half note, lasts two beats
    '.|' - quarter note, lasts one beat
    &gt;&gt;&gt; parse_music('o o| .| o| o| .| .| .| .| o o')
    [4, 2, 1, 2, 2, 1, 1, 1, 1, 4, 4]
    """
    note_map = {'o': 4, 'o|': 2, '.|': 1}
    return [note_map[note] for note in music_string.split()]</t>
  </si>
  <si>
    <t>{'type': 'RuntimeError', 'message': 'AssertionError', 'stderr_tail': 'Traceback (most recent call last):\n  File "/tmp/tmpchf04fnm/candidate_eval.py", line 11, in &lt;module&gt;\n    assert is_woodall(383) == True\n           ^^^^^^^^^^^^^^^^^^^^^^^\nAssertionError\n', 'stdout_tail': ''}</t>
  </si>
  <si>
    <t>mbpp_56</t>
  </si>
  <si>
    <t>Write a python function to check if a given number is one less than twice its reverse.</t>
  </si>
  <si>
    <t xml:space="preserve">&lt;|im_start|&gt;system
You are an expert Python competitive programmer.&lt;|im_end|&gt;
&lt;|im_start|&gt;user
Solve the following Python programming task. Return only valid Python code. Do not use Markdown. Do not explain.Task:Write a python function to check if a given number is one less than twice its reverse.Required tests include:assert check(70) == Falseassert check(23) == Falseassert check(73) == True&lt;|im_end|&gt;
&lt;|im_start|&gt;assistant
</t>
  </si>
  <si>
    <t>```python
def check(n):
    # Reverse the digits of the number
    rev = 0
    temp = n
    while temp &gt; 0:
        rev = (rev * 10) + (temp % 10)
        temp //= 10
    # Check if the original number is one less than twice its reverse
    return n == 2 * rev - 1
# Test cases
assert check(70) == False
assert check(23) == False
assert check(73) == True
```</t>
  </si>
  <si>
    <t>def check(n):
    # Reverse the digits of the number
    rev = 0
    temp = n
    while temp &gt; 0:
        rev = (rev * 10) + (temp % 10)
        temp //= 10
    # Check if the original number is one less than twice its reverse
    return n == 2 * rev - 1
# Test cases
assert check(70) == False
assert check(23) == False
assert check(73) == True</t>
  </si>
  <si>
    <t>HumanEval/18</t>
  </si>
  <si>
    <t xml:space="preserve">
def how_many_times(string: str, substring: str) -&gt; int:
    """ Find how many times a given substring can be found in the original string. Count overlaping cases.
    &gt;&gt;&gt; how_many_times('', 'a')
    0
    &gt;&gt;&gt; how_many_times('aaa', 'a')
    3
    &gt;&gt;&gt; how_many_times('aaaa', 'aa')
    3
    """
</t>
  </si>
  <si>
    <t>```python
def how_many_times(string: str, substring: str) -&gt; int:
    count = 0
    start = 0
    while True:
        start = string.find(substring, start)
        if start == -1:
            break
        count += 1
        start += 1
    return count
```</t>
  </si>
  <si>
    <t>def how_many_times(string: str, substring: str) -&gt; int:
    count = 0
    start = 0
    while True:
        start = string.find(substring, start)
        if start == -1:
            break
        count += 1
        start += 1
    return count</t>
  </si>
  <si>
    <t>t=8|entropy=2.5981|tok=' #' ; t=17|entropy=1.7526|tok=' rev' ; t=9|entropy=1.3465|tok=' Reverse' ; t=76|entropy=1.1355|tok=' n' ; t=23|entropy=1.1143|tok=' temp' ; t=35|entropy=1.0627|tok=' rev' ; t=5|entropy=0.9617|tok='(n' ; t=4|entropy=0.9475|tok=' check' ; t=11|entropy=0.9097|tok=' digits' ; t=6|entropy=0.8772|tok='):\\n'</t>
  </si>
  <si>
    <t>t=13|margin=0.0526|tok=' the' ; t=11|margin=0.0838|tok=' digits' ; t=76|margin=0.0994|tok=' n' ; t=19|margin=0.2344|tok=' ' ; t=6|margin=0.3281|tok='):\\n' ; t=64|margin=0.5426|tok=' original' ; t=5|margin=0.5625|tok='(n' ; t=9|margin=0.6094|tok=' Reverse' ; t=85|margin=0.7386|tok='\\n\\n' ; t=35|margin=0.7514|tok=' rev'</t>
  </si>
  <si>
    <t>mbpp_57</t>
  </si>
  <si>
    <t>Write a python function to find the largest number that can be formed with the given list of digits.</t>
  </si>
  <si>
    <t>HumanEval/19</t>
  </si>
  <si>
    <t xml:space="preserve">&lt;|im_start|&gt;system
You are an expert Python competitive programmer.&lt;|im_end|&gt;
&lt;|im_start|&gt;user
Solve the following Python programming task. Return only valid Python code. Do not use Markdown. Do not explain.Task:Write a python function to find the largest number that can be formed with the given list of digits.Required tests include:assert find_Max_Num([1,2,3]) == 321assert find_Max_Num([4,5,6,1]) == 6541assert find_Max_Num([1,2,3,9]) == 9321&lt;|im_end|&gt;
&lt;|im_start|&gt;assistant
</t>
  </si>
  <si>
    <t>```python
def find_Max_Num(digits):
    # Sort the digits in descending order and join them to form the largest number
    return int(''.join(sorted(map(str, digits), reverse=True)))
```</t>
  </si>
  <si>
    <t>def find_Max_Num(digits):
    # Sort the digits in descending order and join them to form the largest number
    return int(''.join(sorted(map(str, digits), reverse=True)))</t>
  </si>
  <si>
    <t xml:space="preserve">from typing import List
def sort_numbers(numbers: str) -&gt; str:
    """ Input is a space-delimited string of numberals from 'zero' to 'nine'.
    Valid choices are 'zero', 'one', 'two', 'three', 'four', 'five', 'six', 'seven', 'eight' and 'nine'.
    Return the string with numbers sorted from smallest to largest
    &gt;&gt;&gt; sort_numbers('three one five')
    'one three five'
    """
</t>
  </si>
  <si>
    <t>```python
from typing import List
def sort_numbers(numbers: str) -&gt; str:
    num_map = {
        'zero': 0, 'one': 1, 'two': 2, 'three': 3, 'four': 4,
        'five': 5, 'six': 6, 'seven': 7, 'eight': 8, 'nine': 9
    }
    sorted_nums = sorted(numbers.split(), key=lambda x: num_map[x])
    return ' '.join(sorted_nums)
```</t>
  </si>
  <si>
    <t>from typing import List
def sort_numbers(numbers: str) -&gt; str:
    num_map = {
        'zero': 0, 'one': 1, 'two': 2, 'three': 3, 'four': 4,
        'five': 5, 'six': 6, 'seven': 7, 'eight': 8, 'nine': 9
    }
    sorted_nums = sorted(numbers.split(), key=lambda x: num_map[x])
    return ' '.join(sorted_nums)</t>
  </si>
  <si>
    <t>t=7|entropy=1.4868|tok='(digits' ; t=17|entropy=0.8390|tok=' and' ; t=0|entropy=0.7085|tok='```' ; t=40|entropy=0.6963|tok=')))\\n' ; t=29|entropy=0.6120|tok="('" ; t=27|entropy=0.6105|tok=' return' ; t=11|entropy=0.5753|tok=' Sort' ; t=20|entropy=0.4614|tok=' to' ; t=23|entropy=0.4144|tok=' largest' ; t=18|entropy=0.3965|tok=' join'</t>
  </si>
  <si>
    <t>t=17|margin=0.1591|tok=' and' ; t=40|margin=0.2031|tok=')))\\n' ; t=7|margin=0.5938|tok='(digits' ; t=29|margin=0.8438|tok="('" ; t=0|margin=1.2344|tok='```' ; t=11|margin=1.3125|tok=' Sort' ; t=23|margin=2.1278|tok=' largest' ; t=41|margin=2.3139|tok='```' ; t=8|margin=2.5000|tok='):\\n' ; t=3|margin=2.6719|tok='def'</t>
  </si>
  <si>
    <t>mbpp_58</t>
  </si>
  <si>
    <t>HumanEval/20</t>
  </si>
  <si>
    <t>Write a python function to check whether the given two integers have opposite sign or not.</t>
  </si>
  <si>
    <t xml:space="preserve">from typing import List, Tuple
def find_closest_elements(numbers: List[float]) -&gt; Tuple[float, float]:
    """ From a supplied list of numbers (of length at least two) select and return two that are the closest to each
    other and return them in order (smaller number, larger number).
    &gt;&gt;&gt; find_closest_elements([1.0, 2.0, 3.0, 4.0, 5.0, 2.2])
    (2.0, 2.2)
    &gt;&gt;&gt; find_closest_elements([1.0, 2.0, 3.0, 4.0, 5.0, 2.0])
    (2.0, 2.0)
    """
</t>
  </si>
  <si>
    <t xml:space="preserve">&lt;|im_start|&gt;system
You are an expert Python competitive programmer.&lt;|im_end|&gt;
&lt;|im_start|&gt;user
Solve the following Python programming task. Return only valid Python code. Do not use Markdown. Do not explain.Task:Write a python function to check whether the given two integers have opposite sign or not.Required tests include:assert opposite_Signs(1,-2) == Trueassert opposite_Signs(3,2) == Falseassert opposite_Signs(-10,-10) == False&lt;|im_end|&gt;
&lt;|im_start|&gt;assistant
</t>
  </si>
  <si>
    <t>```python
from typing import List, Tuple
def find_closest_elements(numbers: List[float]) -&gt; Tuple[float, float]:
    min_diff = float('inf')
    closest_pair = (0, 0)
    for i in range(len(numbers)):
        for j in range(i + 1, len(numbers)):
            diff = abs(numbers[i] - numbers[j])
            if diff &lt; min_diff:
                min_diff = diff
                closest_pair = (min(numbers[i], numbers[j]), max(numbers[i], numbers[j]))
    return closest_pair
```</t>
  </si>
  <si>
    <t>```python
def opposite_Signs(x, y): 
    return (x ^ y) &lt; 0
```</t>
  </si>
  <si>
    <t>def opposite_Signs(x, y): 
    return (x ^ y) &lt; 0</t>
  </si>
  <si>
    <t>from typing import List, Tuple
def find_closest_elements(numbers: List[float]) -&gt; Tuple[float, float]:
    min_diff = float('inf')
    closest_pair = (0, 0)
    for i in range(len(numbers)):
        for j in range(i + 1, len(numbers)):
            diff = abs(numbers[i] - numbers[j])
            if diff &lt; min_diff:
                min_diff = diff
                closest_pair = (min(numbers[i], numbers[j]), max(numbers[i], numbers[j]))
    return closest_pair</t>
  </si>
  <si>
    <t>t=0|entropy=0.7917|tok='```' ; t=11|entropy=0.6647|tok='):' ; t=12|entropy=0.4437|tok=' \\n' ; t=23|entropy=0.3181|tok='\\n' ; t=9|entropy=0.2428|tok=',' ; t=8|entropy=0.2254|tok='(x' ; t=24|entropy=0.1348|tok='```' ; t=14|entropy=0.0608|tok=' return' ; t=15|entropy=0.0540|tok=' (' ; t=13|entropy=0.0401|tok='   '</t>
  </si>
  <si>
    <t>t=0|margin=0.7344|tok='```' ; t=11|margin=1.0781|tok='):' ; t=12|margin=2.2188|tok=' \\n' ; t=23|margin=2.5938|tok='\\n' ; t=9|margin=2.8494|tok=',' ; t=8|margin=3.1250|tok='(x' ; t=24|margin=3.5341|tok='```' ; t=14|margin=5.3125|tok=' return' ; t=15|margin=5.3594|tok=' (' ; t=13|margin=5.7188|tok='   '</t>
  </si>
  <si>
    <t>HumanEval/21</t>
  </si>
  <si>
    <t>mbpp_59</t>
  </si>
  <si>
    <t xml:space="preserve">from typing import List
def rescale_to_unit(numbers: List[float]) -&gt; List[float]:
    """ Given list of numbers (of at least two elements), apply a linear transform to that list,
    such that the smallest number will become 0 and the largest will become 1
    &gt;&gt;&gt; rescale_to_unit([1.0, 2.0, 3.0, 4.0, 5.0])
    [0.0, 0.25, 0.5, 0.75, 1.0]
    """
</t>
  </si>
  <si>
    <t>Write a function to find the nth octagonal number.</t>
  </si>
  <si>
    <t>```python
from typing import List
def rescale_to_unit(numbers: List[float]) -&gt; List[float]:
    min_val = min(numbers)
    max_val = max(numbers)
    range_val = max_val - min_val
    return [(x - min_val) / range_val for x in numbers]
```</t>
  </si>
  <si>
    <t xml:space="preserve">&lt;|im_start|&gt;system
You are an expert Python competitive programmer.&lt;|im_end|&gt;
&lt;|im_start|&gt;user
Solve the following Python programming task. Return only valid Python code. Do not use Markdown. Do not explain.Task:Write a function to find the nth octagonal number.Required tests include:assert is_octagonal(5) == 65assert is_octagonal(10) == 280assert is_octagonal(15) == 645&lt;|im_end|&gt;
&lt;|im_start|&gt;assistant
</t>
  </si>
  <si>
    <t>from typing import List
def rescale_to_unit(numbers: List[float]) -&gt; List[float]:
    min_val = min(numbers)
    max_val = max(numbers)
    range_val = max_val - min_val
    return [(x - min_val) / range_val for x in numbers]</t>
  </si>
  <si>
    <t>```python
def is_octagonal(n):
    # Calculate the nth octagonal number using the formula
    return n * (3 * n - 2)
# Test cases
assert is_octagonal(5) == 65
assert is_octagonal(10) == 280
assert is_octagonal(15) == 645
```</t>
  </si>
  <si>
    <t>def is_octagonal(n):
    # Calculate the nth octagonal number using the formula
    return n * (3 * n - 2)
# Test cases
assert is_octagonal(5) == 65
assert is_octagonal(10) == 280
assert is_octagonal(15) == 645</t>
  </si>
  <si>
    <t>HumanEval/22</t>
  </si>
  <si>
    <t xml:space="preserve">from typing import List, Any
def filter_integers(values: List[Any]) -&gt; List[int]:
    """ Filter given list of any python values only for integers
    &gt;&gt;&gt; filter_integers(['a', 3.14, 5])
    [5]
    &gt;&gt;&gt; filter_integers([1, 2, 3, 'abc', {}, []])
    [1, 2, 3]
    """
</t>
  </si>
  <si>
    <t>```python
from typing import List, Any
def filter_integers(values: List[Any]) -&gt; List[int]:
    return [value for value in values if isinstance(value, int)]
```</t>
  </si>
  <si>
    <t>from typing import List, Any
def filter_integers(values: List[Any]) -&gt; List[int]:
    return [value for value in values if isinstance(value, int)]</t>
  </si>
  <si>
    <t>t=11|entropy=1.1652|tok=' Calculate' ; t=20|entropy=1.1103|tok='\\n' ; t=10|entropy=0.9667|tok=' #' ; t=0|entropy=0.9036|tok='```' ; t=32|entropy=0.7038|tok=')\\n\\n' ; t=36|entropy=0.5428|tok='\\n' ; t=8|entropy=0.5365|tok='):\\n' ; t=23|entropy=0.3489|tok=' n' ; t=22|entropy=0.3066|tok=' return' ; t=77|entropy=0.1972|tok='```'</t>
  </si>
  <si>
    <t>t=32|margin=0.0469|tok=')\\n\\n' ; t=0|margin=0.5156|tok='```' ; t=10|margin=0.8750|tok=' #' ; t=36|margin=1.3352|tok='\\n' ; t=8|margin=1.6719|tok='):\\n' ; t=11|margin=1.8281|tok=' Calculate' ; t=20|margin=1.8892|tok='\\n' ; t=77|margin=2.9702|tok='```' ; t=23|margin=3.1293|tok=' n' ; t=22|margin=3.3125|tok=' return'</t>
  </si>
  <si>
    <t>Ranking de Errores en MBPP:</t>
  </si>
  <si>
    <t>mbpp_61</t>
  </si>
  <si>
    <t>Write a python function to count the number of substrings with the sum of digits equal to their length.</t>
  </si>
  <si>
    <t xml:space="preserve">&lt;|im_start|&gt;system
You are an expert Python competitive programmer.&lt;|im_end|&gt;
&lt;|im_start|&gt;user
Solve the following Python programming task. Return only valid Python code. Do not use Markdown. Do not explain.Task:Write a python function to count the number of substrings with the sum of digits equal to their length.Required tests include:assert count_Substrings('112112') == 6assert count_Substrings('111') == 6assert count_Substrings('1101112') == 12&lt;|im_end|&gt;
&lt;|im_start|&gt;assistant
</t>
  </si>
  <si>
    <t>```python
def count_Substrings(s): 
    n = len(s) 
    res = 0
    for i in range(n): 
        sum = 0
        for j in range(i, n): 
            sum += ord(s[j]) - ord('0') 
            if (sum == j - i + 1): 
                res += 1
    return res
```</t>
  </si>
  <si>
    <t>def count_Substrings(s): 
    n = len(s) 
    res = 0
    for i in range(n): 
        sum = 0
        for j in range(i, n): 
            sum += ord(s[j]) - ord('0') 
            if (sum == j - i + 1): 
                res += 1
    return res</t>
  </si>
  <si>
    <t>HumanEval/23</t>
  </si>
  <si>
    <t xml:space="preserve">
def strlen(string: str) -&gt; int:
    """ Return length of given string
    &gt;&gt;&gt; strlen('')
    0
    &gt;&gt;&gt; strlen('abc')
    3
    """
</t>
  </si>
  <si>
    <t>```python
def strlen(string: str) -&gt; int:
    return len(string)
```</t>
  </si>
  <si>
    <t>def strlen(string: str) -&gt; int:
    return len(string)</t>
  </si>
  <si>
    <t>t=24|entropy=3.1348|tok=' for' ; t=18|entropy=2.7521|tok=' res' ; t=32|entropy=2.6154|tok=' sum' ; t=11|entropy=2.5763|tok=' n' ; t=7|entropy=1.3293|tok='(s' ; t=82|entropy=1.1759|tok='\\n' ; t=33|entropy=1.1171|tok=' =' ; t=22|entropy=1.0110|tok='\\n' ; t=16|entropy=0.9675|tok=' \\n' ; t=8|entropy=0.9504|tok='):'</t>
  </si>
  <si>
    <t>t=8|margin=0.1562|tok='):' ; t=32|margin=0.2259|tok=' sum' ; t=18|margin=0.3040|tok=' res' ; t=62|margin=0.3580|tok=' (' ; t=24|margin=0.5156|tok=' for' ; t=7|margin=0.5781|tok='(s' ; t=82|margin=0.5824|tok='\\n' ; t=50|margin=0.9688|tok=' ord' ; t=58|margin=1.0170|tok="')" ; t=11|margin=1.1719|tok=' n'</t>
  </si>
  <si>
    <t>mbpp_62</t>
  </si>
  <si>
    <t>Write a python function to find smallest number in a list.</t>
  </si>
  <si>
    <t xml:space="preserve">&lt;|im_start|&gt;system
You are an expert Python competitive programmer.&lt;|im_end|&gt;
&lt;|im_start|&gt;user
Solve the following Python programming task. Return only valid Python code. Do not use Markdown. Do not explain.Task:Write a python function to find smallest number in a list.Required tests include:assert smallest_num([10, 20, 1, 45, 99]) == 1assert smallest_num([1, 2, 3]) == 1assert smallest_num([45, 46, 50, 60]) == 45&lt;|im_end|&gt;
&lt;|im_start|&gt;assistant
</t>
  </si>
  <si>
    <t>```python
def smallest_num(nums):
    # Use the min function to find and return the smallest number in the list
    return min(nums)
```</t>
  </si>
  <si>
    <t>def smallest_num(nums):
    # Use the min function to find and return the smallest number in the list
    return min(nums)</t>
  </si>
  <si>
    <t>HumanEval/24</t>
  </si>
  <si>
    <t xml:space="preserve">
def largest_divisor(n: int) -&gt; int:
    """ For a given number n, find the largest number that divides n evenly, smaller than n
    &gt;&gt;&gt; largest_divisor(15)
    5
    """
</t>
  </si>
  <si>
    <t>```python
def largest_divisor(n: int) -&gt; int:
    for i in range(n-1, 0, -1):
        if n % i == 0:
            return i
    return 1
```</t>
  </si>
  <si>
    <t>def largest_divisor(n: int) -&gt; int:
    for i in range(n-1, 0, -1):
        if n % i == 0:
            return i
    return 1</t>
  </si>
  <si>
    <t>t=6|entropy=1.4680|tok='(nums' ; t=10|entropy=1.2287|tok=' Use' ; t=9|entropy=1.0379|tok=' #' ; t=0|entropy=0.7257|tok='```' ; t=16|entropy=0.6805|tok=' and' ; t=13|entropy=0.6267|tok=' function' ; t=29|entropy=0.6167|tok=')\\n' ; t=12|entropy=0.5072|tok=' min' ; t=26|entropy=0.3488|tok=' return' ; t=30|entropy=0.3006|tok='```'</t>
  </si>
  <si>
    <t>t=16|margin=0.3210|tok=' and' ; t=6|margin=0.3281|tok='(nums' ; t=10|margin=0.5000|tok=' Use' ; t=13|margin=0.8054|tok=' function' ; t=29|margin=0.8438|tok=')\\n' ; t=0|margin=0.8438|tok='```' ; t=9|margin=1.0156|tok=' #' ; t=12|margin=1.3906|tok=' min' ; t=30|margin=2.5881|tok='```' ; t=26|margin=3.9830|tok=' return'</t>
  </si>
  <si>
    <t>mbpp_63</t>
  </si>
  <si>
    <t>TypeError: bad operand type for abs(): 'tuple'</t>
  </si>
  <si>
    <t xml:space="preserve">Traceback (most recent call last):
  File "/tmp/tmpko1erwby/candidate_eval.py", line 6, in &lt;module&gt;
    assert max_difference([(3, 5), (1, 7), (10, 3), (1, 2)]) == 7
           ^^^^^^^^^^^^^^^^^^^^^^^^^^^^^^^^^^^^^^^^^^^^^^^^^
  File "/tmp/tmpko1erwby/candidate_eval.py", line 3, in max_difference
    res = max(abs(sub) for sub in test_list)
          ^^^^^^^^^^^^^^^^^^^^^^^^^^^^^^^^^^
  File "/tmp/tmpko1erwby/candidate_eval.py", line 3, in &lt;genexpr&gt;
    res = max(abs(sub) for sub in test_list)
              ^^^^^^^^
TypeError: bad operand type for abs(): 'tuple'
</t>
  </si>
  <si>
    <t>Write a function to find the maximum difference between available pairs in the given tuple list.</t>
  </si>
  <si>
    <t xml:space="preserve">&lt;|im_start|&gt;system
You are an expert Python competitive programmer.&lt;|im_end|&gt;
&lt;|im_start|&gt;user
Solve the following Python programming task. Return only valid Python code. Do not use Markdown. Do not explain.Task:Write a function to find the maximum difference between available pairs in the given tuple list.Required tests include:assert max_difference([(3, 5), (1, 7), (10, 3), (1, 2)]) == 7assert max_difference([(4, 6), (2, 17), (9, 13), (11, 12)]) == 15assert max_difference([(12, 35), (21, 27), (13, 23), (41, 22)]) == 23&lt;|im_end|&gt;
&lt;|im_start|&gt;assistant
</t>
  </si>
  <si>
    <t>```python
def max_difference(test_list):
    # Calculate the absolute difference for each pair and return the maximum
    res = max(abs(sub) for sub in test_list)
    return res
```</t>
  </si>
  <si>
    <t>def max_difference(test_list):
    # Calculate the absolute difference for each pair and return the maximum
    res = max(abs(sub) for sub in test_list)
    return res</t>
  </si>
  <si>
    <t>HumanEval/25</t>
  </si>
  <si>
    <t xml:space="preserve">from typing import List
def factorize(n: int) -&gt; List[int]:
    """ Return list of prime factors of given integer in the order from smallest to largest.
    Each of the factors should be listed number of times corresponding to how many times it appeares in factorization.
    Input number should be equal to the product of all factors
    &gt;&gt;&gt; factorize(8)
    [2, 2, 2]
    &gt;&gt;&gt; factorize(25)
    [5, 5]
    &gt;&gt;&gt; factorize(70)
    [2, 5, 7]
    """
</t>
  </si>
  <si>
    <t>```python
from typing import List
def factorize(n: int) -&gt; List[int]:
    factors = []
    # Start with the smallest prime number
    divisor = 2
    while n &gt;= divisor * divisor:
        if n % divisor == 0:
            factors.append(divisor)
            n //= divisor
        else:
            divisor += 1
    if n &gt; 1:
        factors.append(n)
    return factors
```</t>
  </si>
  <si>
    <t>from typing import List
def factorize(n: int) -&gt; List[int]:
    factors = []
    # Start with the smallest prime number
    divisor = 2
    while n &gt;= divisor * divisor:
        if n % divisor == 0:
            factors.append(divisor)
            n //= divisor
        else:
            divisor += 1
    if n &gt; 1:
        factors.append(n)
    return factors</t>
  </si>
  <si>
    <t>t=28|entropy=2.2274|tok='(sub' ; t=22|entropy=1.1052|tok='\\n' ; t=19|entropy=1.0063|tok=' return' ; t=10|entropy=0.8204|tok=' #' ; t=6|entropy=0.7795|tok='(test' ; t=39|entropy=0.7136|tok='\\n' ; t=0|entropy=0.6711|tok='```' ; t=18|entropy=0.6699|tok=' and' ; t=27|entropy=0.5429|tok='(abs' ; t=11|entropy=0.5322|tok=' Calculate'</t>
  </si>
  <si>
    <t>t=28|margin=0.0312|tok='(sub' ; t=39|margin=0.0426|tok='\\n' ; t=19|margin=0.7756|tok=' return' ; t=22|margin=0.7869|tok='\\n' ; t=0|margin=1.0000|tok='```' ; t=10|margin=1.2188|tok=' #' ; t=14|margin=1.3224|tok=' difference' ; t=18|margin=1.4631|tok=' and' ; t=27|margin=1.5781|tok='(abs' ; t=40|margin=2.2401|tok='```'</t>
  </si>
  <si>
    <t>{'type': 'RuntimeError', 'message': "TypeError: bad operand type for abs(): 'tuple'", 'stderr_tail': 'Traceback (most recent call last):\n  File "/tmp/tmpko1erwby/candidate_eval.py", line 6, in &lt;module&gt;\n    assert max_difference([(3, 5), (1, 7), (10, 3), (1, 2)]) == 7\n           ^^^^^^^^^^^^^^^^^^^^^^^^^^^^^^^^^^^^^^^^^^^^^^^^^\n  File "/tmp/tmpko1erwby/candidate_eval.py", line 3, in max_difference\n    res = max(abs(sub) for sub in test_list)\n          ^^^^^^^^^^^^^^^^^^^^^^^^^^^^^^^^^^\n  File "/tmp/tmpko1erwby/candidate_eval.py", line 3, in &lt;genexpr&gt;\n    res = max(abs(sub) for sub in test_list)\n              ^^^^^^^^\nTypeError: bad operand type for abs(): \'tuple\'\n', 'stdout_tail': ''}</t>
  </si>
  <si>
    <t>mbpp_64</t>
  </si>
  <si>
    <t>Write a function to sort a list of tuples using the second value of each tuple.</t>
  </si>
  <si>
    <t xml:space="preserve">&lt;|im_start|&gt;system
You are an expert Python competitive programmer.&lt;|im_end|&gt;
&lt;|im_start|&gt;user
Solve the following Python programming task. Return only valid Python code. Do not use Markdown. Do not explain.Task:Write a function to sort a list of tuples using the second value of each tuple.Required tests include:assert subject_marks([('English', 88), ('Science', 90), ('Maths', 97), ('Social sciences', 82)])==[('Social sciences', 82), ('English', 88), ('Science', 90), ('Maths', 97)]assert subject_marks([('Telugu',49),('Hindhi',54),('Social',33)])==([('Social',33),('Telugu',49),('Hindhi',54)])assert subject_marks([('Physics',96),('Chemistry',97),('Biology',45)])==([('Biology',45),('Physics',96),('Chemistry',97)])&lt;|im_end|&gt;
&lt;|im_start|&gt;assistant
</t>
  </si>
  <si>
    <t>def subject_marks(marks):
    return sorted(marks, key=lambda x: x[1])</t>
  </si>
  <si>
    <t>HumanEval/26</t>
  </si>
  <si>
    <t>{'type': 'RuntimeError', 'message': 'AssertionError', 'stderr_tail': 'Traceback (most recent call last):\n  File "/tmp/tmp19cy781x/candidate_eval.py", line 38, in &lt;module&gt;\n    check(remove_duplicates)\n  File "/tmp/tmp19cy781x/candidate_eval.py", line 35, in check\n    assert candidate([1, 2, 3, 2, 4, 3, 5]) == [1, 4, 5]\n           ^^^^^^^^^^^^^^^^^^^^^^^^^^^^^^^^^^^^^^^^^^^^^\nAssertionError\n', 'stdout_tail': ''}</t>
  </si>
  <si>
    <t xml:space="preserve">from typing import List
def remove_duplicates(numbers: List[int]) -&gt; List[int]:
    """ From a list of integers, remove all elements that occur more than once.
    Keep order of elements left the same as in the input.
    &gt;&gt;&gt; remove_duplicates([1, 2, 3, 2, 4])
    [1, 3, 4]
    """
</t>
  </si>
  <si>
    <t>```python
from typing import List
def remove_duplicates(numbers: List[int]) -&gt; List[int]:
    seen = set()
    result = []
    for number in numbers:
        if number not in seen:
            seen.add(number)
            result.append(number)
    return result
```</t>
  </si>
  <si>
    <t>from typing import List
def remove_duplicates(numbers: List[int]) -&gt; List[int]:
    seen = set()
    result = []
    for number in numbers:
        if number not in seen:
            seen.add(number)
            result.append(number)
    return result</t>
  </si>
  <si>
    <t>t=3|entropy=1.8577|tok='(m' ; t=5|entropy=1.0701|tok='):\\n' ; t=7|entropy=0.9894|tok=' return' ; t=0|entropy=0.7892|tok='def' ; t=14|entropy=0.2731|tok=' x' ; t=19|entropy=0.2608|tok='])' ; t=6|entropy=0.1266|tok='   ' ; t=13|entropy=0.0600|tok='=lambda' ; t=20|entropy=0.0155|tok='' ; t=9|entropy=0.0121|tok='(m'</t>
  </si>
  <si>
    <t>t=0|margin=0.2031|tok='def' ; t=5|margin=0.2188|tok='):\\n' ; t=7|margin=0.5312|tok=' return' ; t=3|margin=0.7031|tok='(m' ; t=14|margin=2.8750|tok=' x' ; t=19|margin=3.2812|tok='])' ; t=6|margin=4.3097|tok='   ' ; t=13|margin=4.5938|tok='=lambda' ; t=9|margin=6.6733|tok='(m' ; t=2|margin=7.1335|tok='_marks'</t>
  </si>
  <si>
    <t>mbpp_65</t>
  </si>
  <si>
    <t>Write a function to flatten a list and sum all of its elements.</t>
  </si>
  <si>
    <t xml:space="preserve">&lt;|im_start|&gt;system
You are an expert Python competitive programmer.&lt;|im_end|&gt;
&lt;|im_start|&gt;user
Solve the following Python programming task. Return only valid Python code. Do not use Markdown. Do not explain.Task:Write a function to flatten a list and sum all of its elements.Required tests include:assert recursive_list_sum(([1, 2, [3,4],[5,6]]))==21assert recursive_list_sum(([7, 10, [15,14],[19,41]]))==106assert recursive_list_sum(([10, 20, [30,40],[50,60]]))==210&lt;|im_end|&gt;
&lt;|im_start|&gt;assistant
</t>
  </si>
  <si>
    <t>```python
def recursive_list_sum(lst):
    total = 0
    for i in lst:
        if isinstance(i, list):
            total += recursive_list_sum(i)
        else:
            total += i
    return total
# Test cases
assert recursive_list_sum([1, 2, [3, 4], [5, 6]]) == 21
assert recursive_list_sum([7, 10, [15, 14], [19, 41]]) == 106
assert recursive_list_sum([10, 20, [30, 40], [50, 60]]) == 210
```</t>
  </si>
  <si>
    <t>def recursive_list_sum(lst):
    total = 0
    for i in lst:
        if isinstance(i, list):
            total += recursive_list_sum(i)
        else:
            total += i
    return total
# Test cases
assert recursive_list_sum([1, 2, [3, 4], [5, 6]]) == 21
assert recursive_list_sum([7, 10, [15, 14], [19, 41]]) == 106
assert recursive_list_sum([10, 20, [30, 40], [50, 60]]) == 210</t>
  </si>
  <si>
    <t>HumanEval/27</t>
  </si>
  <si>
    <t>t=17|entropy=1.3684|tok=' i' ; t=10|entropy=0.9724|tok=' total' ; t=0|entropy=0.8156|tok='```' ; t=7|entropy=0.6661|tok='(lst' ; t=47|entropy=0.5799|tok='\\n\\n' ; t=56|entropy=0.5715|tok='([' ; t=23|entropy=0.5024|tok=' isinstance' ; t=65|entropy=0.4584|tok=' ' ; t=146|entropy=0.2892|tok='```' ; t=8|entropy=0.1595|tok='):\\n'</t>
  </si>
  <si>
    <t xml:space="preserve">
def flip_case(string: str) -&gt; str:
    """ For a given string, flip lowercase characters to uppercase and uppercase to lowercase.
    &gt;&gt;&gt; flip_case('Hello')
    'hELLO'
    """
</t>
  </si>
  <si>
    <t>t=17|margin=0.6562|tok=' i' ; t=0|margin=0.6719|tok='```' ; t=47|margin=1.0597|tok='\\n\\n' ; t=23|margin=1.4219|tok=' isinstance' ; t=56|margin=1.4574|tok='([' ; t=65|margin=1.5909|tok=' ' ; t=10|margin=1.6406|tok=' total' ; t=146|margin=2.3906|tok='```' ; t=7|margin=3.1250|tok='(lst' ; t=11|margin=3.8295|tok=' ='</t>
  </si>
  <si>
    <t>```python
def flip_case(s: str) -&gt; str:
    return ''.join(c.lower() if c.isupper() else c.upper() for c in s)
```</t>
  </si>
  <si>
    <t>def flip_case(s: str) -&gt; str:
    return ''.join(c.lower() if c.isupper() else c.upper() for c in s)</t>
  </si>
  <si>
    <t>mbpp_66</t>
  </si>
  <si>
    <t>Write a python function to count the number of positive numbers in a list.</t>
  </si>
  <si>
    <t xml:space="preserve">&lt;|im_start|&gt;system
You are an expert Python competitive programmer.&lt;|im_end|&gt;
&lt;|im_start|&gt;user
Solve the following Python programming task. Return only valid Python code. Do not use Markdown. Do not explain.Task:Write a python function to count the number of positive numbers in a list.Required tests include:assert pos_count([1,-2,3,-4]) == 2assert pos_count([3,4,5,-1]) == 3assert pos_count([1,2,3,4]) == 4&lt;|im_end|&gt;
&lt;|im_start|&gt;assistant
</t>
  </si>
  <si>
    <t>```python
def pos_count(nums):
    # Use a generator expression to filter and count positive numbers
    return sum(1 for num in nums if num &gt; 0)
```</t>
  </si>
  <si>
    <t>def pos_count(nums):
    # Use a generator expression to filter and count positive numbers
    return sum(1 for num in nums if num &gt; 0)</t>
  </si>
  <si>
    <t>HumanEval/28</t>
  </si>
  <si>
    <t>t=6|entropy=1.6237|tok='(nums' ; t=10|entropy=1.2328|tok=' Use' ; t=27|entropy=1.0577|tok=' num' ; t=16|entropy=1.0537|tok=' and' ; t=9|entropy=1.0204|tok=' #' ; t=11|entropy=0.8593|tok=' a' ; t=0|entropy=0.7787|tok='```' ; t=15|entropy=0.7116|tok=' filter' ; t=24|entropy=0.5581|tok='(' ; t=35|entropy=0.5428|tok=')\\n'</t>
  </si>
  <si>
    <t xml:space="preserve">from typing import List
def concatenate(strings: List[str]) -&gt; str:
    """ Concatenate list of strings into a single string
    &gt;&gt;&gt; concatenate([])
    ''
    &gt;&gt;&gt; concatenate(['a', 'b', 'c'])
    'abc'
    """
</t>
  </si>
  <si>
    <t>t=15|margin=0.4119|tok=' filter' ; t=9|margin=0.5156|tok=' #' ; t=16|margin=0.5497|tok=' and' ; t=0|margin=0.5938|tok='```' ; t=10|margin=0.6562|tok=' Use' ; t=27|margin=0.9062|tok=' num' ; t=6|margin=0.9531|tok='(nums' ; t=35|margin=1.2031|tok=')\\n' ; t=11|margin=1.7898|tok=' a' ; t=36|margin=2.1989|tok='```'</t>
  </si>
  <si>
    <t>```python
from typing import List
def concatenate(strings: List[str]) -&gt; str:
    return ''.join(strings)
```</t>
  </si>
  <si>
    <t>from typing import List
def concatenate(strings: List[str]) -&gt; str:
    return ''.join(strings)</t>
  </si>
  <si>
    <t>mbpp_67</t>
  </si>
  <si>
    <t xml:space="preserve">Traceback (most recent call last):
  File "/tmp/tmpfeq6x0k_/candidate_eval.py", line 12, in &lt;module&gt;
    assert bell_number(2)==2
           ^^^^^^^^^^^^^^^^^
AssertionError
</t>
  </si>
  <si>
    <t>Write a function to find the number of ways to partition a set of Bell numbers.</t>
  </si>
  <si>
    <t xml:space="preserve">&lt;|im_start|&gt;system
You are an expert Python competitive programmer.&lt;|im_end|&gt;
&lt;|im_start|&gt;user
Solve the following Python programming task. Return only valid Python code. Do not use Markdown. Do not explain.Task:Write a function to find the number of ways to partition a set of Bell numbers.Required tests include:assert bell_number(2)==2assert bell_number(10)==115975assert bell_number(56)==6775685320645824322581483068371419745979053216268760300&lt;|im_end|&gt;
&lt;|im_start|&gt;assistant
</t>
  </si>
  <si>
    <t>```python
def bell_number(n): 
    if n == 0: 
        return 1
    B = [0] * (n + 1) 
    B[0] = 1
    for i in range(1, n + 1): 
        B[i] = 0
        for j in range(i - 1, -1, -1): 
            B[j] += B[j - 1] 
    return B[n]
```</t>
  </si>
  <si>
    <t>def bell_number(n): 
    if n == 0: 
        return 1
    B = [0] * (n + 1) 
    B[0] = 1
    for i in range(1, n + 1): 
        B[i] = 0
        for j in range(i - 1, -1, -1): 
            B[j] += B[j - 1] 
    return B[n]</t>
  </si>
  <si>
    <t>HumanEval/29</t>
  </si>
  <si>
    <t xml:space="preserve">from typing import List
def filter_by_prefix(strings: List[str], prefix: str) -&gt; List[str]:
    """ Filter an input list of strings only for ones that start with a given prefix.
    &gt;&gt;&gt; filter_by_prefix([], 'a')
    []
    &gt;&gt;&gt; filter_by_prefix(['abc', 'bcd', 'cde', 'array'], 'a')
    ['abc', 'array']
    """
</t>
  </si>
  <si>
    <t>```python
from typing import List
def filter_by_prefix(strings: List[str], prefix: str) -&gt; List[str]:
    return [s for s in strings if s.startswith(prefix)]
```</t>
  </si>
  <si>
    <t>from typing import List
def filter_by_prefix(strings: List[str], prefix: str) -&gt; List[str]:
    return [s for s in strings if s.startswith(prefix)]</t>
  </si>
  <si>
    <t>t=23|entropy=2.9436|tok=' B' ; t=10|entropy=2.4866|tok=' if' ; t=21|entropy=1.6707|tok='\\n' ; t=4|entropy=1.1939|tok=' bell' ; t=15|entropy=0.9761|tok=':' ; t=64|entropy=0.9608|tok=' ' ; t=7|entropy=0.8671|tok='):' ; t=12|entropy=0.8527|tok=' ==' ; t=60|entropy=0.8271|tok=' B' ; t=0|entropy=0.7377|tok='```'</t>
  </si>
  <si>
    <t>t=21|margin=0.0781|tok='\\n' ; t=7|margin=0.1094|tok='):' ; t=10|margin=0.1406|tok=' if' ; t=94|margin=0.3977|tok=']' ; t=64|margin=0.5327|tok=' ' ; t=27|margin=0.9844|tok=']' ; t=23|margin=1.2734|tok=' B' ; t=15|margin=1.4773|tok=':' ; t=11|margin=1.5625|tok=' n' ; t=34|margin=1.6250|tok=')'</t>
  </si>
  <si>
    <t>{'type': 'RuntimeError', 'message': 'AssertionError', 'stderr_tail': 'Traceback (most recent call last):\n  File "/tmp/tmpfeq6x0k_/candidate_eval.py", line 12, in &lt;module&gt;\n    assert bell_number(2)==2\n           ^^^^^^^^^^^^^^^^^\nAssertionError\n', 'stdout_tail': ''}</t>
  </si>
  <si>
    <t>mbpp_68</t>
  </si>
  <si>
    <t>Write a python function to check whether the given array is monotonic or not.</t>
  </si>
  <si>
    <t xml:space="preserve">&lt;|im_start|&gt;system
You are an expert Python competitive programmer.&lt;|im_end|&gt;
&lt;|im_start|&gt;user
Solve the following Python programming task. Return only valid Python code. Do not use Markdown. Do not explain.Task:Write a python function to check whether the given array is monotonic or not.Required tests include:assert is_Monotonic([6, 5, 4, 4]) == Trueassert is_Monotonic([1, 2, 2, 3]) == Trueassert is_Monotonic([1, 3, 2]) == False&lt;|im_end|&gt;
&lt;|im_start|&gt;assistant
</t>
  </si>
  <si>
    <t>```python
def is_Monotonic(A):
    return (all(A[i] &lt;= A[i + 1] for i in range(len(A) - 1)) or 
            all(A[i] &gt;= A[i + 1] for i in range(len(A) - 1)))
# Test cases
assert is_Monotonic([6, 5, 4, 4]) == True
assert is_Monotonic([1, 2, 2, 3]) == True
assert is_Monotonic([1, 3, 2]) == False
```</t>
  </si>
  <si>
    <t>def is_Monotonic(A):
    return (all(A[i] &lt;= A[i + 1] for i in range(len(A) - 1)) or 
            all(A[i] &gt;= A[i + 1] for i in range(len(A) - 1)))
# Test cases
assert is_Monotonic([6, 5, 4, 4]) == True
assert is_Monotonic([1, 2, 2, 3]) == True
assert is_Monotonic([1, 3, 2]) == False</t>
  </si>
  <si>
    <t>HumanEval/30</t>
  </si>
  <si>
    <t xml:space="preserve">
def get_positive(l: list):
    """Return only positive numbers in the list.
    &gt;&gt;&gt; get_positive([-1, 2, -4, 5, 6])
    [2, 5, 6]
    &gt;&gt;&gt; get_positive([5, 3, -5, 2, -3, 3, 9, 0, 123, 1, -10])
    [5, 3, 2, 3, 9, 123, 1]
    """
</t>
  </si>
  <si>
    <t>```python
def get_positive(l: list):
    return [x for x in l if x &gt; 0]
```</t>
  </si>
  <si>
    <t>def get_positive(l: list):
    return [x for x in l if x &gt; 0]</t>
  </si>
  <si>
    <t>t=9|entropy=1.0608|tok='(A' ; t=13|entropy=0.9143|tok=' (' ; t=37|entropy=0.8023|tok=' \\n' ; t=60|entropy=0.6290|tok=')))\\n\\n' ; t=0|entropy=0.5428|tok='```' ; t=10|entropy=0.4470|tok='):\\n' ; t=36|entropy=0.4128|tok=' or' ; t=12|entropy=0.3638|tok=' return' ; t=125|entropy=0.1931|tok='```' ; t=15|entropy=0.1189|tok='(A'</t>
  </si>
  <si>
    <t>t=9|margin=0.2500|tok='(A' ; t=37|margin=0.6705|tok=' \\n' ; t=60|margin=0.8125|tok=')))\\n\\n' ; t=13|margin=1.2812|tok=' (' ; t=0|margin=1.7188|tok='```' ; t=36|margin=1.8949|tok=' or' ; t=10|margin=2.5312|tok='):\\n' ; t=12|margin=2.8438|tok=' return' ; t=125|margin=2.9943|tok='```' ; t=15|margin=4.1733|tok='(A'</t>
  </si>
  <si>
    <t>mbpp_69</t>
  </si>
  <si>
    <t>Write a function to check whether a list contains the given sublist or not.</t>
  </si>
  <si>
    <t xml:space="preserve">&lt;|im_start|&gt;system
You are an expert Python competitive programmer.&lt;|im_end|&gt;
&lt;|im_start|&gt;user
Solve the following Python programming task. Return only valid Python code. Do not use Markdown. Do not explain.Task:Write a function to check whether a list contains the given sublist or not.Required tests include:assert is_sublist([2,4,3,5,7],[3,7])==Falseassert is_sublist([2,4,3,5,7],[4,3])==Trueassert is_sublist([2,4,3,5,7],[1,6])==False&lt;|im_end|&gt;
&lt;|im_start|&gt;assistant
</t>
  </si>
  <si>
    <t>```python
def is_sublist(main_list, sub_list):
    if sub_list == []:
        return True
    elif sub_list == main_list:
        return True
    elif len(sub_list) &gt; len(main_list):
        return False
    else:
        for i in range(len(main_list)):
            if main_list[i] == sub_list[0]:
                n = 1
                while (n &lt; len(sub_list)) and (main_list[i+n] == sub_list[n]):
                    n += 1
                if n == len(sub_list):
                    return True
    return False
```</t>
  </si>
  <si>
    <t>def is_sublist(main_list, sub_list):
    if sub_list == []:
        return True
    elif sub_list == main_list:
        return True
    elif len(sub_list) &gt; len(main_list):
        return False
    else:
        for i in range(len(main_list)):
            if main_list[i] == sub_list[0]:
                n = 1
                while (n &lt; len(sub_list)) and (main_list[i+n] == sub_list[n]):
                    n += 1
                if n == len(sub_list):
                    return True
    return False</t>
  </si>
  <si>
    <t>HumanEval/31</t>
  </si>
  <si>
    <t xml:space="preserve">
def is_prime(n):
    """Return true if a given number is prime, and false otherwise.
    &gt;&gt;&gt; is_prime(6)
    False
    &gt;&gt;&gt; is_prime(101)
    True
    &gt;&gt;&gt; is_prime(11)
    True
    &gt;&gt;&gt; is_prime(13441)
    True
    &gt;&gt;&gt; is_prime(61)
    True
    &gt;&gt;&gt; is_prime(4)
    False
    &gt;&gt;&gt; is_prime(1)
    False
    """
</t>
  </si>
  <si>
    <t>```python
def is_prime(n):
    if n &lt;= 1:
        return False
    if n == 2:
        return True
    if n % 2 == 0:
        return False
    for i in range(3, int(n**0.5) + 1, 2):
        if n % i == 0:
            return False
    return True
```</t>
  </si>
  <si>
    <t>def is_prime(n):
    if n &lt;= 1:
        return False
    if n == 2:
        return True
    if n % 2 == 0:
        return False
    for i in range(3, int(n**0.5) + 1, 2):
        if n % i == 0:
            return False
    return True</t>
  </si>
  <si>
    <t>t=106|entropy=1.6104|tok='\\n                \\n' ; t=14|entropy=1.5038|tok=' if' ; t=7|entropy=1.2978|tok='(main' ; t=15|entropy=1.1037|tok=' sub' ; t=118|entropy=0.9309|tok='\\n' ; t=49|entropy=0.9015|tok='\\n' ; t=122|entropy=0.7135|tok='\\n' ; t=94|entropy=0.6733|tok='+n' ; t=119|entropy=0.6665|tok='   ' ; t=0|entropy=0.5900|tok='```'</t>
  </si>
  <si>
    <t>t=122|margin=0.1648|tok='\\n' ; t=94|margin=0.4062|tok='+n' ; t=106|margin=0.4446|tok='\\n                \\n' ; t=14|margin=0.7031|tok=' if' ; t=7|margin=0.7969|tok='(main' ; t=119|margin=0.8665|tok='   ' ; t=15|margin=1.0938|tok=' sub' ; t=49|margin=1.1193|tok='\\n' ; t=0|margin=1.3594|tok='```' ; t=118|margin=1.3849|tok='\\n'</t>
  </si>
  <si>
    <t>mbpp_70</t>
  </si>
  <si>
    <t>Write a function to find whether all the given tuples have equal length or not.</t>
  </si>
  <si>
    <t xml:space="preserve">&lt;|im_start|&gt;system
You are an expert Python competitive programmer.&lt;|im_end|&gt;
&lt;|im_start|&gt;user
Solve the following Python programming task. Return only valid Python code. Do not use Markdown. Do not explain.Task:Write a function to find whether all the given tuples have equal length or not.Required tests include:assert get_equal([(11, 22, 33), (44, 55, 66)]) == Trueassert get_equal([(1, 2, 3), (4, 5, 6, 7)]) == Falseassert get_equal([(1, 2), (3, 4)]) == True&lt;|im_end|&gt;
&lt;|im_start|&gt;assistant
</t>
  </si>
  <si>
    <t>```python
def get_equal(test_list):
    res = len(set(len(sub) for sub in test_list)) == 1
    return res
```</t>
  </si>
  <si>
    <t>def get_equal(test_list):
    res = len(set(len(sub) for sub in test_list)) == 1
    return res</t>
  </si>
  <si>
    <t>HumanEval/32</t>
  </si>
  <si>
    <t>{'type': 'RuntimeError', 'message': "NameError: name 'poly' is not defined", 'stderr_tail': 'Traceback (most recent call last):\n  File "/tmp/tmpxsor970t/candidate_eval.py", line 64, in &lt;module&gt;\n    check(find_zero)\n  File "/tmp/tmpxsor970t/candidate_eval.py", line 59, in check\n    solution = candidate(copy.deepcopy(coeffs))\n               ^^^^^^^^^^^^^^^^^^^^^^^^^^^^^^^^\n  File "/tmp/tmpxsor970t/candidate_eval.py", line 35, in find_zero\n    fx = f(x)\n         ^^^^\n  File "/tmp/tmpxsor970t/candidate_eval.py", line 28, in f\n    return poly(xs, x)\n           ^^^^\nNameError: name \'poly\' is not defined\n', 'stdout_tail': ''}</t>
  </si>
  <si>
    <t xml:space="preserve">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only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t>
  </si>
  <si>
    <t>```python
import math
def poly(xs: list, x: float):
    """
    Evaluates polynomial with coefficients xs at point x.
    return xs[0] + xs[1] * x + xs[1] * x^2 + .... xs[n] * x^n
    """
    return sum([coeff * math.pow(x, i) for i, coeff in enumerate(xs)])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def f(x):
        return poly(xs, x)
    def df(x):
        return sum([i * coeff * math.pow(x, i-1) for i, coeff in enumerate(xs) if i &gt; 0])
    x = 0.0
    while True:
        fx = f(x)
        dfx = df(x)
        if abs(fx) &lt; 1e-9:
            return round(x, 2)
        x -= fx / dfx
```</t>
  </si>
  <si>
    <t>t=6|entropy=1.0608|tok='(test' ; t=10|entropy=0.9148|tok=' res' ; t=14|entropy=0.7541|tok='(len' ; t=30|entropy=0.7148|tok='\\n' ; t=0|entropy=0.6845|tok='```' ; t=23|entropy=0.4655|tok=' ==' ; t=15|entropy=0.4625|tok='(sub' ; t=8|entropy=0.3926|tok='):\\n' ; t=12|entropy=0.2978|tok=' len' ; t=16|entropy=0.1747|tok=')'</t>
  </si>
  <si>
    <t>import math
def find_zero(xs: list):
    """ xs are coefficients of a polynomial.
    find_zero find x such that poly(x) = 0.
    find_zero returns only one zero point, even if there are many.
    Moreover, find_zero only takes list xs having even number of coefficients
    and largest non zero coefficient as it guarantees
    a solution.
    &gt;&gt;&gt; round(find_zero([1, 2]), 2) # f(x) = 1 + 2x
    -0.5
    &gt;&gt;&gt; round(find_zero([-6, 11, -6, 1]), 2) # (x - 1) * (x - 2) * (x - 3) = -6 + 11x - 6x^2 + x^3
    1.0
    """
    def f(x):
        return poly(xs, x)
    def df(x):
        return sum([i * coeff * math.pow(x, i-1) for i, coeff in enumerate(xs) if i &gt; 0])
    x = 0.0
    while True:
        fx = f(x)
        dfx = df(x)
        if abs(fx) &lt; 1e-9:
            return round(x, 2)
        x -= fx / dfx</t>
  </si>
  <si>
    <t>t=14|margin=0.1562|tok='(len' ; t=10|margin=0.4844|tok=' res' ; t=30|margin=0.6847|tok='\\n' ; t=0|margin=1.0469|tok='```' ; t=23|margin=1.7173|tok=' ==' ; t=6|margin=2.2500|tok='(test' ; t=8|margin=2.4844|tok='):\\n' ; t=15|margin=2.6875|tok='(sub' ; t=12|margin=2.6918|tok=' len' ; t=31|margin=3.2642|tok='```'</t>
  </si>
  <si>
    <t>semantic_cluster</t>
  </si>
  <si>
    <t>NameError: name 'poly' is not defined</t>
  </si>
  <si>
    <t>mbpp_71</t>
  </si>
  <si>
    <t>n</t>
  </si>
  <si>
    <t>Write a function to sort a list of elements.</t>
  </si>
  <si>
    <t>pass_rate</t>
  </si>
  <si>
    <t xml:space="preserve">&lt;|im_start|&gt;system
You are an expert Python competitive programmer.&lt;|im_end|&gt;
&lt;|im_start|&gt;user
Solve the following Python programming task. Return only valid Python code. Do not use Markdown. Do not explain.Task:Write a function to sort a list of elements.Required tests include:assert comb_sort([5, 15, 37, 25, 79]) == [5, 15, 25, 37, 79]assert comb_sort([41, 32, 15, 19, 22]) == [15, 19, 22, 32, 41]assert comb_sort([99, 15, 13, 47]) == [13, 15, 47, 99]&lt;|im_end|&gt;
&lt;|im_start|&gt;assistant
</t>
  </si>
  <si>
    <t>```python
def comb_sort(arr):
    gap = len(arr)
    shrink_factor = 1.3
    sorted = False
    while not sorted:
        gap = int(gap / shrink_factor)
        if gap &lt;= 1:
            gap = 1
            sorted = True
        i = 0
        while i + gap &lt; len(arr):
            if arr[i] &gt; arr[i + gap]:
                arr[i], arr[i + gap] = arr[i + gap], arr[i]
                sorted = False
            i += 1
    return arr
```</t>
  </si>
  <si>
    <t>def comb_sort(arr):
    gap = len(arr)
    shrink_factor = 1.3
    sorted = False
    while not sorted:
        gap = int(gap / shrink_factor)
        if gap &lt;= 1:
            gap = 1
            sorted = True
        i = 0
        while i + gap &lt; len(arr):
            if arr[i] &gt; arr[i + gap]:
                arr[i], arr[i + gap] = arr[i + gap], arr[i]
                sorted = False
            i += 1
    return arr</t>
  </si>
  <si>
    <t>HumanEval/33</t>
  </si>
  <si>
    <t>t=6|entropy=1.4810|tok='(arr' ; t=9|entropy=1.2585|tok=' gap' ; t=60|entropy=1.0002|tok='\\n\\n' ; t=62|entropy=0.9383|tok=' i' ; t=34|entropy=0.7695|tok=' gap' ; t=0|entropy=0.7593|tok='```' ; t=32|entropy=0.6933|tok=':\\n' ; t=42|entropy=0.5793|tok=')\\n' ; t=30|entropy=0.5345|tok=' not' ; t=115|entropy=0.4749|tok='\\n\\n'</t>
  </si>
  <si>
    <t>t=32|margin=0.1250|tok=':\\n' ; t=9|margin=0.5469|tok=' gap' ; t=60|margin=0.5682|tok='\\n\\n' ; t=62|margin=0.5938|tok=' i' ; t=42|margin=1.1364|tok=')\\n' ; t=6|margin=1.1875|tok='(arr' ; t=34|margin=1.2244|tok=' gap' ; t=0|margin=1.2344|tok='```' ; t=30|margin=1.4489|tok=' not' ; t=115|margin=1.5767|tok='\\n\\n'</t>
  </si>
  <si>
    <t xml:space="preserve">
def sort_third(l: list):
    """This function takes a list l and returns a list l' such that
    l' is identical to l in the indicies that are not divisible by three, while its values at the indicies that are divisible by three are equal
    to the values of the corresponding indicies of l, but sorted.
    &gt;&gt;&gt; sort_third([1, 2, 3])
    [1, 2, 3]
    &gt;&gt;&gt; sort_third([5, 6, 3, 4, 8, 9, 2])
    [2, 6, 3, 4, 8, 9, 5]
    """
</t>
  </si>
  <si>
    <t>```python
def sort_third(l: list):
    indices_divisible_by_three = [i for i in range(len(l)) if i % 3 == 0]
    values_at_divisible_indices = [l[i] for i in indices_divisible_by_three]
    sorted_values = sorted(values_at_divisible_indices)
    result = l[:]
    for original_index, new_value in zip(indices_divisible_by_three, sorted_values):
        result[original_index] = new_value
    return result
```</t>
  </si>
  <si>
    <t>mbpp_72</t>
  </si>
  <si>
    <t>def sort_third(l: list):
    indices_divisible_by_three = [i for i in range(len(l)) if i % 3 == 0]
    values_at_divisible_indices = [l[i] for i in indices_divisible_by_three]
    sorted_values = sorted(values_at_divisible_indices)
    result = l[:]
    for original_index, new_value in zip(indices_divisible_by_three, sorted_values):
        result[original_index] = new_value
    return result</t>
  </si>
  <si>
    <t xml:space="preserve">Traceback (most recent call last):
  File "/tmp/tmpnlrzuafo/candidate_eval.py", line 6, in &lt;module&gt;
    assert dif_Square(15) == True
           ^^^^^^^^^^^^^^^^^^^^^^
AssertionError
</t>
  </si>
  <si>
    <t>Write a python function to check whether the given number can be represented as the difference of two squares or not.</t>
  </si>
  <si>
    <t xml:space="preserve">&lt;|im_start|&gt;system
You are an expert Python competitive programmer.&lt;|im_end|&gt;
&lt;|im_start|&gt;user
Solve the following Python programming task. Return only valid Python code. Do not use Markdown. Do not explain.Task:Write a python function to check whether the given number can be represented as the difference of two squares or not.Required tests include:assert dif_Square(5) == Trueassert dif_Square(10) == Falseassert dif_Square(15) == True&lt;|im_end|&gt;
&lt;|im_start|&gt;assistant
</t>
  </si>
  <si>
    <t>```python
def dif_Square(n): 
    return (n &amp; 2) == 0
```</t>
  </si>
  <si>
    <t>def dif_Square(n): 
    return (n &amp; 2) == 0</t>
  </si>
  <si>
    <t>t=17|entropy=1.1666|tok=')' ; t=8|entropy=0.9070|tok='):' ; t=7|entropy=0.8282|tok='(n' ; t=12|entropy=0.7550|tok=' (' ; t=11|entropy=0.7456|tok=' return' ; t=0|entropy=0.7329|tok='```' ; t=21|entropy=0.6145|tok='\\n' ; t=14|entropy=0.6127|tok=' &amp;' ; t=16|entropy=0.6019|tok='2' ; t=9|entropy=0.5878|tok=' \\n'</t>
  </si>
  <si>
    <t>HumanEval/34</t>
  </si>
  <si>
    <t>t=8|margin=0.1250|tok='):' ; t=12|margin=0.6875|tok=' (' ; t=11|margin=0.8750|tok=' return' ; t=0|margin=1.0000|tok='```' ; t=16|margin=1.0469|tok='2' ; t=7|margin=1.1562|tok='(n' ; t=14|margin=1.1875|tok=' &amp;' ; t=17|margin=1.3494|tok=')' ; t=9|margin=1.8594|tok=' \\n' ; t=18|margin=2.0526|tok=' =='</t>
  </si>
  <si>
    <t>{'type': 'RuntimeError', 'message': 'AssertionError', 'stderr_tail': 'Traceback (most recent call last):\n  File "/tmp/tmpnlrzuafo/candidate_eval.py", line 6, in &lt;module&gt;\n    assert dif_Square(15) == True\n           ^^^^^^^^^^^^^^^^^^^^^^\nAssertionError\n', 'stdout_tail': ''}</t>
  </si>
  <si>
    <t xml:space="preserve">
def unique(l: list):
    """Return sorted unique elements in a list
    &gt;&gt;&gt; unique([5, 3, 5, 2, 3, 3, 9, 0, 123])
    [0, 2, 3, 5, 9, 123]
    """
</t>
  </si>
  <si>
    <t>mbpp_74</t>
  </si>
  <si>
    <t>```python
def unique(l: list):
    return sorted(set(l))
```</t>
  </si>
  <si>
    <t>def unique(l: list):
    return sorted(set(l))</t>
  </si>
  <si>
    <t>Write a function to check whether it follows the sequence given in the patterns array.</t>
  </si>
  <si>
    <t xml:space="preserve">&lt;|im_start|&gt;system
You are an expert Python competitive programmer.&lt;|im_end|&gt;
&lt;|im_start|&gt;user
Solve the following Python programming task. Return only valid Python code. Do not use Markdown. Do not explain.Task:Write a function to check whether it follows the sequence given in the patterns array.Required tests include:assert is_samepatterns(["red","green","green"], ["a", "b", "b"])==Trueassert is_samepatterns(["red","green","greenn"], ["a","b","b"])==Falseassert is_samepatterns(["red","green","greenn"], ["a","b"])==False&lt;|im_end|&gt;
&lt;|im_start|&gt;assistant
</t>
  </si>
  <si>
    <t>```python
def is_samepatterns(colors, patterns):
    if len(colors) != len(patterns):
        return False
    color_to_pattern = {}
    pattern_to_color = {}
    for color, pattern in zip(colors, patterns):
        if color in color_to_pattern and color_to_pattern[color] != pattern:
            return False
        if pattern in pattern_to_color and pattern_to_color[pattern] != color:
            return False
        color_to_pattern[color] = pattern
        pattern_to_color[pattern] = color
    return True
```</t>
  </si>
  <si>
    <t>def is_samepatterns(colors, patterns):
    if len(colors) != len(patterns):
        return False
    color_to_pattern = {}
    pattern_to_color = {}
    for color, pattern in zip(colors, patterns):
        if color in color_to_pattern and color_to_pattern[color] != pattern:
            return False
        if pattern in pattern_to_color and pattern_to_color[pattern] != color:
            return False
        color_to_pattern[color] = pattern
        pattern_to_color[pattern] = color
    return True</t>
  </si>
  <si>
    <t>HumanEval/35</t>
  </si>
  <si>
    <t xml:space="preserve">
def max_element(l: list):
    """Return maximum element in the list.
    &gt;&gt;&gt; max_element([1, 2, 3])
    3
    &gt;&gt;&gt; max_element([5, 3, -5, 2, -3, 3, 9, 0, 123, 1, -10])
    123
    """
</t>
  </si>
  <si>
    <t>```python
def max_element(l: list):
    return max(l)
```</t>
  </si>
  <si>
    <t>def max_element(l: list):
    return max(l)</t>
  </si>
  <si>
    <t>t=7|entropy=1.5551|tok='(colors' ; t=40|entropy=0.9435|tok=' color' ; t=12|entropy=0.8600|tok=' if' ; t=24|entropy=0.7614|tok='\\n    \\n' ; t=33|entropy=0.7221|tok='_to' ; t=112|entropy=0.6805|tok='\\n' ; t=27|entropy=0.6413|tok='_to' ; t=51|entropy=0.6271|tok=' color' ; t=0|entropy=0.6050|tok='```' ; t=89|entropy=0.5860|tok='\\n        \\n'</t>
  </si>
  <si>
    <t>t=112|margin=0.3636|tok='\\n' ; t=89|margin=0.9915|tok='\\n        \\n' ; t=27|margin=1.1250|tok='_to' ; t=51|margin=1.2287|tok=' color' ; t=40|margin=1.3125|tok=' color' ; t=0|margin=1.5312|tok='```' ; t=24|margin=1.6151|tok='\\n    \\n' ; t=7|margin=1.6250|tok='(colors' ; t=52|margin=1.6619|tok=' in' ; t=26|margin=1.7969|tok=' color'</t>
  </si>
  <si>
    <t>mbpp_75</t>
  </si>
  <si>
    <t>Write a function to find tuples which have all elements divisible by k from the given list of tuples.</t>
  </si>
  <si>
    <t xml:space="preserve">&lt;|im_start|&gt;system
You are an expert Python competitive programmer.&lt;|im_end|&gt;
&lt;|im_start|&gt;user
Solve the following Python programming task. Return only valid Python code. Do not use Markdown. Do not explain.Task:Write a function to find tuples which have all elements divisible by k from the given list of tuples.Required tests include:assert find_tuples([(6, 24, 12), (7, 9, 6), (12, 18, 21)], 6) == [(6, 24, 12)]assert find_tuples([(5, 25, 30), (4, 2, 3), (7, 8, 9)], 5) == [(5, 25, 30)]assert find_tuples([(7, 9, 16), (8, 16, 4), (19, 17, 18)], 4) == [(8, 16, 4)]&lt;|im_end|&gt;
&lt;|im_start|&gt;assistant
</t>
  </si>
  <si>
    <t>```python
def find_tuples(test_list, K):
    res = [tup for tup in test_list if all(ele % K == 0 for ele in tup)]
    return res
```</t>
  </si>
  <si>
    <t>def find_tuples(test_list, K):
    res = [tup for tup in test_list if all(ele % K == 0 for ele in tup)]
    return res</t>
  </si>
  <si>
    <t>HumanEval/36</t>
  </si>
  <si>
    <t xml:space="preserve">
def fizz_buzz(n: int):
    """Return the number of times the digit 7 appears in integers less than n which are divisible by 11 or 13.
    &gt;&gt;&gt; fizz_buzz(50)
    0
    &gt;&gt;&gt; fizz_buzz(78)
    2
    &gt;&gt;&gt; fizz_buzz(79)
    3
    """
</t>
  </si>
  <si>
    <t>```python
def fizz_buzz(n: int) -&gt; int:
    count = 0
    for i in range(1, n):
        if i % 11 == 0 or i % 13 == 0:
            count += str(i).count('7')
    return count
```</t>
  </si>
  <si>
    <t>def fizz_buzz(n: int) -&gt; int:
    count = 0
    for i in range(1, n):
        if i % 11 == 0 or i % 13 == 0:
            count += str(i).count('7')
    return count</t>
  </si>
  <si>
    <t>t=15|entropy=1.8080|tok='t' ; t=6|entropy=1.1908|tok='(test' ; t=24|entropy=0.8742|tok='(ele' ; t=12|entropy=0.8108|tok=' res' ; t=38|entropy=0.7394|tok='\\n' ; t=10|entropy=0.7348|tok='):\\n' ; t=0|entropy=0.6982|tok='```' ; t=9|entropy=0.3421|tok=' K' ; t=14|entropy=0.3047|tok=' [' ; t=39|entropy=0.0926|tok='```'</t>
  </si>
  <si>
    <t>t=10|margin=0.0469|tok='):\\n' ; t=38|margin=0.2074|tok='\\n' ; t=15|margin=0.4062|tok='t' ; t=12|margin=0.4531|tok=' res' ; t=0|margin=0.7656|tok='```' ; t=6|margin=1.6094|tok='(test' ; t=24|margin=1.7500|tok='(ele' ; t=14|margin=2.3750|tok=' [' ; t=9|margin=2.8281|tok=' K' ; t=39|margin=3.9986|tok='```'</t>
  </si>
  <si>
    <t>mbpp_77</t>
  </si>
  <si>
    <t>Write a python function to find whether a number is divisible by 11.</t>
  </si>
  <si>
    <t xml:space="preserve">&lt;|im_start|&gt;system
You are an expert Python competitive programmer.&lt;|im_end|&gt;
&lt;|im_start|&gt;user
Solve the following Python programming task. Return only valid Python code. Do not use Markdown. Do not explain.Task:Write a python function to find whether a number is divisible by 11.Required tests include:assert is_Diff (12345) == Falseassert is_Diff(1212112) == Trueassert is_Diff(1212) == False&lt;|im_end|&gt;
&lt;|im_start|&gt;assistant
</t>
  </si>
  <si>
    <t>```python
def is_Diff(n):
    return n % 11 == 0
```</t>
  </si>
  <si>
    <t>def is_Diff(n):
    return n % 11 == 0</t>
  </si>
  <si>
    <t>HumanEval/37</t>
  </si>
  <si>
    <t xml:space="preserve">
def sort_even(l: list):
    """This function takes a list l and returns a list l' such that
    l' is identical to l in the odd indicies, while its values at the even indicies are equal
    to the values of the even indicies of l, but sorted.
    &gt;&gt;&gt; sort_even([1, 2, 3])
    [1, 2, 3]
    &gt;&gt;&gt; sort_even([5, 6, 3, 4])
    [3, 6, 5, 4]
    """
</t>
  </si>
  <si>
    <t>```python
def sort_even(l: list):
    even_indices = [i for i in range(len(l)) if i % 2 == 0]
    even_values = sorted([l[i] for i in even_indices])
    result = l[:]
    for i, value in zip(even_indices, even_values):
        result[i] = value
    return result
```</t>
  </si>
  <si>
    <t>def sort_even(l: list):
    even_indices = [i for i in range(len(l)) if i % 2 == 0]
    even_values = sorted([l[i] for i in even_indices])
    result = l[:]
    for i, value in zip(even_indices, even_values):
        result[i] = value
    return result</t>
  </si>
  <si>
    <t>t=10|entropy=2.0667|tok=' return' ; t=7|entropy=0.9621|tok='(n' ; t=8|entropy=0.8689|tok='):\\n' ; t=0|entropy=0.6942|tok='```' ; t=19|entropy=0.6622|tok='\\n' ; t=11|entropy=0.2473|tok=' n' ; t=20|entropy=0.1094|tok='```' ; t=5|entropy=0.1028|tok='_D' ; t=4|entropy=0.0679|tok=' is' ; t=9|entropy=0.0213|tok='   '</t>
  </si>
  <si>
    <t>t=10|margin=0.3125|tok=' return' ; t=8|margin=0.5000|tok='):\\n' ; t=19|margin=0.6690|tok='\\n' ; t=7|margin=1.0312|tok='(n' ; t=0|margin=1.2969|tok='```' ; t=11|margin=3.7188|tok=' n' ; t=20|margin=3.8182|tok='```' ; t=5|margin=4.8054|tok='_D' ; t=9|margin=6.1151|tok='   ' ; t=6|margin=6.3679|tok='iff'</t>
  </si>
  <si>
    <t>mbpp_79</t>
  </si>
  <si>
    <t>Write a python function to check whether the length of the word is odd or not.</t>
  </si>
  <si>
    <t xml:space="preserve">&lt;|im_start|&gt;system
You are an expert Python competitive programmer.&lt;|im_end|&gt;
&lt;|im_start|&gt;user
Solve the following Python programming task. Return only valid Python code. Do not use Markdown. Do not explain.Task:Write a python function to check whether the length of the word is odd or not.Required tests include:assert word_len("Hadoop") == Falseassert word_len("great") == Trueassert word_len("structure") == True&lt;|im_end|&gt;
&lt;|im_start|&gt;assistant
</t>
  </si>
  <si>
    <t>```python
def word_len(word):
    return len(word) % 2 != 0
```</t>
  </si>
  <si>
    <t>def word_len(word):
    return len(word) % 2 != 0</t>
  </si>
  <si>
    <t>HumanEval/38</t>
  </si>
  <si>
    <t>{'type': 'RuntimeError', 'message': "NameError: name 'encode_cyclic' is not defined. Did you mean: 'decode_cyclic'?", 'stderr_tail': 'Traceback (most recent call last):\n  File "/tmp/tmpa6xgx860/candidate_eval.py", line 40, in &lt;module&gt;\n    check(decode_cyclic)\n  File "/tmp/tmpa6xgx860/candidate_eval.py", line 35, in check\n    encoded_str = encode_cyclic(str)\n                  ^^^^^^^^^^^^^\nNameError: name \'encode_cyclic\' is not defined. Did you mean: \'decode_cyclic\'?\n', 'stdout_tail': ''}</t>
  </si>
  <si>
    <t>t=6|entropy=1.1293|tok='(word' ; t=0|entropy=0.8489|tok='```' ; t=9|entropy=0.7998|tok=' return' ; t=7|entropy=0.6424|tok='):\\n' ; t=19|entropy=0.6112|tok='\\n' ; t=8|entropy=0.2176|tok='   ' ; t=16|entropy=0.2067|tok=' !=' ; t=20|entropy=0.1230|tok='```' ; t=10|entropy=0.0428|tok=' len' ; t=13|entropy=0.0092|tok=' %'</t>
  </si>
  <si>
    <t xml:space="preserve">
def encode_cyclic(s: str):
    """
    returns encoded string by cycling groups of three characters.
    """
    # split string to groups. Each of length 3.
    groups = [s[(3 * i):min((3 * i + 3), len(s))] for i in range((len(s) + 2) // 3)]
    # cycle elements in each group. Unless group has fewer elements than 3.
    groups = [(group[1:] + group[0]) if len(group) == 3 else group for group in groups]
    return "".join(groups)
def decode_cyclic(s: str):
    """
    takes as input string encoded with encode_cyclic function. Returns decoded string.
    """
</t>
  </si>
  <si>
    <t>t=9|margin=0.2344|tok=' return' ; t=0|margin=0.7656|tok='```' ; t=19|margin=0.9247|tok='\\n' ; t=7|margin=1.5781|tok='):\\n' ; t=6|margin=2.0156|tok='(word' ; t=8|margin=2.8594|tok='   ' ; t=16|margin=3.0213|tok=' !=' ; t=20|margin=3.6705|tok='```' ; t=10|margin=5.9432|tok=' len' ; t=13|margin=6.7500|tok=' %'</t>
  </si>
  <si>
    <t>```python
def decode_cyclic(s: str):
    """
    takes as input string encoded with encode_cyclic function. Returns decoded string.
    """
    # split string to groups. Each of length 3.
    groups = [s[(3 * i):min((3 * i + 3), len(s))] for i in range((len(s) + 2) // 3)]
    # reverse cycle elements in each group. Unless group has fewer elements than 3.
    groups = [(group[-1] + group[:-1]) if len(group) == 3 else group for group in groups]
    return "".join(groups)
```</t>
  </si>
  <si>
    <t>def decode_cyclic(s: str):
    """
    takes as input string encoded with encode_cyclic function. Returns decoded string.
    """
    # split string to groups. Each of length 3.
    groups = [s[(3 * i):min((3 * i + 3), len(s))] for i in range((len(s) + 2) // 3)]
    # reverse cycle elements in each group. Unless group has fewer elements than 3.
    groups = [(group[-1] + group[:-1]) if len(group) == 3 else group for group in groups]
    return "".join(groups)</t>
  </si>
  <si>
    <t>mbpp_80</t>
  </si>
  <si>
    <t>NameError: name 'encode_cyclic' is not defined. Did you mean: 'decode_cyclic'?</t>
  </si>
  <si>
    <t>Write a function to find the nth tetrahedral number.</t>
  </si>
  <si>
    <t xml:space="preserve">&lt;|im_start|&gt;system
You are an expert Python competitive programmer.&lt;|im_end|&gt;
&lt;|im_start|&gt;user
Solve the following Python programming task. Return only valid Python code. Do not use Markdown. Do not explain.Task:Write a function to find the nth tetrahedral number.Required tests include:assert tetrahedral_number(5) == 35assert tetrahedral_number(6) == 56assert tetrahedral_number(7) == 84&lt;|im_end|&gt;
&lt;|im_start|&gt;assistant
</t>
  </si>
  <si>
    <t>```python
def tetrahedral_number(n):
    return int(n * (n + 1) * (n + 2) / 6)
```</t>
  </si>
  <si>
    <t>def tetrahedral_number(n):
    return int(n * (n + 1) * (n + 2) / 6)</t>
  </si>
  <si>
    <t>HumanEval/39</t>
  </si>
  <si>
    <t>t=12|entropy=0.8987|tok=' int' ; t=0|entropy=0.7996|tok='```' ; t=11|entropy=0.6883|tok=' return' ; t=13|entropy=0.6376|tok='(n' ; t=31|entropy=0.5615|tok=')\\n' ; t=9|entropy=0.4726|tok='):\\n' ; t=32|entropy=0.1719|tok='```' ; t=28|entropy=0.1111|tok=' /' ; t=10|entropy=0.0466|tok='   ' ; t=3|entropy=0.0324|tok='def'</t>
  </si>
  <si>
    <t>t=12|margin=0.1562|tok=' int' ; t=0|margin=0.5312|tok='```' ; t=11|margin=0.8594|tok=' return' ; t=13|margin=0.9460|tok='(n' ; t=31|margin=1.1094|tok=')\\n' ; t=9|margin=1.8906|tok='):\\n' ; t=32|margin=3.4560|tok='```' ; t=28|margin=3.7344|tok=' /' ; t=10|margin=4.9304|tok='   ' ; t=27|margin=5.9787|tok=')'</t>
  </si>
  <si>
    <t xml:space="preserve">
def prime_fib(n: int):
    """
    prime_fib returns n-th number that is a Fibonacci number and it's also prime.
    &gt;&gt;&gt; prime_fib(1)
    2
    &gt;&gt;&gt; prime_fib(2)
    3
    &gt;&gt;&gt; prime_fib(3)
    5
    &gt;&gt;&gt; prime_fib(4)
    13
    &gt;&gt;&gt; prime_fib(5)
    89
    """
</t>
  </si>
  <si>
    <t>```python
from sympy import isprime
def prime_fib(n: int) -&gt; int:
    def fib_generator():
        a, b = 0, 1
        while True:
            yield b
            a, b = b, a + b
    count = 0
    for fib_num in fib_generator():
        if fib_num &gt; 1 and isprime(fib_num):
            count += 1
            if count == n:
                return fib_num
```</t>
  </si>
  <si>
    <t>mbpp_82</t>
  </si>
  <si>
    <t>from sympy import isprime
def prime_fib(n: int) -&gt; int:
    def fib_generator():
        a, b = 0, 1
        while True:
            yield b
            a, b = b, a + b
    count = 0
    for fib_num in fib_generator():
        if fib_num &gt; 1 and isprime(fib_num):
            count += 1
            if count == n:
                return fib_num</t>
  </si>
  <si>
    <t>Write a function to find the volume of a sphere.</t>
  </si>
  <si>
    <t xml:space="preserve">&lt;|im_start|&gt;system
You are an expert Python competitive programmer.&lt;|im_end|&gt;
&lt;|im_start|&gt;user
Solve the following Python programming task. Return only valid Python code. Do not use Markdown. Do not explain.Task:Write a function to find the volume of a sphere.Required tests include:assert math.isclose(volume_sphere(10), 4188.790204786391, rel_tol=0.001)assert math.isclose(volume_sphere(25), 65449.84694978735, rel_tol=0.001)assert math.isclose(volume_sphere(20), 33510.32163829113, rel_tol=0.001)&lt;|im_end|&gt;
&lt;|im_start|&gt;assistant
</t>
  </si>
  <si>
    <t>```python
import math
def volume_sphere(radius):
    # Calculate the volume using the formula (4/3) * pi * r^3
    return (4.0 / 3) * math.pi * radius ** 3
```</t>
  </si>
  <si>
    <t>import math
def volume_sphere(radius):
    # Calculate the volume using the formula (4/3) * pi * r^3
    return (4.0 / 3) * math.pi * radius ** 3</t>
  </si>
  <si>
    <t>t=19|entropy=0.9850|tok=' (' ; t=0|entropy=0.8802|tok='```' ; t=35|entropy=0.8509|tok='.' ; t=12|entropy=0.7636|tok=' #' ; t=16|entropy=0.6681|tok=' using' ; t=40|entropy=0.6519|tok=')' ; t=9|entropy=0.6065|tok='(radius' ; t=49|entropy=0.5491|tok='\\n' ; t=45|entropy=0.5467|tok=' radius' ; t=37|entropy=0.5397|tok=' /'</t>
  </si>
  <si>
    <t>t=12|margin=0.0156|tok=' #' ; t=0|margin=0.2188|tok='```' ; t=16|margin=0.4602|tok=' using' ; t=40|margin=0.6108|tok=')' ; t=19|margin=0.9375|tok=' (' ; t=35|margin=1.1491|tok='.' ; t=37|margin=1.2116|tok=' /' ; t=49|margin=1.2216|tok='\\n' ; t=9|margin=1.2656|tok='(radius' ; t=25|margin=1.5156|tok=' pi'</t>
  </si>
  <si>
    <t>HumanEval/40</t>
  </si>
  <si>
    <t>mbpp_83</t>
  </si>
  <si>
    <t xml:space="preserve">Traceback (most recent call last):
  File "/tmp/tmptk4qmfx1/candidate_eval.py", line 9, in &lt;module&gt;
    assert get_Char("abc") == "f"
           ^^^^^^^^^^^^^^^^^^^^^^
AssertionError
</t>
  </si>
  <si>
    <t>Write a python function to find the character made by adding the ASCII value of all the characters of the given string modulo 26.</t>
  </si>
  <si>
    <t xml:space="preserve">
def triples_sum_to_zero(l: list):
    """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
</t>
  </si>
  <si>
    <t xml:space="preserve">&lt;|im_start|&gt;system
You are an expert Python competitive programmer.&lt;|im_end|&gt;
&lt;|im_start|&gt;user
Solve the following Python programming task. Return only valid Python code. Do not use Markdown. Do not explain.Task:Write a python function to find the character made by adding the ASCII value of all the characters of the given string modulo 26.Required tests include:assert get_Char("abc") == "f"assert get_Char("gfg") == "t"assert get_Char("ab") == "c"&lt;|im_end|&gt;
&lt;|im_start|&gt;assistant
</t>
  </si>
  <si>
    <t>```python
def triples_sum_to_zero(l: list) -&gt; bool:
    n = len(l)
    for i in range(n-2):
        seen = set()
        target = -l[i]
        for j in range(i+1, n):
            if target - l[j] in seen:
                return True
            seen.add(l[j])
    return False
```</t>
  </si>
  <si>
    <t>```python
def get_Char(s):
    # Calculate the sum of ASCII values of all characters in the string
    total_ascii = sum(ord(char) for char in s)
    # Find the remainder when the sum is divided by 26
    result = total_ascii % 26
    # Convert the remainder back to a character and return it
    return chr(result + ord('a'))
```</t>
  </si>
  <si>
    <t>def get_Char(s):
    # Calculate the sum of ASCII values of all characters in the string
    total_ascii = sum(ord(char) for char in s)
    # Find the remainder when the sum is divided by 26
    result = total_ascii % 26
    # Convert the remainder back to a character and return it
    return chr(result + ord('a'))</t>
  </si>
  <si>
    <t>def triples_sum_to_zero(l: list) -&gt; bool:
    n = len(l)
    for i in range(n-2):
        seen = set()
        target = -l[i]
        for j in range(i+1, n):
            if target - l[j] in seen:
                return True
            seen.add(l[j])
    return False</t>
  </si>
  <si>
    <t>t=9|entropy=2.1561|tok=' #' ; t=6|entropy=1.8560|tok='(s' ; t=24|entropy=1.7139|tok=' total' ; t=53|entropy=1.4567|tok=' =' ; t=40|entropy=1.2940|tok=' remainder' ; t=42|entropy=1.1808|tok=' the' ; t=38|entropy=1.1194|tok=' Find' ; t=25|entropy=1.0982|tok='_ascii' ; t=7|entropy=1.0678|tok='):\\n' ; t=70|entropy=0.8970|tok=' and'</t>
  </si>
  <si>
    <t>t=7|margin=0.0781|tok='):\\n' ; t=25|margin=0.1094|tok='_ascii' ; t=70|margin=0.2230|tok=' and' ; t=53|margin=0.3835|tok=' =' ; t=54|margin=0.3849|tok=' total' ; t=43|margin=0.4545|tok=' sum' ; t=36|margin=0.5511|tok='   ' ; t=9|margin=0.7969|tok=' #' ; t=65|margin=0.9943|tok=' remainder' ; t=42|margin=0.9986|tok=' the'</t>
  </si>
  <si>
    <t>{'type': 'RuntimeError', 'message': 'AssertionError', 'stderr_tail': 'Traceback (most recent call last):\n  File "/tmp/tmptk4qmfx1/candidate_eval.py", line 9, in &lt;module&gt;\n    assert get_Char("abc") == "f"\n           ^^^^^^^^^^^^^^^^^^^^^^\nAssertionError\n', 'stdout_tail': ''}</t>
  </si>
  <si>
    <t>mbpp_84</t>
  </si>
  <si>
    <t>Write a function to find the nth number in the newman conway sequence.</t>
  </si>
  <si>
    <t xml:space="preserve">&lt;|im_start|&gt;system
You are an expert Python competitive programmer.&lt;|im_end|&gt;
&lt;|im_start|&gt;user
Solve the following Python programming task. Return only valid Python code. Do not use Markdown. Do not explain.Task:Write a function to find the nth number in the newman conway sequence.Required tests include:assert sequence(10) == 6assert sequence(2) == 1assert sequence(3) == 2&lt;|im_end|&gt;
&lt;|im_start|&gt;assistant
</t>
  </si>
  <si>
    <t>```python
def sequence(n):
    if n == 1 or n == 2:
        return 1
    else:
        return sequence(sequence(n - 1)) + sequence(n - sequence(n - 1))
```</t>
  </si>
  <si>
    <t>def sequence(n):
    if n == 1 or n == 2:
        return 1
    else:
        return sequence(sequence(n - 1)) + sequence(n - sequence(n - 1))</t>
  </si>
  <si>
    <t>HumanEval/41</t>
  </si>
  <si>
    <t xml:space="preserve">
def car_race_collision(n: int):
    """
    Imagine a road that's a perfectly straight infinitely long line.
    n cars are driving left to right;  simultaneously, a different set of n cars
    are driving right to left.   The two sets of cars start out being very far from
    each other.  All cars move in the same speed.  Two cars are said to collide
    when a car that's moving left to right hits a car that's moving right to left.
    However, the cars are infinitely sturdy and strong; as a result, they continue moving
    in their trajectory as if they did not collide.
    This function outputs the number of such collisions.
    """
</t>
  </si>
  <si>
    <t>```python
def car_race_collision(n: int) -&gt; int:
    return n * n
```</t>
  </si>
  <si>
    <t>def car_race_collision(n: int) -&gt; int:
    return n * n</t>
  </si>
  <si>
    <t>t=25|entropy=0.9631|tok=' else' ; t=0|entropy=0.8520|tok='```' ; t=46|entropy=0.7252|tok='```' ; t=45|entropy=0.6918|tok='))\\n' ; t=10|entropy=0.6441|tok=' ==' ; t=6|entropy=0.5177|tok='):\\n' ; t=8|entropy=0.4897|tok=' if' ; t=23|entropy=0.3416|tok='\\n' ; t=13|entropy=0.2575|tok=' or' ; t=4|entropy=0.1069|tok=' sequence'</t>
  </si>
  <si>
    <t>t=45|margin=0.1719|tok='))\\n' ; t=0|margin=0.5156|tok='```' ; t=10|margin=1.1591|tok=' ==' ; t=25|margin=1.8509|tok=' else' ; t=6|margin=2.0156|tok='):\\n' ; t=8|margin=2.1562|tok=' if' ; t=46|margin=2.1804|tok='```' ; t=23|margin=2.4219|tok='\\n' ; t=13|margin=2.5938|tok=' or' ; t=12|margin=5.0142|tok='1'</t>
  </si>
  <si>
    <t>mbpp_85</t>
  </si>
  <si>
    <t>Write a function to find the surface area of a sphere.</t>
  </si>
  <si>
    <t xml:space="preserve">&lt;|im_start|&gt;system
You are an expert Python competitive programmer.&lt;|im_end|&gt;
&lt;|im_start|&gt;user
Solve the following Python programming task. Return only valid Python code. Do not use Markdown. Do not explain.Task:Write a function to find the surface area of a sphere.Required tests include:assert math.isclose(surfacearea_sphere(10), 1256.6370614359173, rel_tol=0.001)assert math.isclose(surfacearea_sphere(15), 2827.4333882308138, rel_tol=0.001)assert math.isclose(surfacearea_sphere(20), 5026.548245743669, rel_tol=0.001)&lt;|im_end|&gt;
&lt;|im_start|&gt;assistant
</t>
  </si>
  <si>
    <t>import math
def surfacearea_sphere(radius):
    return 4 * math.pi * radius ** 2</t>
  </si>
  <si>
    <t>HumanEval/42</t>
  </si>
  <si>
    <t>t=21|entropy=0.9416|tok='' ; t=0|entropy=0.8928|tok='import' ; t=10|entropy=0.6918|tok=' return' ; t=7|entropy=0.5977|tok='(radius' ; t=2|entropy=0.5832|tok='\\n\\n' ; t=18|entropy=0.3738|tok=' **' ; t=17|entropy=0.2202|tok=' radius' ; t=9|entropy=0.1128|tok='   ' ; t=5|entropy=0.0607|tok='area' ; t=11|entropy=0.0354|tok=' '</t>
  </si>
  <si>
    <t xml:space="preserve">
def incr_list(l: list):
    """Return list with elements incremented by 1.
    &gt;&gt;&gt; incr_list([1, 2, 3])
    [2, 3, 4]
    &gt;&gt;&gt; incr_list([5, 3, 5, 2, 3, 3, 9, 0, 123])
    [6, 4, 6, 3, 4, 4, 10, 1, 124]
    """
</t>
  </si>
  <si>
    <t>t=0|margin=0.0000|tok='import' ; t=21|margin=0.9943|tok='' ; t=10|margin=1.0938|tok=' return' ; t=7|margin=1.3125|tok='(radius' ; t=2|margin=1.7188|tok='\\n\\n' ; t=18|margin=2.6250|tok=' **' ; t=17|margin=2.9062|tok=' radius' ; t=9|margin=4.0824|tok='   ' ; t=5|margin=4.6321|tok='area' ; t=8|margin=5.6094|tok='):\\n'</t>
  </si>
  <si>
    <t>```python
def incr_list(l: list):
    return [x + 1 for x in l]
```</t>
  </si>
  <si>
    <t>def incr_list(l: list):
    return [x + 1 for x in l]</t>
  </si>
  <si>
    <t>mbpp_86</t>
  </si>
  <si>
    <t>Write a function to find nth centered hexagonal number.</t>
  </si>
  <si>
    <t xml:space="preserve">&lt;|im_start|&gt;system
You are an expert Python competitive programmer.&lt;|im_end|&gt;
&lt;|im_start|&gt;user
Solve the following Python programming task. Return only valid Python code. Do not use Markdown. Do not explain.Task:Write a function to find nth centered hexagonal number.Required tests include:assert centered_hexagonal_number(10) == 271assert centered_hexagonal_number(2) == 7assert centered_hexagonal_number(9) == 217&lt;|im_end|&gt;
&lt;|im_start|&gt;assistant
</t>
  </si>
  <si>
    <t>```python
def centered_hexagonal_number(n):
    return 3 * n * (n - 1) + 1
# Test cases
assert centered_hexagonal_number(10) == 271
assert centered_hexagonal_number(2) == 7
assert centered_hexagonal_number(9) == 217
```</t>
  </si>
  <si>
    <t>def centered_hexagonal_number(n):
    return 3 * n * (n - 1) + 1
# Test cases
assert centered_hexagonal_number(10) == 271
assert centered_hexagonal_number(2) == 7
assert centered_hexagonal_number(9) == 217</t>
  </si>
  <si>
    <t>t=0|entropy=0.8026|tok='```' ; t=11|entropy=0.6881|tok=' return' ; t=26|entropy=0.6819|tok='\\n\\n' ; t=9|entropy=0.5481|tok='):\\n' ; t=12|entropy=0.5410|tok=' ' ; t=10|entropy=0.1093|tok='   ' ; t=72|entropy=0.0954|tok='```' ; t=16|entropy=0.0453|tok=' *' ; t=28|entropy=0.0369|tok=' Test' ; t=8|entropy=0.0352|tok='(n'</t>
  </si>
  <si>
    <t>t=26|margin=0.3821|tok='\\n\\n' ; t=11|margin=0.5781|tok=' return' ; t=0|margin=0.6250|tok='```' ; t=9|margin=1.8125|tok='):\\n' ; t=12|margin=2.1080|tok=' ' ; t=10|margin=3.8537|tok='   ' ; t=72|margin=3.9574|tok='```' ; t=16|margin=5.0455|tok=' *' ; t=8|margin=5.7188|tok='(n' ; t=3|margin=5.8594|tok='def'</t>
  </si>
  <si>
    <t>mbpp_87</t>
  </si>
  <si>
    <t>HumanEval/43</t>
  </si>
  <si>
    <t xml:space="preserve">Traceback (most recent call last):
  File "/tmp/tmpg6wdroa4/candidate_eval.py", line 9, in &lt;module&gt;
    assert merge_dictionaries_three({ "R": "Red", "B": "Black", "P": "Pink" }, { "G": "Green", "W": "White" },{"L":"lavender","B":"Blue"})=={'W': 'White', 'P': 'Pink', 'B': 'Black', 'R': 'Red', 'G': 'Green', 'L': 'lavender'}
           ^^^^^^^^^^^^^^^^^^^^^^^^^^^^^^^^^^^^^^^^^^^^^^^^^^^^^^^^^^^^^^^^^^^^^^^^^^^^^^^^^^^^^^^^^^^^^^^^^^^^^^^^^^^^^^^^^^^^^^^^^^^^^^^^^^^^^^^^^^^^^^^^^^^^^^^^^^^^^^^^^^^^^^^^^^^^^^^^^^^^^^^^^^^^^^^^^^^^^^^^^^^^^^^^^^^^^
AssertionError
</t>
  </si>
  <si>
    <t>Write a function to merge three dictionaries into a single dictionary.</t>
  </si>
  <si>
    <t xml:space="preserve">
def pairs_sum_to_zero(l):
    """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
</t>
  </si>
  <si>
    <t xml:space="preserve">&lt;|im_start|&gt;system
You are an expert Python competitive programmer.&lt;|im_end|&gt;
&lt;|im_start|&gt;user
Solve the following Python programming task. Return only valid Python code. Do not use Markdown. Do not explain.Task:Write a function to merge three dictionaries into a single dictionary.Required tests include:assert merge_dictionaries_three({ "R": "Red", "B": "Black", "P": "Pink" }, { "G": "Green", "W": "White" },{ "O": "Orange", "W": "White", "B": "Black" })=={'B': 'Black', 'R': 'Red', 'P': 'Pink', 'G': 'Green', 'W': 'White', 'O': 'Orange'}assert merge_dictionaries_three({ "R": "Red", "B": "Black", "P": "Pink" }, { "G": "Green", "W": "White" },{"L":"lavender","B":"Blue"})=={'W': 'White', 'P': 'Pink', 'B': 'Black', 'R': 'Red', 'G': 'Green', 'L': 'lavender'}assert merge_dictionaries_three({ "R": "Red", "B": "Black", "P": "Pink" },{"L":"lavender","B":"Blue"},{ "G": "Green", "W": "White" })=={'B': 'Black', 'P': 'Pink', 'R': 'Red', 'G': 'Green', 'L': 'lavender', 'W': 'White'}&lt;|im_end|&gt;
&lt;|im_start|&gt;assistant
</t>
  </si>
  <si>
    <t>```python
def pairs_sum_to_zero(l):
    seen = set()
    for num in l:
        if -num in seen:
            return True
        seen.add(num)
    return False
```</t>
  </si>
  <si>
    <t>```python
def merge_dictionaries_three(dict1, dict2, dict3):
    # Merge the first two dictionaries
    merged_dict = {**dict1, **dict2}
    # Merge the third dictionary into the result
    merged_dict.update(dict3)
    return merged_dict
```</t>
  </si>
  <si>
    <t>def pairs_sum_to_zero(l):
    seen = set()
    for num in l:
        if -num in seen:
            return True
        seen.add(num)
    return False</t>
  </si>
  <si>
    <t>def merge_dictionaries_three(dict1, dict2, dict3):
    # Merge the first two dictionaries
    merged_dict = {**dict1, **dict2}
    # Merge the third dictionary into the result
    merged_dict.update(dict3)
    return merged_dict</t>
  </si>
  <si>
    <t>HumanEval/44</t>
  </si>
  <si>
    <t>t=18|entropy=1.1989|tok=' #' ; t=19|entropy=1.1947|tok=' Merge' ; t=21|entropy=0.8111|tok=' first' ; t=27|entropy=0.7613|tok='_dict' ; t=0|entropy=0.7542|tok='```' ; t=44|entropy=0.7419|tok=' into' ; t=42|entropy=0.7362|tok=' third' ; t=20|entropy=0.7277|tok=' the' ; t=59|entropy=0.6860|tok='\\n' ; t=49|entropy=0.6397|tok=' merged'</t>
  </si>
  <si>
    <t>t=19|margin=0.1719|tok=' Merge' ; t=42|margin=0.1875|tok=' third' ; t=44|margin=0.3224|tok=' into' ; t=59|margin=0.3580|tok='\\n' ; t=27|margin=0.8125|tok='_dict' ; t=18|margin=0.8281|tok=' #' ; t=21|margin=1.0767|tok=' first' ; t=0|margin=1.0938|tok='```' ; t=20|margin=1.4176|tok=' the' ; t=38|margin=2.0199|tok='   '</t>
  </si>
  <si>
    <t xml:space="preserve">
def change_base(x: int, base: int):
    """Change numerical base of input number x to base.
    return string representation after the conversion.
    base numbers are less than 10.
    &gt;&gt;&gt; change_base(8, 3)
    '22'
    &gt;&gt;&gt; change_base(8, 2)
    '1000'
    &gt;&gt;&gt; change_base(7, 2)
    '111'
    """
</t>
  </si>
  <si>
    <t>```python
def change_base(x: int, base: int) -&gt; str:
    if x == 0:
        return "0"
    digits = []
    while x:
        digits.append(int(x % base))
        x //= base
    return ''.join(str(x) for x in digits[::-1])
```</t>
  </si>
  <si>
    <t>def change_base(x: int, base: int) -&gt; str:
    if x == 0:
        return "0"
    digits = []
    while x:
        digits.append(int(x % base))
        x //= base
    return ''.join(str(x) for x in digits[::-1])</t>
  </si>
  <si>
    <t>{'type': 'RuntimeError', 'message': 'AssertionError', 'stderr_tail': 'Traceback (most recent call last):\n  File "/tmp/tmpg6wdroa4/candidate_eval.py", line 9, in &lt;module&gt;\n    assert merge_dictionaries_three({ "R": "Red", "B": "Black", "P": "Pink" }, { "G": "Green", "W": "White" },{"L":"lavender","B":"Blue"})=={\'W\': \'White\', \'P\': \'Pink\', \'B\': \'Black\', \'R\': \'Red\', \'G\': \'Green\', \'L\': \'lavender\'}\n           ^^^^^^^^^^^^^^^^^^^^^^^^^^^^^^^^^^^^^^^^^^^^^^^^^^^^^^^^^^^^^^^^^^^^^^^^^^^^^^^^^^^^^^^^^^^^^^^^^^^^^^^^^^^^^^^^^^^^^^^^^^^^^^^^^^^^^^^^^^^^^^^^^^^^^^^^^^^^^^^^^^^^^^^^^^^^^^^^^^^^^^^^^^^^^^^^^^^^^^^^^^^^^^^^^^^^^\nAssertionError\n', 'stdout_tail': ''}</t>
  </si>
  <si>
    <t>mbpp_88</t>
  </si>
  <si>
    <t>Write a function to get the frequency of all the elements in a list, returned as a dictionary.</t>
  </si>
  <si>
    <t xml:space="preserve">&lt;|im_start|&gt;system
You are an expert Python competitive programmer.&lt;|im_end|&gt;
&lt;|im_start|&gt;user
Solve the following Python programming task. Return only valid Python code. Do not use Markdown. Do not explain.Task:Write a function to get the frequency of all the elements in a list, returned as a dictionary.Required tests include:assert freq_count([10,10,10,10,20,20,20,20,40,40,50,50,30])==({10: 4, 20: 4, 40: 2, 50: 2, 30: 1})assert freq_count([1,2,3,4,3,2,4,1,3,1,4])==({1:3, 2:2,3:3,4:3})assert freq_count([5,6,7,4,9,10,4,5,6,7,9,5])==({10:1,5:3,6:2,7:2,4:2,9:2})&lt;|im_end|&gt;
&lt;|im_start|&gt;assistant
</t>
  </si>
  <si>
    <t>```python
def freq_count(nums):
    freq = {}
    for num in nums:
        if num in freq:
            freq[num] += 1
        else:
            freq[num] = 1
    return freq
```</t>
  </si>
  <si>
    <t>def freq_count(nums):
    freq = {}
    for num in nums:
        if num in freq:
            freq[num] += 1
        else:
            freq[num] = 1
    return freq</t>
  </si>
  <si>
    <t>HumanEval/45</t>
  </si>
  <si>
    <t xml:space="preserve">
def triangle_area(a, h):
    """Given length of a side and high return area for a triangle.
    &gt;&gt;&gt; triangle_area(5, 3)
    7.5
    """
</t>
  </si>
  <si>
    <t>```python
def triangle_area(a, h):
    return 0.5 * a * h
```</t>
  </si>
  <si>
    <t>def triangle_area(a, h):
    return 0.5 * a * h</t>
  </si>
  <si>
    <t>t=6|entropy=1.9555|tok='(nums' ; t=9|entropy=1.8516|tok=' freq' ; t=0|entropy=1.0294|tok='```' ; t=10|entropy=0.7991|tok=' =' ; t=46|entropy=0.6769|tok='\\n' ; t=3|entropy=0.6337|tok='def' ; t=7|entropy=0.3232|tok='):\\n' ; t=14|entropy=0.1598|tok=' num' ; t=45|entropy=0.1444|tok=' freq' ; t=47|entropy=0.1300|tok='```'</t>
  </si>
  <si>
    <t>t=6|margin=0.2656|tok='(nums' ; t=10|margin=0.3125|tok=' =' ; t=46|margin=0.5526|tok='\\n' ; t=0|margin=0.7188|tok='```' ; t=3|margin=0.7656|tok='def' ; t=9|margin=0.8324|tok=' freq' ; t=7|margin=2.8281|tok='):\\n' ; t=45|margin=3.4815|tok=' freq' ; t=47|margin=3.5866|tok='```' ; t=14|margin=4.3594|tok=' num'</t>
  </si>
  <si>
    <t>HumanEval/46</t>
  </si>
  <si>
    <t>mbpp_89</t>
  </si>
  <si>
    <t xml:space="preserve">
def fib4(n: int):
    """The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
</t>
  </si>
  <si>
    <t>```python
def fib4(n: int) -&gt; int:
    if n &lt; 2:
        return 0
    elif n == 2:
        return 2
    else:
        a, b, c, d = 0, 0, 2, 0
        for _ in range(4, n + 1):
            a, b, c, d = b, c, d, a + b + c + d
        return d
```</t>
  </si>
  <si>
    <t>Write a function to find the closest smaller number than n.</t>
  </si>
  <si>
    <t>def fib4(n: int) -&gt; int:
    if n &lt; 2:
        return 0
    elif n == 2:
        return 2
    else:
        a, b, c, d = 0, 0, 2, 0
        for _ in range(4, n + 1):
            a, b, c, d = b, c, d, a + b + c + d
        return d</t>
  </si>
  <si>
    <t xml:space="preserve">&lt;|im_start|&gt;system
You are an expert Python competitive programmer.&lt;|im_end|&gt;
&lt;|im_start|&gt;user
Solve the following Python programming task. Return only valid Python code. Do not use Markdown. Do not explain.Task:Write a function to find the closest smaller number than n.Required tests include:assert closest_num(11) == 10assert closest_num(7) == 6assert closest_num(12) == 11&lt;|im_end|&gt;
&lt;|im_start|&gt;assistant
</t>
  </si>
  <si>
    <t>```python
def closest_num(n):
    return n - 1
```</t>
  </si>
  <si>
    <t>def closest_num(n):
    return n - 1</t>
  </si>
  <si>
    <t>HumanEval/47</t>
  </si>
  <si>
    <t xml:space="preserve">
def median(l: list):
    """Return median of elements in the list l.
    &gt;&gt;&gt; median([3, 1, 2, 4, 5])
    3
    &gt;&gt;&gt; median([-10, 4, 6, 1000, 10, 20])
    15.0
    """
</t>
  </si>
  <si>
    <t>```python
def median(l: list):
    sorted_l = sorted(l)
    n = len(sorted_l)
    mid = n // 2
    if n % 2 == 0:
        return (sorted_l[mid - 1] + sorted_l[mid]) / 2
    else:
        return sorted_l[mid]
```</t>
  </si>
  <si>
    <t>def median(l: list):
    sorted_l = sorted(l)
    n = len(sorted_l)
    mid = n // 2
    if n % 2 == 0:
        return (sorted_l[mid - 1] + sorted_l[mid]) / 2
    else:
        return sorted_l[mid]</t>
  </si>
  <si>
    <t>t=0|entropy=0.8229|tok='```' ; t=9|entropy=0.8134|tok=' return' ; t=14|entropy=0.7015|tok='\\n' ; t=7|entropy=0.3200|tok='):\\n' ; t=10|entropy=0.2577|tok=' n' ; t=6|entropy=0.0964|tok='(n' ; t=15|entropy=0.0591|tok='```' ; t=8|entropy=0.0480|tok='   ' ; t=3|entropy=0.0445|tok='def' ; t=12|entropy=0.0131|tok=' '</t>
  </si>
  <si>
    <t>t=0|margin=0.1719|tok='```' ; t=9|margin=0.2344|tok=' return' ; t=14|margin=1.3267|tok='\\n' ; t=7|margin=2.5156|tok='):\\n' ; t=10|margin=3.5270|tok=' n' ; t=6|margin=4.0469|tok='(n' ; t=15|margin=4.6491|tok='```' ; t=8|margin=4.8736|tok='   ' ; t=3|margin=5.2031|tok='def' ; t=12|margin=6.5483|tok=' '</t>
  </si>
  <si>
    <t>mbpp_90</t>
  </si>
  <si>
    <t>Write a python function to find the length of the longest word.</t>
  </si>
  <si>
    <t xml:space="preserve">&lt;|im_start|&gt;system
You are an expert Python competitive programmer.&lt;|im_end|&gt;
&lt;|im_start|&gt;user
Solve the following Python programming task. Return only valid Python code. Do not use Markdown. Do not explain.Task:Write a python function to find the length of the longest word.Required tests include:assert len_log(["python","PHP","bigdata"]) == 7assert len_log(["a","ab","abc"]) == 3assert len_log(["small","big","tall"]) == 5&lt;|im_end|&gt;
&lt;|im_start|&gt;assistant
</t>
  </si>
  <si>
    <t>```python
def len_log(words):
    # Find the maximum length of words in the list using max() and len()
    return max(len(word) for word in words)
```</t>
  </si>
  <si>
    <t>HumanEval/48</t>
  </si>
  <si>
    <t>def len_log(words):
    # Find the maximum length of words in the list using max() and len()
    return max(len(word) for word in words)</t>
  </si>
  <si>
    <t xml:space="preserve">
def is_palindrome(text: str):
    """
    Checks if given string is a palindrome
    &gt;&gt;&gt; is_palindrome('')
    True
    &gt;&gt;&gt; is_palindrome('aba')
    True
    &gt;&gt;&gt; is_palindrome('aaaaa')
    True
    &gt;&gt;&gt; is_palindrome('zbcd')
    False
    """
</t>
  </si>
  <si>
    <t>```python
def is_palindrome(text: str) -&gt; bool:
    return text == text[::-1]
```</t>
  </si>
  <si>
    <t>def is_palindrome(text: str) -&gt; bool:
    return text == text[::-1]</t>
  </si>
  <si>
    <t>t=10|entropy=1.2689|tok=' Find' ; t=23|entropy=1.0226|tok=' len' ; t=20|entropy=1.0186|tok=' max' ; t=21|entropy=0.8875|tok='()' ; t=6|entropy=0.8870|tok='(words' ; t=14|entropy=0.8074|tok=' of' ; t=0|entropy=0.7314|tok='```' ; t=9|entropy=0.6722|tok=' #' ; t=19|entropy=0.6654|tok=' using' ; t=12|entropy=0.6312|tok=' maximum'</t>
  </si>
  <si>
    <t>t=14|margin=0.0455|tok=' of' ; t=10|margin=0.2812|tok=' Find' ; t=20|margin=0.5426|tok=' max' ; t=19|margin=0.6776|tok=' using' ; t=21|margin=0.8438|tok='()' ; t=35|margin=0.8906|tok=')\\n' ; t=0|margin=1.0625|tok='```' ; t=23|margin=1.2088|tok=' len' ; t=12|margin=1.2628|tok=' maximum' ; t=9|margin=1.5312|tok=' #'</t>
  </si>
  <si>
    <t>HumanEval/49</t>
  </si>
  <si>
    <t>mbpp_91</t>
  </si>
  <si>
    <t xml:space="preserve">
def modp(n: int, p: int):
    """Return 2^n modulo p (be aware of numerics).
    &gt;&gt;&gt; modp(3, 5)
    3
    &gt;&gt;&gt; modp(1101, 101)
    2
    &gt;&gt;&gt; modp(0, 101)
    1
    &gt;&gt;&gt; modp(3, 11)
    8
    &gt;&gt;&gt; modp(100, 101)
    1
    """
</t>
  </si>
  <si>
    <t>```python
def modp(n: int, p: int) -&gt; int:
    return pow(2, n, p)
```</t>
  </si>
  <si>
    <t>def modp(n: int, p: int) -&gt; int:
    return pow(2, n, p)</t>
  </si>
  <si>
    <t>Write a function to check if a string is present as a substring in a given list of string values.</t>
  </si>
  <si>
    <t xml:space="preserve">&lt;|im_start|&gt;system
You are an expert Python competitive programmer.&lt;|im_end|&gt;
&lt;|im_start|&gt;user
Solve the following Python programming task. Return only valid Python code. Do not use Markdown. Do not explain.Task:Write a function to check if a string is present as a substring in a given list of string values.Required tests include:assert find_substring(["red", "black", "white", "green", "orange"],"ack")==Trueassert find_substring(["red", "black", "white", "green", "orange"],"abc")==Falseassert find_substring(["red", "black", "white", "green", "orange"],"ange")==True&lt;|im_end|&gt;
&lt;|im_start|&gt;assistant
</t>
  </si>
  <si>
    <t>```python
def find_substring(lst, s):
    # Check if any element in the list contains the substring 's'
    return any(s in x for x in lst)
```</t>
  </si>
  <si>
    <t>def find_substring(lst, s):
    # Check if any element in the list contains the substring 's'
    return any(s in x for x in lst)</t>
  </si>
  <si>
    <t>HumanEval/50</t>
  </si>
  <si>
    <t>{'type': 'RuntimeError', 'message': "NameError: name 'encode_shift' is not defined. Did you mean: 'decode_shift'?", 'stderr_tail': 'Traceback (most recent call last):\n  File "/tmp/tmpcvam28ms/candidate_eval.py", line 37, in &lt;module&gt;\n    check(decode_shift)\n  File "/tmp/tmpcvam28ms/candidate_eval.py", line 32, in check\n    encoded_str = encode_shift(str)\n                  ^^^^^^^^^^^^\nNameError: name \'encode_shift\' is not defined. Did you mean: \'decode_shift\'?\n', 'stdout_tail': ''}</t>
  </si>
  <si>
    <t xml:space="preserve">
def encode_shift(s: str):
    """
    returns encoded string by shifting every character by 5 in the alphabet.
    """
    return "".join([chr(((ord(ch) + 5 - ord("a")) % 26) + ord("a")) for ch in s])
def decode_shift(s: str):
    """
    takes as input string encoded with encode_shift function. Returns decoded string.
    """
</t>
  </si>
  <si>
    <t>def decode_shift(s: str):
    """
    takes as input string encoded with encode_shift function. Returns decoded string.
    """
    return "".join([chr(((ord(ch) - 5 - ord("a")) % 26) + ord("a")) for ch in s])</t>
  </si>
  <si>
    <t>t=7|entropy=2.2250|tok='(lst' ; t=31|entropy=2.0461|tok=' x' ; t=12|entropy=1.3073|tok=' #' ; t=9|entropy=1.2930|tok=' s' ; t=13|entropy=1.0836|tok=' Check' ; t=16|entropy=0.8796|tok=' element' ; t=23|entropy=0.7970|tok=" '" ; t=36|entropy=0.6841|tok=')\\n' ; t=15|entropy=0.6227|tok=' any' ; t=0|entropy=0.5144|tok='```'</t>
  </si>
  <si>
    <t>t=12|margin=0.1875|tok=' #' ; t=7|margin=0.2500|tok='(lst' ; t=31|margin=0.3594|tok=' x' ; t=36|margin=0.3594|tok=')\\n' ; t=13|margin=0.7812|tok=' Check' ; t=16|margin=1.2017|tok=' element' ; t=9|margin=1.2031|tok=' s' ; t=23|margin=1.5085|tok=" '" ; t=0|margin=1.6562|tok='```' ; t=15|margin=1.7926|tok=' any'</t>
  </si>
  <si>
    <t>NameError: name 'encode_shift' is not defined. Did you mean: 'decode_shift'?</t>
  </si>
  <si>
    <t>mbpp_92</t>
  </si>
  <si>
    <t>Write a function to check whether the given number is undulating or not.</t>
  </si>
  <si>
    <t xml:space="preserve">&lt;|im_start|&gt;system
You are an expert Python competitive programmer.&lt;|im_end|&gt;
&lt;|im_start|&gt;user
Solve the following Python programming task. Return only valid Python code. Do not use Markdown. Do not explain.Task:Write a function to check whether the given number is undulating or not.Required tests include:assert is_undulating(1212121) == Trueassert is_undulating(1991) == Falseassert is_undulating(121) == True&lt;|im_end|&gt;
&lt;|im_start|&gt;assistant
</t>
  </si>
  <si>
    <t>```python
def is_undulating(n):
    s = str(n)
    if len(s) &lt; 3:
        return False
    for i in range(2, len(s)):
        if s[i] != s[i - 2]:
            return False
    return True
# Test cases
assert is_undulating(1212121) == True
assert is_undulating(1991) == False
assert is_undulating(121) == True
```</t>
  </si>
  <si>
    <t>HumanEval/51</t>
  </si>
  <si>
    <t>def is_undulating(n):
    s = str(n)
    if len(s) &lt; 3:
        return False
    for i in range(2, len(s)):
        if s[i] != s[i - 2]:
            return False
    return True
# Test cases
assert is_undulating(1212121) == True
assert is_undulating(1991) == False
assert is_undulating(121) == True</t>
  </si>
  <si>
    <t xml:space="preserve">
def remove_vowels(text):
    """
    remove_vowels is a function that takes string and returns string without vowels.
    &gt;&gt;&gt; remove_vowels('')
    ''
    &gt;&gt;&gt; remove_vowels("abcdef\nghijklm")
    'bcdf\nghjklm'
    &gt;&gt;&gt; remove_vowels('abcdef')
    'bcdf'
    &gt;&gt;&gt; remove_vowels('aaaaa')
    ''
    &gt;&gt;&gt; remove_vowels('aaBAA')
    'B'
    &gt;&gt;&gt; remove_vowels('zbcd')
    'zbcd'
    """
</t>
  </si>
  <si>
    <t>```python
def remove_vowels(text):
    return ''.join(c for c in text if c.lower() not in 'aeiou')
```</t>
  </si>
  <si>
    <t>def remove_vowels(text):
    return ''.join(c for c in text if c.lower() not in 'aeiou')</t>
  </si>
  <si>
    <t>t=30|entropy=1.8702|tok=' for' ; t=11|entropy=1.4123|tok=' s' ; t=17|entropy=1.2891|tok=' if' ; t=8|entropy=0.8225|tok='(n' ; t=21|entropy=0.7675|tok=' &lt;' ; t=48|entropy=0.7263|tok=' -' ; t=0|entropy=0.6379|tok='```' ; t=59|entropy=0.6332|tok='\\n\\n' ; t=9|entropy=0.6255|tok='):\\n' ; t=47|entropy=0.5699|tok='[i'</t>
  </si>
  <si>
    <t>t=21|margin=0.1875|tok=' &lt;' ; t=8|margin=0.7500|tok='(n' ; t=59|margin=0.7642|tok='\\n\\n' ; t=17|margin=0.7656|tok=' if' ; t=30|margin=1.0554|tok=' for' ; t=48|margin=1.3750|tok=' -' ; t=11|margin=1.4062|tok=' s' ; t=0|margin=1.4531|tok='```' ; t=9|margin=1.4844|tok='):\\n' ; t=34|margin=1.5994|tok='('</t>
  </si>
  <si>
    <t>mbpp_93</t>
  </si>
  <si>
    <t>Write a function to calculate the value of 'a' to the power 'b'.</t>
  </si>
  <si>
    <t>HumanEval/52</t>
  </si>
  <si>
    <t xml:space="preserve">&lt;|im_start|&gt;system
You are an expert Python competitive programmer.&lt;|im_end|&gt;
&lt;|im_start|&gt;user
Solve the following Python programming task. Return only valid Python code. Do not use Markdown. Do not explain.Task:Write a function to calculate the value of 'a' to the power 'b'.Required tests include:assert power(3,4) == 81assert power(2,3) == 8assert power(5,5) == 3125&lt;|im_end|&gt;
&lt;|im_start|&gt;assistant
</t>
  </si>
  <si>
    <t xml:space="preserve">
def below_threshold(l: list, t: int):
    """Return True if all numbers in the list l are below threshold t.
    &gt;&gt;&gt; below_threshold([1, 2, 4, 10], 100)
    True
    &gt;&gt;&gt; below_threshold([1, 20, 4, 10], 5)
    False
    """
</t>
  </si>
  <si>
    <t>```python
def below_threshold(l: list, t: int) -&gt; bool:
    return all(x &lt; t for x in l)
```</t>
  </si>
  <si>
    <t>def below_threshold(l: list, t: int) -&gt; bool:
    return all(x &lt; t for x in l)</t>
  </si>
  <si>
    <t>```python
def power(a, b):
    # Base case: any number to the power of 0 is 1
    if b == 0:
        return 1
    # Base case: 0 to the power of any positive number is 0
    elif a == 0:
        return 0
    # Base case: any number to the power of 1 is itself
    elif b == 1:
        return a
    # Recursive case: multiply 'a' by the result of 'a' raised to the power of 'b-1'
    else:
        return a * power(a, b - 1)
```</t>
  </si>
  <si>
    <t>def power(a, b):
    # Base case: any number to the power of 0 is 1
    if b == 0:
        return 1
    # Base case: 0 to the power of any positive number is 0
    elif a == 0:
        return 0
    # Base case: any number to the power of 1 is itself
    elif b == 1:
        return a
    # Recursive case: multiply 'a' by the result of 'a' raised to the power of 'b-1'
    else:
        return a * power(a, b - 1)</t>
  </si>
  <si>
    <t>HumanEval/53</t>
  </si>
  <si>
    <t xml:space="preserve">
def add(x: int, y: int):
    """Add two numbers x and y
    &gt;&gt;&gt; add(2, 3)
    5
    &gt;&gt;&gt; add(5, 7)
    12
    """
</t>
  </si>
  <si>
    <t>```python
def add(x: int, y: int) -&gt; int:
    return x + y
```</t>
  </si>
  <si>
    <t>def add(x: int, y: int) -&gt; int:
    return x + y</t>
  </si>
  <si>
    <t>t=10|entropy=1.2935|tok=' #' ; t=40|entropy=1.2423|tok=' Base' ; t=11|entropy=1.1148|tok=' Base' ; t=101|entropy=1.0157|tok=" '" ; t=113|entropy=0.8688|tok=' the' ; t=0|entropy=0.8143|tok='```' ; t=136|entropy=0.7956|tok='```' ; t=115|entropy=0.6601|tok=' of' ; t=105|entropy=0.6117|tok=' the' ; t=135|entropy=0.5320|tok=')\\n'</t>
  </si>
  <si>
    <t>t=101|margin=0.0710|tok=" '" ; t=113|margin=0.1278|tok=' the' ; t=0|margin=0.2188|tok='```' ; t=10|margin=0.5312|tok=' #' ; t=115|margin=0.5682|tok=' of' ; t=40|margin=1.0611|tok=' Base' ; t=11|margin=1.1875|tok=' Base' ; t=136|margin=1.1903|tok='```' ; t=135|margin=1.2500|tok=')\\n' ; t=51|margin=1.3949|tok=' number'</t>
  </si>
  <si>
    <t>HumanEval/54</t>
  </si>
  <si>
    <t xml:space="preserve">
def same_chars(s0: str, s1: str):
    """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
</t>
  </si>
  <si>
    <t>```python
def same_chars(s0: str, s1: str) -&gt; bool:
    return set(s0) == set(s1)
```</t>
  </si>
  <si>
    <t>def same_chars(s0: str, s1: str) -&gt; bool:
    return set(s0) == set(s1)</t>
  </si>
  <si>
    <t>mbpp_94</t>
  </si>
  <si>
    <t>Given a list of tuples, write a function that returns the first value of the tuple with the smallest second value.</t>
  </si>
  <si>
    <t xml:space="preserve">&lt;|im_start|&gt;system
You are an expert Python competitive programmer.&lt;|im_end|&gt;
&lt;|im_start|&gt;user
Solve the following Python programming task. Return only valid Python code. Do not use Markdown. Do not explain.Task:Given a list of tuples, write a function that returns the first value of the tuple with the smallest second value.Required tests include:assert index_minimum([('Rash', 143), ('Manjeet', 200), ('Varsha', 100)]) == 'Varsha'assert index_minimum([('Yash', 185), ('Dawood', 125), ('Sanya', 175)]) == 'Dawood'assert index_minimum([('Sai', 345), ('Salman', 145), ('Ayesha', 96)]) == 'Ayesha'&lt;|im_end|&gt;
&lt;|im_start|&gt;assistant
</t>
  </si>
  <si>
    <t>```python
def index_minimum(test_list):
    # Find the tuple with the minimum second value and return its first element
    res = min(test_list, key=lambda x: x[1])[0]
    return res
```</t>
  </si>
  <si>
    <t>def index_minimum(test_list):
    # Find the tuple with the minimum second value and return its first element
    res = min(test_list, key=lambda x: x[1])[0]
    return res</t>
  </si>
  <si>
    <t>HumanEval/55</t>
  </si>
  <si>
    <t xml:space="preserve">
def fib(n: int):
    """Return n-th Fibonacci number.
    &gt;&gt;&gt; fib(10)
    55
    &gt;&gt;&gt; fib(1)
    1
    &gt;&gt;&gt; fib(8)
    21
    """
</t>
  </si>
  <si>
    <t>```python
def fib(n: int) -&gt; int:
    if n &lt;= 0:
        return 0
    elif n == 1:
        return 1
    else:
        a, b = 0, 1
        for _ in range(2, n + 1):
            a, b = b, a + b
        return b
```</t>
  </si>
  <si>
    <t>def fib(n: int) -&gt; int:
    if n &lt;= 0:
        return 0
    elif n == 1:
        return 1
    else:
        a, b = 0, 1
        for _ in range(2, n + 1):
            a, b = b, a + b
        return b</t>
  </si>
  <si>
    <t>HumanEval/56</t>
  </si>
  <si>
    <t>t=11|entropy=0.9746|tok=' Find' ; t=6|entropy=0.8898|tok='(test' ; t=0|entropy=0.7456|tok='```' ; t=23|entropy=0.7107|tok=' element' ; t=45|entropy=0.6778|tok='\\n' ; t=10|entropy=0.6726|tok=' #' ; t=18|entropy=0.6176|tok=' value' ; t=34|entropy=0.5918|tok=' x' ; t=13|entropy=0.5491|tok=' tuple' ; t=26|entropy=0.4961|tok=' res'</t>
  </si>
  <si>
    <t>t=23|margin=0.1591|tok=' element' ; t=45|margin=0.5114|tok='\\n' ; t=0|margin=0.5938|tok='```' ; t=6|margin=0.8750|tok='(test' ; t=18|margin=0.9545|tok=' value' ; t=10|margin=1.1719|tok=' #' ; t=34|margin=1.3594|tok=' x' ; t=11|margin=1.7031|tok=' Find' ; t=26|margin=1.9531|tok=' res' ; t=13|margin=2.6435|tok=' tuple'</t>
  </si>
  <si>
    <t xml:space="preserve">
def correct_bracketing(brackets: str):
    """ brackets is a string of "&lt;" and "&gt;".
    return True if every opening bracket has a corresponding closing bracket.
    &gt;&gt;&gt; correct_bracketing("&lt;")
    False
    &gt;&gt;&gt; correct_bracketing("&lt;&gt;")
    True
    &gt;&gt;&gt; correct_bracketing("&lt;&lt;&gt;&lt;&gt;&gt;")
    True
    &gt;&gt;&gt; correct_bracketing("&gt;&lt;&lt;&gt;")
    False
    """
</t>
  </si>
  <si>
    <t>```python
def correct_bracketing(brackets: str) -&gt; bool:
    balance = 0
    for bracket in brackets:
        if bracket == '&lt;':
            balance += 1
        elif bracket == '&gt;':
            balance -= 1
        if balance &lt; 0:
            return False
    return balance == 0
```</t>
  </si>
  <si>
    <t>def correct_bracketing(brackets: str) -&gt; bool:
    balance = 0
    for bracket in brackets:
        if bracket == '&lt;':
            balance += 1
        elif bracket == '&gt;':
            balance -= 1
        if balance &lt; 0:
            return False
    return balance == 0</t>
  </si>
  <si>
    <t>mbpp_95</t>
  </si>
  <si>
    <t>Write a python function to find the length of the smallest list in a list of lists.</t>
  </si>
  <si>
    <t xml:space="preserve">&lt;|im_start|&gt;system
You are an expert Python competitive programmer.&lt;|im_end|&gt;
&lt;|im_start|&gt;user
Solve the following Python programming task. Return only valid Python code. Do not use Markdown. Do not explain.Task:Write a python function to find the length of the smallest list in a list of lists.Required tests include:assert Find_Min_Length([[1],[1,2]]) == 1assert Find_Min_Length([[1,2],[1,2,3],[1,2,3,4]]) == 2assert Find_Min_Length([[3,3,3],[4,4,4,4]]) == 3&lt;|im_end|&gt;
&lt;|im_start|&gt;assistant
</t>
  </si>
  <si>
    <t>HumanEval/57</t>
  </si>
  <si>
    <t>```python
def Find_Min_Length(lst):
    # Use a generator expression to find the minimum length of sublists
    return min(len(x) for x in lst)
```</t>
  </si>
  <si>
    <t>def Find_Min_Length(lst):
    # Use a generator expression to find the minimum length of sublists
    return min(len(x) for x in lst)</t>
  </si>
  <si>
    <t xml:space="preserve">
def monotonic(l: list):
    """Return True is list elements are monotonically increasing or decreasing.
    &gt;&gt;&gt; monotonic([1, 2, 4, 20])
    True
    &gt;&gt;&gt; monotonic([1, 20, 4, 10])
    False
    &gt;&gt;&gt; monotonic([4, 1, 0, -10])
    True
    """
</t>
  </si>
  <si>
    <t>```python
def monotonic(l: list) -&gt; bool:
    return all(x &lt;= y for x, y in zip(l, l[1:])) or all(x &gt;= y for x, y in zip(l, l[1:]))
```</t>
  </si>
  <si>
    <t>def monotonic(l: list) -&gt; bool:
    return all(x &lt;= y for x, y in zip(l, l[1:])) or all(x &gt;= y for x, y in zip(l, l[1:]))</t>
  </si>
  <si>
    <t>HumanEval/58</t>
  </si>
  <si>
    <t xml:space="preserve">
def common(l1: list, l2: list):
    """Return sorted unique common elements for two lists.
    &gt;&gt;&gt; common([1, 4, 3, 34, 653, 2, 5], [5, 7, 1, 5, 9, 653, 121])
    [1, 5, 653]
    &gt;&gt;&gt; common([5, 3, 2, 8], [3, 2])
    [2, 3]
    """
</t>
  </si>
  <si>
    <t>t=7|entropy=1.4788|tok='(lst' ; t=12|entropy=1.1508|tok=' a' ; t=11|entropy=0.9931|tok=' Use' ; t=21|entropy=0.8992|tok=' sub' ; t=25|entropy=0.8383|tok=' return' ; t=20|entropy=0.7603|tok=' of' ; t=0|entropy=0.7154|tok='```' ; t=10|entropy=0.6633|tok=' #' ; t=28|entropy=0.6120|tok='(x' ; t=8|entropy=0.4278|tok='):\\n'</t>
  </si>
  <si>
    <t>```python
def common(l1: list, l2: list):
    return sorted(set(l1) &amp; set(l2))
```</t>
  </si>
  <si>
    <t>def common(l1: list, l2: list):
    return sorted(set(l1) &amp; set(l2))</t>
  </si>
  <si>
    <t>t=21|margin=0.2997|tok=' sub' ; t=20|margin=0.5341|tok=' of' ; t=12|margin=0.5866|tok=' a' ; t=0|margin=1.0156|tok='```' ; t=7|margin=1.0312|tok='(lst' ; t=25|margin=1.0625|tok=' return' ; t=10|margin=1.5000|tok=' #' ; t=28|margin=1.7656|tok='(x' ; t=11|margin=1.7969|tok=' Use' ; t=34|margin=2.0312|tok=')\\n'</t>
  </si>
  <si>
    <t>mbpp_96</t>
  </si>
  <si>
    <t>Write a python function to find the number of divisors of a given integer.</t>
  </si>
  <si>
    <t xml:space="preserve">&lt;|im_start|&gt;system
You are an expert Python competitive programmer.&lt;|im_end|&gt;
&lt;|im_start|&gt;user
Solve the following Python programming task. Return only valid Python code. Do not use Markdown. Do not explain.Task:Write a python function to find the number of divisors of a given integer.Required tests include:assert divisor(15) == 4assert divisor(12) == 6assert divisor(9) == 3&lt;|im_end|&gt;
&lt;|im_start|&gt;assistant
</t>
  </si>
  <si>
    <t>```python
def divisor(n):
    count = 0
    for i in range(1, n + 1):
        if n % i == 0:
            count += 1
    return count
# Test cases
assert divisor(15) == 4
assert divisor(12) == 6
assert divisor(9) == 3
```</t>
  </si>
  <si>
    <t>def divisor(n):
    count = 0
    for i in range(1, n + 1):
        if n % i == 0:
            count += 1
    return count
# Test cases
assert divisor(15) == 4
assert divisor(12) == 6
assert divisor(9) == 3</t>
  </si>
  <si>
    <t>HumanEval/59</t>
  </si>
  <si>
    <t xml:space="preserve">
def largest_prime_factor(n: int):
    """Return the largest prime factor of n. Assume n &gt; 1 and is not a prime.
    &gt;&gt;&gt; largest_prime_factor(13195)
    29
    &gt;&gt;&gt; largest_prime_factor(2048)
    2
    """
</t>
  </si>
  <si>
    <t>```python
import math
def largest_prime_factor(n: int) -&gt; int:
    def is_prime(num):
        if num &lt;= 1:
            return False
        for i in range(2, int(math.sqrt(num)) + 1):
            if num % i == 0:
                return False
        return True
    largest_factor = -1
    while n % 2 == 0:
        largest_factor = 2
        n //= 2
    for i in range(3, int(math.sqrt(n)) + 1, 2):
        while n % i == 0:
            largest_factor = i
            n //= i
    if n &gt; 2:
        largest_factor = n
    return largest_factor
```</t>
  </si>
  <si>
    <t>import math
def largest_prime_factor(n: int) -&gt; int:
    def is_prime(num):
        if num &lt;= 1:
            return False
        for i in range(2, int(math.sqrt(num)) + 1):
            if num % i == 0:
                return False
        return True
    largest_factor = -1
    while n % 2 == 0:
        largest_factor = 2
        n //= 2
    for i in range(3, int(math.sqrt(n)) + 1, 2):
        while n % i == 0:
            largest_factor = i
            n //= i
    if n &gt; 2:
        largest_factor = n
    return largest_factor</t>
  </si>
  <si>
    <t>t=8|entropy=1.3726|tok=' count' ; t=0|entropy=0.8063|tok='```' ; t=6|entropy=0.8056|tok='):\\n' ; t=21|entropy=0.4801|tok=' n' ; t=5|entropy=0.4071|tok='(n' ; t=44|entropy=0.3320|tok='\\n\\n' ; t=28|entropy=0.2122|tok=' n' ; t=78|entropy=0.1884|tok='```' ; t=14|entropy=0.1816|tok=' for' ; t=3|entropy=0.0972|tok='def'</t>
  </si>
  <si>
    <t>t=0|margin=0.7344|tok='```' ; t=8|margin=1.0000|tok=' count' ; t=6|margin=1.1562|tok='):\\n' ; t=21|margin=1.5000|tok=' n' ; t=44|margin=2.1847|tok='\\n\\n' ; t=28|margin=2.9048|tok=' n' ; t=78|margin=3.0284|tok='```' ; t=5|margin=3.1719|tok='(n' ; t=14|margin=3.3438|tok=' for' ; t=3|margin=4.0312|tok='def'</t>
  </si>
  <si>
    <t>HumanEval/60</t>
  </si>
  <si>
    <t xml:space="preserve">
def sum_to_n(n: int):
    """sum_to_n is a function that sums numbers from 1 to n.
    &gt;&gt;&gt; sum_to_n(30)
    465
    &gt;&gt;&gt; sum_to_n(100)
    5050
    &gt;&gt;&gt; sum_to_n(5)
    15
    &gt;&gt;&gt; sum_to_n(10)
    55
    &gt;&gt;&gt; sum_to_n(1)
    1
    """
</t>
  </si>
  <si>
    <t>mbpp_97</t>
  </si>
  <si>
    <t>```python
def sum_to_n(n: int) -&gt; int:
    return n * (n + 1) // 2
```</t>
  </si>
  <si>
    <t>def sum_to_n(n: int) -&gt; int:
    return n * (n + 1) // 2</t>
  </si>
  <si>
    <t>Write a function to find frequency of each element in a flattened list of lists, returned in a dictionary.</t>
  </si>
  <si>
    <t xml:space="preserve">&lt;|im_start|&gt;system
You are an expert Python competitive programmer.&lt;|im_end|&gt;
&lt;|im_start|&gt;user
Solve the following Python programming task. Return only valid Python code. Do not use Markdown. Do not explain.Task:Write a function to find frequency of each element in a flattened list of lists, returned in a dictionary.Required tests include:assert frequency_lists([[1, 2, 3, 2], [4, 5, 6, 2], [7, 8, 9, 5]])=={1: 1, 2: 3, 3: 1, 4: 1, 5: 2, 6: 1, 7: 1, 8: 1, 9: 1}assert frequency_lists([[1,2,3,4],[5,6,7,8],[9,10,11,12]])=={1: 1, 2: 1, 3: 1, 4: 1, 5: 1, 6: 1, 7: 1, 8: 1, 9: 1,10:1,11:1,12:1}assert frequency_lists([[20,30,40,17],[18,16,14,13],[10,20,30,40]])=={20:2,30:2,40:2,17: 1,18:1, 16: 1,14: 1,13: 1, 10: 1}&lt;|im_end|&gt;
&lt;|im_start|&gt;assistant
</t>
  </si>
  <si>
    <t>```python
from collections import Counter
def frequency_lists(lists):
    # Flatten the list of lists into a single list
    flattened_list = [item for sublist in lists for item in sublist]
    # Use Counter to count the frequency of each element
    frequency_dict = dict(Counter(flattened_list))
    return frequency_dict
```</t>
  </si>
  <si>
    <t>from collections import Counter
def frequency_lists(lists):
    # Flatten the list of lists into a single list
    flattened_list = [item for sublist in lists for item in sublist]
    # Use Counter to count the frequency of each element
    frequency_dict = dict(Counter(flattened_list))
    return frequency_dict</t>
  </si>
  <si>
    <t>HumanEval/61</t>
  </si>
  <si>
    <t xml:space="preserve">
def correct_bracketing(brackets: str):
    """ brackets is a string of "(" and ")".
    return True if every opening bracket has a corresponding closing bracket.
    &gt;&gt;&gt; correct_bracketing("(")
    False
    &gt;&gt;&gt; correct_bracketing("()")
    True
    &gt;&gt;&gt; correct_bracketing("(()())")
    True
    &gt;&gt;&gt; correct_bracketing(")(()")
    False
    """
</t>
  </si>
  <si>
    <t>```python
def correct_bracketing(brackets: str) -&gt; bool:
    balance = 0
    for bracket in brackets:
        if bracket == '(':
            balance += 1
        elif bracket == ')':
            balance -= 1
        if balance &lt; 0:
            return False
    return balance == 0
```</t>
  </si>
  <si>
    <t>def correct_bracketing(brackets: str) -&gt; bool:
    balance = 0
    for bracket in brackets:
        if bracket == '(':
            balance += 1
        elif bracket == ')':
            balance -= 1
        if balance &lt; 0:
            return False
    return balance == 0</t>
  </si>
  <si>
    <t>HumanEval/62</t>
  </si>
  <si>
    <t>t=11|entropy=1.5589|tok='(list' ; t=21|entropy=1.0470|tok=' into' ; t=54|entropy=1.0032|tok=' frequency' ; t=0|entropy=0.9893|tok='```' ; t=52|entropy=0.9373|tok='\\n' ; t=12|entropy=0.8615|tok='s' ; t=31|entropy=0.8061|tok='item' ; t=3|entropy=0.6870|tok='from' ; t=55|entropy=0.6354|tok='_dict' ; t=27|entropy=0.5754|tok=' flattened'</t>
  </si>
  <si>
    <t xml:space="preserve">
def derivative(xs: list):
    """ xs represent coefficients of a polynomial.
    xs[0] + xs[1] * x + xs[2] * x^2 + ....
     Return derivative of this polynomial in the same form.
    &gt;&gt;&gt; derivative([3, 1, 2, 4, 5])
    [1, 4, 12, 20]
    &gt;&gt;&gt; derivative([1, 2, 3])
    [2, 6]
    """
</t>
  </si>
  <si>
    <t>t=11|margin=0.1094|tok='(list' ; t=54|margin=0.1449|tok=' frequency' ; t=3|margin=0.4062|tok='from' ; t=12|margin=0.5156|tok='s' ; t=52|margin=0.8153|tok='\\n' ; t=21|margin=0.8438|tok=' into' ; t=27|margin=1.1065|tok=' flattened' ; t=55|margin=1.2884|tok='_dict' ; t=0|margin=1.4219|tok='```' ; t=31|margin=1.6250|tok='item'</t>
  </si>
  <si>
    <t>```python
def derivative(xs: list):
    return [i * x for i, x in enumerate(xs)][1:]
```</t>
  </si>
  <si>
    <t>def derivative(xs: list):
    return [i * x for i, x in enumerate(xs)][1:]</t>
  </si>
  <si>
    <t>mbpp_98</t>
  </si>
  <si>
    <t>Write a function to multiply all the numbers in a list and divide with the length of the list.</t>
  </si>
  <si>
    <t xml:space="preserve">&lt;|im_start|&gt;system
You are an expert Python competitive programmer.&lt;|im_end|&gt;
&lt;|im_start|&gt;user
Solve the following Python programming task. Return only valid Python code. Do not use Markdown. Do not explain.Task:Write a function to multiply all the numbers in a list and divide with the length of the list.Required tests include:assert math.isclose(multiply_num((8, 2, 3, -1, 7)), -67.2, rel_tol=0.001)assert math.isclose(multiply_num((-10,-20,-30)), -2000.0, rel_tol=0.001)assert math.isclose(multiply_num((19,15,18)), 1710.0, rel_tol=0.001)&lt;|im_end|&gt;
&lt;|im_start|&gt;assistant
</t>
  </si>
  <si>
    <t>```python
import math
def multiply_num(numbers):
    product = 1
    for num in numbers:
        product *= num
    return product / len(numbers)
```</t>
  </si>
  <si>
    <t>HumanEval/63</t>
  </si>
  <si>
    <t>import math
def multiply_num(numbers):
    product = 1
    for num in numbers:
        product *= num
    return product / len(numbers)</t>
  </si>
  <si>
    <t xml:space="preserve">
def fibfib(n: int):
    """The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
</t>
  </si>
  <si>
    <t>```python
def fibfib(n: int) -&gt; int:
    if n == 0 or n == 1:
        return 0
    elif n == 2:
        return 1
    a, b, c = 0, 0, 1
    for _ in range(3, n + 1):
        a, b, c = b, c, a + b + c
    return c
```</t>
  </si>
  <si>
    <t>def fibfib(n: int) -&gt; int:
    if n == 0 or n == 1:
        return 0
    elif n == 2:
        return 1
    a, b, c = 0, 0, 1
    for _ in range(3, n + 1):
        a, b, c = b, c, a + b + c
    return c</t>
  </si>
  <si>
    <t>HumanEval/64</t>
  </si>
  <si>
    <t xml:space="preserve">
FIX = """
Add more test cases.
"""
def vowels_count(s):
    """Write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
</t>
  </si>
  <si>
    <t>```python
def vowels_count(s):
    vowels = "aeiou"
    count = sum(1 for char in s.lower() if char in vowels)
    if s.endswith('y') or s.endswith('Y'):
        count += 1
    return count
# Test cases
print(vowels_count("abcde"))  # Output: 2
print(vowels_count("ACEDY"))  # Output: 3
print(vowels_count("rhythm"))  # Output: 0
print(vowels_count("SYZYGY"))  # Output: 1
print(vowels_count("encyclopedia"))  # Output: 6
```</t>
  </si>
  <si>
    <t>def vowels_count(s):
    vowels = "aeiou"
    count = sum(1 for char in s.lower() if char in vowels)
    if s.endswith('y') or s.endswith('Y'):
        count += 1
    return count
# Test cases
print(vowels_count("abcde"))  # Output: 2
print(vowels_count("ACEDY"))  # Output: 3
print(vowels_count("rhythm"))  # Output: 0
print(vowels_count("SYZYGY"))  # Output: 1
print(vowels_count("encyclopedia"))  # Output: 6</t>
  </si>
  <si>
    <t>t=9|entropy=1.2959|tok='(numbers' ; t=12|entropy=1.1605|tok=' product' ; t=19|entropy=1.0723|tok=' num' ; t=0|entropy=0.8869|tok='```' ; t=34|entropy=0.6659|tok=')\\n' ; t=30|entropy=0.3461|tok=' product' ; t=14|entropy=0.3097|tok=' ' ; t=35|entropy=0.2815|tok='```' ; t=16|entropy=0.2536|tok='\\n' ; t=29|entropy=0.1896|tok=' return'</t>
  </si>
  <si>
    <t>t=9|margin=0.3906|tok='(numbers' ; t=19|margin=0.5312|tok=' num' ; t=34|margin=0.5469|tok=')\\n' ; t=0|margin=0.6094|tok='```' ; t=12|margin=1.5312|tok=' product' ; t=35|margin=2.6946|tok='```' ; t=16|margin=2.8409|tok='\\n' ; t=14|margin=2.9830|tok=' ' ; t=30|margin=3.0895|tok=' product' ; t=3|margin=3.6250|tok='import'</t>
  </si>
  <si>
    <t>HumanEval/65</t>
  </si>
  <si>
    <t>{'type': 'RuntimeError', 'message': 'AssertionError', 'stderr_tail': 'Traceback (most recent call last):\n  File "/tmp/tmpftehru8j/candidate_eval.py", line 35, in &lt;module&gt;\n    check(circular_shift)\n  File "/tmp/tmpftehru8j/candidate_eval.py", line 26, in check\n    assert candidate(12, 2) == "12"\n           ^^^^^^^^^^^^^^^^^^^^^^^^\nAssertionError\n', 'stdout_tail': ''}</t>
  </si>
  <si>
    <t xml:space="preserve">
def circular_shift(x, shift):
    """Circular shift the digits of the integer x, shift the digits right by shift
    and return the result as a string.
    If shift &gt; number of digits, return digits reversed.
    &gt;&gt;&gt; circular_shift(12, 1)
    "21"
    &gt;&gt;&gt; circular_shift(12, 2)
    "12"
    """
</t>
  </si>
  <si>
    <t>```python
def circular_shift(x, shift):
    s = str(x)
    n = len(s)
    if shift &gt;= n:
        return s[::-1]
    else:
        shift %= n
        return s[-shift:] + s[:-shift]
```</t>
  </si>
  <si>
    <t>def circular_shift(x, shift):
    s = str(x)
    n = len(s)
    if shift &gt;= n:
        return s[::-1]
    else:
        shift %= n
        return s[-shift:] + s[:-shift]</t>
  </si>
  <si>
    <t>mbpp_99</t>
  </si>
  <si>
    <t>Write a function to convert the given decimal number to its binary equivalent, represented as a string with no leading zeros.</t>
  </si>
  <si>
    <t xml:space="preserve">&lt;|im_start|&gt;system
You are an expert Python competitive programmer.&lt;|im_end|&gt;
&lt;|im_start|&gt;user
Solve the following Python programming task. Return only valid Python code. Do not use Markdown. Do not explain.Task:Write a function to convert the given decimal number to its binary equivalent, represented as a string with no leading zeros.Required tests include:assert decimal_to_binary(8) == '1000'assert decimal_to_binary(18) == '10010'assert decimal_to_binary(7) == '111'&lt;|im_end|&gt;
&lt;|im_start|&gt;assistant
</t>
  </si>
  <si>
    <t>HumanEval/66</t>
  </si>
  <si>
    <t>```python
def decimal_to_binary(n):
    # Convert the decimal number to binary and remove the '0b' prefix
    return bin(n)[2:]
```</t>
  </si>
  <si>
    <t>def decimal_to_binary(n):
    # Convert the decimal number to binary and remove the '0b' prefix
    return bin(n)[2:]</t>
  </si>
  <si>
    <t xml:space="preserve">
def digitSum(s):
    """Task
    Write a function that takes a string as input and returns the sum of the upper characters only'
    ASCII codes.
    Examples:
        digitSum("") =&gt; 0
        digitSum("abAB") =&gt; 131
        digitSum("abcCd") =&gt; 67
        digitSum("helloE") =&gt; 69
        digitSum("woArBld") =&gt; 131
        digitSum("aAaaaXa") =&gt; 153
    """
</t>
  </si>
  <si>
    <t>```python
def digitSum(s):
    return sum(ord(c) for c in s if c.isupper())
```</t>
  </si>
  <si>
    <t>def digitSum(s):
    return sum(ord(c) for c in s if c.isupper())</t>
  </si>
  <si>
    <t>HumanEval/67</t>
  </si>
  <si>
    <t xml:space="preserve">
def fruit_distribution(s,n):
    """
    In this task, you will be given a string that represents a number of apples and oranges 
    that are distributed in a basket of fruit this basket contains 
    apples, oranges, and mango fruits. Given the string that represents the total number of 
    the oranges and apples and an integer that represent the total number of the fruits 
    in the basket return the number of the mango fruits in the basket.
    for examble:
    fruit_distribution("5 apples and 6 oranges", 19) -&gt;19 - 5 - 6 = 8
    fruit_distribution("0 apples and 1 oranges",3) -&gt; 3 - 0 - 1 = 2
    fruit_distribution("2 apples and 3 oranges", 100) -&gt; 100 - 2 - 3 = 95
    fruit_distribution("100 apples and 1 oranges",120) -&gt; 120 - 100 - 1 = 19
    """
</t>
  </si>
  <si>
    <t>```python
def fruit_distribution(s, n):
    parts = s.split()
    apples = int(parts[0])
    oranges = int(parts[3])
    return n - apples - oranges
```</t>
  </si>
  <si>
    <t>def fruit_distribution(s, n):
    parts = s.split()
    apples = int(parts[0])
    oranges = int(parts[3])
    return n - apples - oranges</t>
  </si>
  <si>
    <t>t=11|entropy=1.1559|tok=' Convert' ; t=10|entropy=1.0069|tok=' #' ; t=7|entropy=0.9375|tok='(n' ; t=0|entropy=0.8207|tok='```' ; t=17|entropy=0.7591|tok=' and' ; t=13|entropy=0.5965|tok=' decimal' ; t=33|entropy=0.5770|tok='```' ; t=32|entropy=0.5565|tok=':]\\n' ; t=30|entropy=0.5280|tok=')[' ; t=12|entropy=0.4568|tok=' the'</t>
  </si>
  <si>
    <t>HumanEval/68</t>
  </si>
  <si>
    <t>t=0|margin=0.0938|tok='```' ; t=17|margin=0.7656|tok=' and' ; t=10|margin=0.9531|tok=' #' ; t=7|margin=1.1719|tok='(n' ; t=11|margin=1.1875|tok=' Convert' ; t=32|margin=1.2500|tok=':]\\n' ; t=30|margin=1.2656|tok=')[' ; t=33|margin=1.8423|tok='```' ; t=13|margin=1.9162|tok=' decimal' ; t=12|margin=2.2727|tok=' the'</t>
  </si>
  <si>
    <t xml:space="preserve">
def pluck(arr):
    """
    "Given an array representing a branch of a tree that has non-negative integer nodes
    your task is to pluck one of the nodes and return it.
    The plucked node should be the node with the smallest even value.
    If multiple nodes with the same smallest even value are found return the node that has smallest index.
    The plucked node should be returned in a list, [ smalest_value, its index ],
    If there are no even values or the given array is empty, return [].
    Example 1:
        Input: [4,2,3]
        Output: [2, 1]
        Explanation: 2 has the smallest even value, and 2 has the smallest index.
    Example 2:
        Input: [1,2,3]
        Output: [2, 1]
        Explanation: 2 has the smallest even value, and 2 has the smallest index. 
    Example 3:
        Input: []
        Output: []
    Example 4:
        Input: [5, 0, 3, 0, 4, 2]
        Output: [0, 1]
        Explanation: 0 is the smallest value, but  there are two zeros,
                     so we will choose the first zero, which has the smallest index.
    Constraints:
        * 1 &lt;= nodes.length &lt;= 10000
        * 0 &lt;= node.value
    """
</t>
  </si>
  <si>
    <t>```python
def pluck(arr):
    min_val = float('inf')
    min_index = -1
    for i, val in enumerate(arr):
        if val % 2 == 0 and val &lt; min_val:
            min_val = val
            min_index = i
    if min_index == -1:
        return []
    return [min_val, min_index]
```</t>
  </si>
  <si>
    <t>def pluck(arr):
    min_val = float('inf')
    min_index = -1
    for i, val in enumerate(arr):
        if val % 2 == 0 and val &lt; min_val:
            min_val = val
            min_index = i
    if min_index == -1:
        return []
    return [min_val, min_index]</t>
  </si>
  <si>
    <t>mbpp_100</t>
  </si>
  <si>
    <t>Write a function to find the next smallest palindrome of a specified integer, returned as an integer.</t>
  </si>
  <si>
    <t xml:space="preserve">&lt;|im_start|&gt;system
You are an expert Python competitive programmer.&lt;|im_end|&gt;
&lt;|im_start|&gt;user
Solve the following Python programming task. Return only valid Python code. Do not use Markdown. Do not explain.Task:Write a function to find the next smallest palindrome of a specified integer, returned as an integer.Required tests include:assert next_smallest_palindrome(99)==101assert next_smallest_palindrome(1221)==1331assert next_smallest_palindrome(120)==121&lt;|im_end|&gt;
&lt;|im_start|&gt;assistant
</t>
  </si>
  <si>
    <t>HumanEval/69</t>
  </si>
  <si>
    <t>```python
def next_smallest_palindrome(n):
    n += 1
    while str(n) != str(n)[::-1]:
        n += 1
    return n
# Test cases
assert next_smallest_palindrome(99) == 101
assert next_smallest_palindrome(1221) == 1331
assert next_smallest_palindrome(120) == 121
```</t>
  </si>
  <si>
    <t xml:space="preserve">
def search(lst):
    '''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
</t>
  </si>
  <si>
    <t>```python
from collections import Counter
def search(lst):
    freq = Counter(lst)
    for num in sorted(freq.keys(), reverse=True):
        if freq[num] &gt;= num:
            return num
    return -1
```</t>
  </si>
  <si>
    <t>from collections import Counter
def search(lst):
    freq = Counter(lst)
    for num in sorted(freq.keys(), reverse=True):
        if freq[num] &gt;= num:
            return num
    return -1</t>
  </si>
  <si>
    <t>def next_smallest_palindrome(n):
    n += 1
    while str(n) != str(n)[::-1]:
        n += 1
    return n
# Test cases
assert next_smallest_palindrome(99) == 101
assert next_smallest_palindrome(1221) == 1331
assert next_smallest_palindrome(120) == 121</t>
  </si>
  <si>
    <t>HumanEval/70</t>
  </si>
  <si>
    <t xml:space="preserve">
def strange_sort_list(lst):
    '''
    Given list of integers, return list in strange order.
    Strange sorting, is when you start with the minimum value,
    then maximum of the remaining integers, then minimum and so on.
    Examples:
    strange_sort_list([1, 2, 3, 4]) == [1, 4, 2, 3]
    strange_sort_list([5, 5, 5, 5]) == [5, 5, 5, 5]
    strange_sort_list([]) == []
    '''
</t>
  </si>
  <si>
    <t>```python
def strange_sort_list(lst):
    sorted_lst = sorted(lst)
    result = []
    while sorted_lst:
        if sorted_lst:
            result.append(sorted_lst.pop(0))
        if sorted_lst:
            result.append(sorted_lst.pop())
    return result
```</t>
  </si>
  <si>
    <t>def strange_sort_list(lst):
    sorted_lst = sorted(lst)
    result = []
    while sorted_lst:
        if sorted_lst:
            result.append(sorted_lst.pop(0))
        if sorted_lst:
            result.append(sorted_lst.pop())
    return result</t>
  </si>
  <si>
    <t>HumanEval/71</t>
  </si>
  <si>
    <t xml:space="preserve">
def triangle_area(a, b, c):
    '''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
</t>
  </si>
  <si>
    <t>```python
import math
def triangle_area(a, b, c):
    if a + b &gt; c and a + c &gt; b and b + c &gt; a:
        s = (a + b + c) / 2
        area = math.sqrt(s * (s - a) * (s - b) * (s - c))
        return round(area, 2)
    else:
        return -1
```</t>
  </si>
  <si>
    <t>import math
def triangle_area(a, b, c):
    if a + b &gt; c and a + c &gt; b and b + c &gt; a:
        s = (a + b + c) / 2
        area = math.sqrt(s * (s - a) * (s - b) * (s - c))
        return round(area, 2)
    else:
        return -1</t>
  </si>
  <si>
    <t>t=12|entropy=1.3480|tok=' n' ; t=9|entropy=1.1767|tok='(n' ; t=0|entropy=0.7408|tok='```' ; t=38|entropy=0.6722|tok='\\n\\n' ; t=19|entropy=0.5519|tok=' str' ; t=10|entropy=0.4647|tok='):\\n' ; t=37|entropy=0.3771|tok=' n' ; t=16|entropy=0.3570|tok='\\n' ; t=4|entropy=0.2980|tok=' next' ; t=13|entropy=0.2818|tok=' +='</t>
  </si>
  <si>
    <t>t=9|margin=0.0312|tok='(n' ; t=12|margin=0.2188|tok=' n' ; t=38|margin=0.4801|tok='\\n\\n' ; t=0|margin=1.0938|tok='```' ; t=19|margin=1.2812|tok=' str' ; t=37|margin=1.9503|tok=' n' ; t=10|margin=2.1250|tok='):\\n' ; t=13|margin=2.4531|tok=' +=' ; t=16|margin=2.4574|tok='\\n' ; t=95|margin=2.7656|tok='```'</t>
  </si>
  <si>
    <t>HumanEval/72</t>
  </si>
  <si>
    <t xml:space="preserve">
def will_it_fly(q,w):
    '''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
</t>
  </si>
  <si>
    <t>mbpp_101</t>
  </si>
  <si>
    <t>```python
def will_it_fly(q, w):
    return q == q[::-1] and sum(q) &lt;= w
```</t>
  </si>
  <si>
    <t>def will_it_fly(q, w):
    return q == q[::-1] and sum(q) &lt;= w</t>
  </si>
  <si>
    <t>Write a function to find the kth element in the given array using 1-based indexing.</t>
  </si>
  <si>
    <t xml:space="preserve">&lt;|im_start|&gt;system
You are an expert Python competitive programmer.&lt;|im_end|&gt;
&lt;|im_start|&gt;user
Solve the following Python programming task. Return only valid Python code. Do not use Markdown. Do not explain.Task:Write a function to find the kth element in the given array using 1-based indexing.Required tests include:assert kth_element([12,3,5,7,19], 2) == 3assert kth_element([17,24,8,23], 3) == 8assert kth_element([16,21,25,36,4], 4) == 36&lt;|im_end|&gt;
&lt;|im_start|&gt;assistant
</t>
  </si>
  <si>
    <t>```python
def kth_element(arr, k):
    # Adjust for 0-based indexing by subtracting 1 from k
    return arr[k - 1]
```</t>
  </si>
  <si>
    <t>HumanEval/73</t>
  </si>
  <si>
    <t>def kth_element(arr, k):
    # Adjust for 0-based indexing by subtracting 1 from k
    return arr[k - 1]</t>
  </si>
  <si>
    <t xml:space="preserve">
def smallest_change(arr):
    """
    Given an array arr of integers, find the minimum number of elements that
    need to be changed to make the array palindromic. A palindromic array is an array that
    is read the same backwards and forwards. In one change, you can change one element to any other element.
    For example:
    smallest_change([1,2,3,5,4,7,9,6]) == 4
    smallest_change([1, 2, 3, 4, 3, 2, 2]) == 1
    smallest_change([1, 2, 3, 2, 1]) == 0
    """
</t>
  </si>
  <si>
    <t>```python
def smallest_change(arr):
    left = 0
    right = len(arr) - 1
    changes = 0
    while left &lt; right:
        if arr[left] != arr[right]:
            changes += 1
        left += 1
        right -= 1
    return changes
```</t>
  </si>
  <si>
    <t>def smallest_change(arr):
    left = 0
    right = len(arr) - 1
    changes = 0
    while left &lt; right:
        if arr[left] != arr[right]:
            changes += 1
        left += 1
        right -= 1
    return changes</t>
  </si>
  <si>
    <t>HumanEval/74</t>
  </si>
  <si>
    <t xml:space="preserve">
def total_match(lst1, lst2):
    '''
    Write a function that accepts two lists of strings and returns the list that has 
    total number of chars in the all strings of the list less than the other list.
    if the two lists have the same number of chars, return the first list.
    Examples
    total_match([], []) ➞ []
    total_match(['hi', 'admin'], ['hI', 'Hi']) ➞ ['hI', 'Hi']
    total_match(['hi', 'admin'], ['hi', 'hi', 'admin', 'project']) ➞ ['hi', 'admin']
    total_match(['hi', 'admin'], ['hI', 'hi', 'hi']) ➞ ['hI', 'hi', 'hi']
    total_match(['4'], ['1', '2', '3', '4', '5']) ➞ ['4']
    '''
</t>
  </si>
  <si>
    <t>```python
def total_match(lst1, lst2):
    len_lst1 = sum(len(s) for s in lst1)
    len_lst2 = sum(len(s) for s in lst2)
    return lst1 if len_lst1 &lt;= len_lst2 else lst2
```</t>
  </si>
  <si>
    <t>def total_match(lst1, lst2):
    len_lst1 = sum(len(s) for s in lst1)
    len_lst2 = sum(len(s) for s in lst2)
    return lst1 if len_lst1 &lt;= len_lst2 else lst2</t>
  </si>
  <si>
    <t>HumanEval/75</t>
  </si>
  <si>
    <t>t=13|entropy=1.8607|tok=' Adjust' ; t=14|entropy=1.2877|tok=' for' ; t=19|entropy=1.1837|tok=' by' ; t=7|entropy=0.8091|tok='(arr' ; t=0|entropy=0.7702|tok='```' ; t=12|entropy=0.6475|tok=' #' ; t=18|entropy=0.5830|tok=' indexing' ; t=31|entropy=0.5064|tok=' -' ; t=34|entropy=0.4614|tok=']\\n' ; t=16|entropy=0.3480|tok='0'</t>
  </si>
  <si>
    <t xml:space="preserve">
def is_multiply_prime(a):
    """Write a function that returns true if the given number is the multiplication of 3 prime numbers
    and false otherwise.
    Knowing that (a) is less then 100. 
    Example:
    is_multiply_prime(30) == True
    30 = 2 * 3 * 5
    """
</t>
  </si>
  <si>
    <t>t=14|margin=0.3750|tok=' for' ; t=0|margin=0.3906|tok='```' ; t=19|margin=0.5938|tok=' by' ; t=18|margin=1.0241|tok=' indexing' ; t=7|margin=1.0469|tok='(arr' ; t=12|margin=1.2031|tok=' #' ; t=13|margin=1.3324|tok=' Adjust' ; t=31|margin=1.3594|tok=' -' ; t=34|margin=1.5781|tok=']\\n' ; t=16|margin=2.0838|tok='0'</t>
  </si>
  <si>
    <t>```python
from sympy import primerange
def is_multiply_prime(a):
    primes = list(primerange(2, 100))
    for i in range(len(primes)):
        for j in range(i, len(primes)):
            for k in range(j, len(primes)):
                if primes[i] * primes[j] * primes[k] == a:
                    return True
    return False
```</t>
  </si>
  <si>
    <t>from sympy import primerange
def is_multiply_prime(a):
    primes = list(primerange(2, 100))
    for i in range(len(primes)):
        for j in range(i, len(primes)):
            for k in range(j, len(primes)):
                if primes[i] * primes[j] * primes[k] == a:
                    return True
    return False</t>
  </si>
  <si>
    <t>mbpp_102</t>
  </si>
  <si>
    <t>HumanEval/76</t>
  </si>
  <si>
    <t>Write a function to convert a snake case string to camel case string.</t>
  </si>
  <si>
    <t xml:space="preserve">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t>
  </si>
  <si>
    <t>```python
import math
def is_simple_power(x, n):
    if n == 1:
        return x == 1
    root = round(math.log(x, n))
    return n ** root == x
```</t>
  </si>
  <si>
    <t>import math
def is_simple_power(x, n):
    if n == 1:
        return x == 1
    root = round(math.log(x, n))
    return n ** root == x</t>
  </si>
  <si>
    <t xml:space="preserve">&lt;|im_start|&gt;system
You are an expert Python competitive programmer.&lt;|im_end|&gt;
&lt;|im_start|&gt;user
Solve the following Python programming task. Return only valid Python code. Do not use Markdown. Do not explain.Task:Write a function to convert a snake case string to camel case string.Required tests include:assert snake_to_camel('python_program')=='PythonProgram'assert snake_to_camel('python_language')==('PythonLanguage')assert snake_to_camel('programming_language')==('ProgrammingLanguage')&lt;|im_end|&gt;
&lt;|im_start|&gt;assistant
</t>
  </si>
  <si>
    <t>```python
def snake_to_camel(word):
    return ''.join(x.capitalize() or '_' for x in word.split('_'))
```</t>
  </si>
  <si>
    <t>def snake_to_camel(word):
    return ''.join(x.capitalize() or '_' for x in word.split('_'))</t>
  </si>
  <si>
    <t>HumanEval/77</t>
  </si>
  <si>
    <t>{'type': 'RuntimeError', 'message': "TypeError: type complex doesn't define __round__ method", 'stderr_tail': 'Traceback (most recent call last):\n  File "/tmp/tmp6yja6nke/candidate_eval.py", line 33, in &lt;module&gt;\n    check(iscube)\n  File "/tmp/tmp6yja6nke/candidate_eval.py", line 21, in check\n    assert candidate(-1) == True, "Third test error: " + str(candidate(-1))\n           ^^^^^^^^^^^^^\n  File "/tmp/tmp6yja6nke/candidate_eval.py", line 14, in iscube\n    return round(a ** (1/3)) ** 3 == a\n           ^^^^^^^^^^^^^^^^^\nTypeError: type complex doesn\'t define __round__ method\n', 'stdout_tail': ''}</t>
  </si>
  <si>
    <t xml:space="preserve">
def iscube(a):
    '''
    Write a function that takes an integer a and returns True 
    if this ingeger is a cube of some integer number.
    Note: you may assume the input is always valid.
    Examples:
    iscube(1) ==&gt; True
    iscube(2) ==&gt; False
    iscube(-1) ==&gt; True
    iscube(64) ==&gt; True
    iscube(0) ==&gt; True
    iscube(180) ==&gt; False
    '''
</t>
  </si>
  <si>
    <t>```python
def iscube(a):
    return round(a ** (1/3)) ** 3 == a
```</t>
  </si>
  <si>
    <t>def iscube(a):
    return round(a ** (1/3)) ** 3 == a</t>
  </si>
  <si>
    <t>TypeError: type complex doesn't define __round__ method</t>
  </si>
  <si>
    <t>HumanEval/78</t>
  </si>
  <si>
    <t xml:space="preserve">
def hex_key(num):
    """You have been tasked to write a function that receives 
    a hexadecimal number as a string and counts the number of hexadecimal 
    digits that are primes (prime number, or a prime, is a natural number 
    greater than 1 that is not a product of two smaller natural numbers).
    Hexadecimal digits are 0, 1, 2, 3, 4, 5, 6, 7, 8, 9, A, B, C, D, E, F.
    Prime numbers are 2, 3, 5, 7, 11, 13, 17,...
    So you have to determine a number of the following digits: 2, 3, 5, 7, 
    B (=decimal 11), D (=decimal 13).
    Note: you may assume the input is always correct or empty string, 
    and symbols A,B,C,D,E,F are always uppercase.
    Examples:
    For num = "AB" the output should be 1.
    For num = "1077E" the output should be 2.
    For num = "ABED1A33" the output should be 4.
    For num = "123456789ABCDEF0" the output should be 6.
    For num = "2020" the output should be 2.
    """
</t>
  </si>
  <si>
    <t>```python
def hex_key(num):
    prime_hex_digits = {'2', '3', '5', '7', 'B', 'D'}
    return sum(1 for digit in num if digit in prime_hex_digits)
```</t>
  </si>
  <si>
    <t>def hex_key(num):
    prime_hex_digits = {'2', '3', '5', '7', 'B', 'D'}
    return sum(1 for digit in num if digit in prime_hex_digits)</t>
  </si>
  <si>
    <t>t=14|entropy=1.0860|tok='(x' ; t=0|entropy=0.6932|tok='```' ; t=25|entropy=0.6172|tok="'))\\n" ; t=11|entropy=0.6124|tok=' return' ; t=9|entropy=0.4654|tok='):\\n' ; t=8|entropy=0.4125|tok='(word' ; t=17|entropy=0.2578|tok=' or' ; t=26|entropy=0.2556|tok='```' ; t=10|entropy=0.2476|tok='   ' ; t=3|entropy=0.1625|tok='def'</t>
  </si>
  <si>
    <t>t=14|margin=1.1520|tok='(x' ; t=0|margin=1.2188|tok='```' ; t=25|margin=1.2656|tok="'))\\n" ; t=11|margin=1.3125|tok=' return' ; t=9|margin=1.7812|tok='):\\n' ; t=10|margin=2.6719|tok='   ' ; t=17|margin=2.7969|tok=' or' ; t=3|margin=3.2812|tok='def' ; t=8|margin=3.3125|tok='(word' ; t=26|margin=3.6222|tok='```'</t>
  </si>
  <si>
    <t>HumanEval/79</t>
  </si>
  <si>
    <t xml:space="preserve">
def decimal_to_binary(decimal):
    """You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
</t>
  </si>
  <si>
    <t>mbpp_103</t>
  </si>
  <si>
    <t>```python
def decimal_to_binary(decimal):
    if decimal == 0:
        return "db0db"
    binary = ""
    while decimal &gt; 0:
        binary = str(decimal % 2) + binary
        decimal //= 2
    return "db" + binary + "db"
```</t>
  </si>
  <si>
    <t>def decimal_to_binary(decimal):
    if decimal == 0:
        return "db0db"
    binary = ""
    while decimal &gt; 0:
        binary = str(decimal % 2) + binary
        decimal //= 2
    return "db" + binary + "db"</t>
  </si>
  <si>
    <t>Write a function to find the Eulerian number a(n, m).</t>
  </si>
  <si>
    <t xml:space="preserve">&lt;|im_start|&gt;system
You are an expert Python competitive programmer.&lt;|im_end|&gt;
&lt;|im_start|&gt;user
Solve the following Python programming task. Return only valid Python code. Do not use Markdown. Do not explain.Task:Write a function to find the Eulerian number a(n, m).Required tests include:assert eulerian_num(3, 1) == 4assert eulerian_num(4, 1) == 11assert eulerian_num(5, 3) == 26&lt;|im_end|&gt;
&lt;|im_start|&gt;assistant
</t>
  </si>
  <si>
    <t>```python
def eulerian_num(n, m):
    if m &gt;= n or n == 0:
        return 0
    if m == 0:
        return 1
    return ((n - m) * eulerian_num(n - 1, m - 1) + (m + 1) * eulerian_num(n - 1, m))
```</t>
  </si>
  <si>
    <t>HumanEval/80</t>
  </si>
  <si>
    <t>def eulerian_num(n, m):
    if m &gt;= n or n == 0:
        return 0
    if m == 0:
        return 1
    return ((n - m) * eulerian_num(n - 1, m - 1) + (m + 1) * eulerian_num(n - 1, m))</t>
  </si>
  <si>
    <t xml:space="preserve">
def is_happy(s):
    """You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
</t>
  </si>
  <si>
    <t>```python
def is_happy(s):
    if len(s) &lt; 3:
        return False
    for i in range(len(s) - 2):
        if len(set(s[i:i+3])) != 3:
            return False
    return True
```</t>
  </si>
  <si>
    <t>def is_happy(s):
    if len(s) &lt; 3:
        return False
    for i in range(len(s) - 2):
        if len(set(s[i:i+3])) != 3:
            return False
    return True</t>
  </si>
  <si>
    <t>HumanEval/81</t>
  </si>
  <si>
    <t xml:space="preserve">
def numerical_letter_grade(grades):
    """It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
</t>
  </si>
  <si>
    <t>```python
def numerical_letter_grade(grades):
    return ['A+' if g == 4.0 else 'A' if g &gt; 3.7 else 'A-' if g &gt; 3.3 else 'B+' if g &gt; 3.0 else 'B' if g &gt; 2.7 else 'B-' if g &gt; 2.3 else 'C+' if g &gt; 2.0 else 'C' if g &gt; 1.7 else 'C-' if g &gt; 1.3 else 'D+' if g &gt; 1.0 else 'D' if g &gt; 0.7 else 'D-' if g &gt; 0.0 else 'E' for g in grades]
```</t>
  </si>
  <si>
    <t>def numerical_letter_grade(grades):
    return ['A+' if g == 4.0 else 'A' if g &gt; 3.7 else 'A-' if g &gt; 3.3 else 'B+' if g &gt; 3.0 else 'B' if g &gt; 2.7 else 'B-' if g &gt; 2.3 else 'C+' if g &gt; 2.0 else 'C' if g &gt; 1.7 else 'C-' if g &gt; 1.3 else 'D+' if g &gt; 1.0 else 'D' if g &gt; 0.7 else 'D-' if g &gt; 0.0 else 'E' for g in grades]</t>
  </si>
  <si>
    <t>HumanEval/82</t>
  </si>
  <si>
    <t xml:space="preserve">
def prime_length(string):
    """Write a function that takes a string and returns True if the string
    length is a prime number or False otherwise
    Examples
    prime_length('Hello') == True
    prime_length('abcdcba') == True
    prime_length('kittens') == True
    prime_length('orange') == False
    """
</t>
  </si>
  <si>
    <t>```python
import math
def prime_length(string):
    n = len(string)
    if n &lt; 2:
        return False
    for i in range(2, int(math.sqrt(n)) + 1):
        if n % i == 0:
            return False
    return True
```</t>
  </si>
  <si>
    <t>import math
def prime_length(string):
    n = len(string)
    if n &lt; 2:
        return False
    for i in range(2, int(math.sqrt(n)) + 1):
        if n % i == 0:
            return False
    return True</t>
  </si>
  <si>
    <t>HumanEval/83</t>
  </si>
  <si>
    <t>t=13|entropy=0.7783|tok=' m' ; t=12|entropy=0.7516|tok=' if' ; t=0|entropy=0.6751|tok='```' ; t=77|entropy=0.6261|tok='))\\n' ; t=10|entropy=0.4955|tok='):\\n' ; t=38|entropy=0.4909|tok='\\n' ; t=4|entropy=0.4902|tok=' euler' ; t=59|entropy=0.4202|tok=')' ; t=78|entropy=0.3327|tok='```' ; t=6|entropy=0.1242|tok='_num'</t>
  </si>
  <si>
    <t>{'type': 'RuntimeError', 'message': 'AssertionError', 'stderr_tail': 'Traceback (most recent call last):\n  File "/tmp/tmpjwbbqskk/candidate_eval.py", line 34, in &lt;module&gt;\n    check(starts_one_ends)\n  File "/tmp/tmpjwbbqskk/candidate_eval.py", line 24, in check\n    assert candidate(2) == 18\n           ^^^^^^^^^^^^^^^^^^\nAssertionError\n', 'stdout_tail': ''}</t>
  </si>
  <si>
    <t>t=12|margin=0.2188|tok=' if' ; t=77|margin=0.7812|tok='))\\n' ; t=13|margin=0.8807|tok=' m' ; t=0|margin=1.3125|tok='```' ; t=10|margin=1.5781|tok='):\\n' ; t=59|margin=1.7670|tok=')' ; t=4|margin=1.8466|tok=' euler' ; t=38|margin=2.1435|tok='\\n' ; t=78|margin=2.4929|tok='```' ; t=60|margin=3.6406|tok=' +'</t>
  </si>
  <si>
    <t xml:space="preserve">
def starts_one_ends(n):
    """
    Given a positive integer n, return the count of the numbers of n-digit
    positive integers that start or end with 1.
    """
</t>
  </si>
  <si>
    <t>```python
def starts_one_ends(n):
    if n == 1:
        return 1
    else:
        return 2 * (10 ** (n - 1)) - 10 ** (n - 2)
```</t>
  </si>
  <si>
    <t>def starts_one_ends(n):
    if n == 1:
        return 1
    else:
        return 2 * (10 ** (n - 1)) - 10 ** (n - 2)</t>
  </si>
  <si>
    <t>mbpp_104</t>
  </si>
  <si>
    <t>Write a function to sort each sublist of strings in a given list of lists.</t>
  </si>
  <si>
    <t xml:space="preserve">&lt;|im_start|&gt;system
You are an expert Python competitive programmer.&lt;|im_end|&gt;
&lt;|im_start|&gt;user
Solve the following Python programming task. Return only valid Python code. Do not use Markdown. Do not explain.Task:Write a function to sort each sublist of strings in a given list of lists.Required tests include:assert sort_sublists((["green", "orange"], ["black", "white"], ["white", "black", "orange"]))==[['green', 'orange'], ['black', 'white'], ['black', 'orange', 'white']]assert sort_sublists(([" red ","green" ],["blue "," black"],[" orange","brown"]))==[[' red ', 'green'], [' black', 'blue '], [' orange', 'brown']]assert sort_sublists((["zilver","gold"], ["magnesium","aluminium"], ["steel", "bronze"]))==[['gold', 'zilver'],['aluminium', 'magnesium'], ['bronze', 'steel']]&lt;|im_end|&gt;
&lt;|im_start|&gt;assistant
</t>
  </si>
  <si>
    <t>HumanEval/84</t>
  </si>
  <si>
    <t>```python
def sort_sublists(test_list):
    res = [sorted(sublist) for sublist in test_list]
    return res
# Test cases
assert sort_sublists([["green", "orange"], ["black", "white"], ["white", "black", "orange"]]) == [['green', 'orange'], ['black', 'white'], ['black', 'orange', 'white']]
assert sort_sublists([[" red ", "green"], ["blue ", " black"], [" orange", "brown"]]) == [[' red ', 'green'], [' black', 'blue '], [' orange', 'brown']]
assert sort_sublists([["zilver", "gold"], ["magnesium", "aluminium"], ["steel", "bronze"]]) == [['gold', 'zilver'], ['aluminium', 'magnesium'], ['bronze', 'steel']]
```</t>
  </si>
  <si>
    <t>def sort_sublists(test_list):
    res = [sorted(sublist) for sublist in test_list]
    return res
# Test cases
assert sort_sublists([["green", "orange"], ["black", "white"], ["white", "black", "orange"]]) == [['green', 'orange'], ['black', 'white'], ['black', 'orange', 'white']]
assert sort_sublists([[" red ", "green"], ["blue ", " black"], [" orange", "brown"]]) == [[' red ', 'green'], [' black', 'blue '], [' orange', 'brown']]
assert sort_sublists([["zilver", "gold"], ["magnesium", "aluminium"], ["steel", "bronze"]]) == [['gold', 'zilver'], ['aluminium', 'magnesium'], ['bronze', 'steel']]</t>
  </si>
  <si>
    <t xml:space="preserve">
def solve(N):
    """Given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
</t>
  </si>
  <si>
    <t>```python
def solve(N):
    return bin(sum(int(digit) for digit in str(N)))[2:]
```</t>
  </si>
  <si>
    <t>def solve(N):
    return bin(sum(int(digit) for digit in str(N)))[2:]</t>
  </si>
  <si>
    <t>HumanEval/85</t>
  </si>
  <si>
    <t xml:space="preserve">
def add(lst):
    """Given a non-empty list of integers lst. add the even elements that are at odd indices..
    Examples:
        add([4, 2, 6, 7]) ==&gt; 2 
    """
</t>
  </si>
  <si>
    <t>```python
def add(lst):
    return sum(x for i, x in enumerate(lst) if i % 2 == 1 and x % 2 == 0)
```</t>
  </si>
  <si>
    <t>def add(lst):
    return sum(x for i, x in enumerate(lst) if i % 2 == 1 and x % 2 == 0)</t>
  </si>
  <si>
    <t>HumanEval/86</t>
  </si>
  <si>
    <t xml:space="preserve">
def anti_shuffle(s):
    """
    Write a function that takes a string and returns an ordered version of it.
    Ordered version of string, is a string where all words (separated by space)
    are replaced by a new word where all the characters arranged in
    ascending order based on ascii value.
    Note: You should keep the order of words and blank spaces in the sentence.
    For example:
    anti_shuffle('Hi') returns 'Hi'
    anti_shuffle('hello') returns 'ehllo'
    anti_shuffle('Hello World!!!') returns 'Hello !!!Wdlor'
    """
</t>
  </si>
  <si>
    <t>```python
def anti_shuffle(s):
    return ' '.join([''.join(sorted(word)) for word in s.split(' ')])
```</t>
  </si>
  <si>
    <t>def anti_shuffle(s):
    return ' '.join([''.join(sorted(word)) for word in s.split(' ')])</t>
  </si>
  <si>
    <t>t=7|entropy=1.1917|tok='(test' ; t=16|entropy=1.1535|tok='list' ; t=11|entropy=0.7854|tok=' res' ; t=27|entropy=0.7571|tok='\\n\\n' ; t=0|entropy=0.7096|tok='```' ; t=36|entropy=0.6832|tok='([' ; t=87|entropy=0.5126|tok=' red' ; t=17|entropy=0.4195|tok=')' ; t=96|entropy=0.3909|tok=' black' ; t=133|entropy=0.3861|tok='",'</t>
  </si>
  <si>
    <t>t=27|margin=0.0625|tok='\\n\\n' ; t=11|margin=0.4062|tok=' res' ; t=36|margin=0.5369|tok='([' ; t=0|margin=0.7344|tok='```' ; t=16|margin=0.8906|tok='list' ; t=87|margin=1.4219|tok=' red' ; t=17|margin=1.7656|tok=')' ; t=133|margin=1.9176|tok='",' ; t=96|margin=2.0028|tok=' black' ; t=7|margin=2.0156|tok='(test'</t>
  </si>
  <si>
    <t>HumanEval/87</t>
  </si>
  <si>
    <t>mbpp_105</t>
  </si>
  <si>
    <t>{'type': 'RuntimeError', 'message': 'AssertionError', 'stderr_tail': 'Traceback (most recent call last):\n  File "/tmp/tmptlgng214/candidate_eval.py", line 55, in &lt;module&gt;\n    check(get_row)\n  File "/tmp/tmptlgng214/candidate_eval.py", line 24, in check\n    assert candidate([\n           ^^^^^^^^^^^\nAssertionError\n', 'stdout_tail': ''}</t>
  </si>
  <si>
    <t xml:space="preserve">
def get_row(lst, x):
    """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
</t>
  </si>
  <si>
    <t>```python
def get_row(lst, x):
    result = []
    for i, row in enumerate(lst):
        for j, value in enumerate(row[::-1]):
            if value == x:
                result.append((i, len(row) - 1 - j))
    return sorted(result)
```</t>
  </si>
  <si>
    <t>def get_row(lst, x):
    result = []
    for i, row in enumerate(lst):
        for j, value in enumerate(row[::-1]):
            if value == x:
                result.append((i, len(row) - 1 - j))
    return sorted(result)</t>
  </si>
  <si>
    <t>Write a python function to count true booleans in the given list.</t>
  </si>
  <si>
    <t xml:space="preserve">&lt;|im_start|&gt;system
You are an expert Python competitive programmer.&lt;|im_end|&gt;
&lt;|im_start|&gt;user
Solve the following Python programming task. Return only valid Python code. Do not use Markdown. Do not explain.Task:Write a python function to count true booleans in the given list.Required tests include:assert count([True,False,True]) == 2assert count([False,False]) == 0assert count([True,True,True]) == 3&lt;|im_end|&gt;
&lt;|im_start|&gt;assistant
</t>
  </si>
  <si>
    <t>```python
def count(lst):
    return lst.count(True)
```</t>
  </si>
  <si>
    <t>def count(lst):
    return lst.count(True)</t>
  </si>
  <si>
    <t>HumanEval/88</t>
  </si>
  <si>
    <t xml:space="preserve">
def sort_array(array):
    """
    Given an array of non-negative integers, return a copy of the given array after sorting,
    you will sort the given array in ascending order if the sum( first index value, last index value) is odd,
    or sort it in descending order if the sum( first index value, last index value) is even.
    Note:
    * don't change the given array.
    Examples:
    * sort_array([]) =&gt; []
    * sort_array([5]) =&gt; [5]
    * sort_array([2, 4, 3, 0, 1, 5]) =&gt; [0, 1, 2, 3, 4, 5]
    * sort_array([2, 4, 3, 0, 1, 5, 6]) =&gt; [6, 5, 4, 3, 2, 1, 0]
    """
</t>
  </si>
  <si>
    <t>```python
def sort_array(array):
    if not array:
        return []
    sorted_array = array[:]
    if (sorted_array[0] + sorted_array[-1]) % 2 == 0:
        sorted_array.sort(reverse=True)
    else:
        sorted_array.sort()
    return sorted_array
```</t>
  </si>
  <si>
    <t>def sort_array(array):
    if not array:
        return []
    sorted_array = array[:]
    if (sorted_array[0] + sorted_array[-1]) % 2 == 0:
        sorted_array.sort(reverse=True)
    else:
        sorted_array.sort()
    return sorted_array</t>
  </si>
  <si>
    <t>HumanEval/89</t>
  </si>
  <si>
    <t xml:space="preserve">
def encrypt(s):
    """Create a function encrypt that takes a string as an argument and
    returns a string encrypted with the alphabet being rotated. 
    The alphabet should be rotated in a manner such that the letters 
    shift down by two multiplied to two places.
    For example:
    encrypt('hi') returns 'lm'
    encrypt('asdfghjkl') returns 'ewhjklnop'
    encrypt('gf') returns 'kj'
    encrypt('et') returns 'ix'
    """
</t>
  </si>
  <si>
    <t>```python
def encrypt(s):
    result = []
    for char in s:
        if char.isalpha():
            shift = (2 * 2) % 26
            if char.islower():
                result.append(chr((ord(char) - ord('a') + shift) % 26 + ord('a')))
            else:
                result.append(chr((ord(char) - ord('A') + shift) % 26 + ord('A')))
        else:
            result.append(char)
    return ''.join(result)
```</t>
  </si>
  <si>
    <t>def encrypt(s):
    result = []
    for char in s:
        if char.isalpha():
            shift = (2 * 2) % 26
            if char.islower():
                result.append(chr((ord(char) - ord('a') + shift) % 26 + ord('a')))
            else:
                result.append(chr((ord(char) - ord('A') + shift) % 26 + ord('A')))
        else:
            result.append(char)
    return ''.join(result)</t>
  </si>
  <si>
    <t>t=0|entropy=0.8482|tok='```' ; t=8|entropy=0.4142|tok=' return' ; t=5|entropy=0.3542|tok='(lst' ; t=6|entropy=0.2221|tok='):\\n' ; t=12|entropy=0.1938|tok=')\\n' ; t=9|entropy=0.1406|tok=' lst' ; t=13|entropy=0.1175|tok='```' ; t=7|entropy=0.0502|tok='   ' ; t=3|entropy=0.0220|tok='def' ; t=2|entropy=0.0032|tok='\\n'</t>
  </si>
  <si>
    <t>t=0|margin=0.5469|tok='```' ; t=8|margin=1.9688|tok=' return' ; t=12|margin=3.0000|tok=')\\n' ; t=6|margin=3.3906|tok='):\\n' ; t=9|margin=3.4688|tok=' lst' ; t=13|margin=3.8949|tok='```' ; t=5|margin=4.3281|tok='(lst' ; t=7|margin=4.8366|tok='   ' ; t=3|margin=6.0938|tok='def' ; t=2|margin=9.1364|tok='\\n'</t>
  </si>
  <si>
    <t>HumanEval/90</t>
  </si>
  <si>
    <t xml:space="preserve">
def next_smallest(lst):
    """
    You are given a list of integers.
    Write a function next_smallest() that returns the 2nd smallest element of the list.
    Return None if there is no such element.
    next_smallest([1, 2, 3, 4, 5]) == 2
    next_smallest([5, 1, 4, 3, 2]) == 2
    next_smallest([]) == None
    next_smallest([1, 1]) == None
    """
</t>
  </si>
  <si>
    <t>```python
def next_smallest(lst):
    unique_lst = sorted(set(lst))
    return unique_lst[1] if len(unique_lst) &gt; 1 else None
```</t>
  </si>
  <si>
    <t>def next_smallest(lst):
    unique_lst = sorted(set(lst))
    return unique_lst[1] if len(unique_lst) &gt; 1 else None</t>
  </si>
  <si>
    <t>mbpp_106</t>
  </si>
  <si>
    <t>HumanEval/91</t>
  </si>
  <si>
    <t>TypeError: can only concatenate tuple (not "list") to tuple</t>
  </si>
  <si>
    <t xml:space="preserve">Traceback (most recent call last):
  File "/tmp/tmp4bvq8ohi/candidate_eval.py", line 4, in &lt;module&gt;
    assert add_lists([5, 6, 7], (9, 10)) == (9, 10, 5, 6, 7)
           ^^^^^^^^^^^^^^^^^^^^^^^^^^^^^
  File "/tmp/tmp4bvq8ohi/candidate_eval.py", line 2, in add_lists
    return tuple(tpl + lst)
                 ~~~~^~~~~
TypeError: can only concatenate tuple (not "list") to tuple
</t>
  </si>
  <si>
    <t xml:space="preserve">
def is_bored(S):
    """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
</t>
  </si>
  <si>
    <t>```python
import re
def is_bored(S):
    sentences = re.split(r'[.?!]\s*', S)
    return sum(1 for sentence in sentences if sentence.startswith('I '))
```</t>
  </si>
  <si>
    <t>Write a function to append the given list to the given tuples.</t>
  </si>
  <si>
    <t>import re
def is_bored(S):
    sentences = re.split(r'[.?!]\s*', S)
    return sum(1 for sentence in sentences if sentence.startswith('I '))</t>
  </si>
  <si>
    <t xml:space="preserve">&lt;|im_start|&gt;system
You are an expert Python competitive programmer.&lt;|im_end|&gt;
&lt;|im_start|&gt;user
Solve the following Python programming task. Return only valid Python code. Do not use Markdown. Do not explain.Task:Write a function to append the given list to the given tuples.Required tests include:assert add_lists([5, 6, 7], (9, 10)) == (9, 10, 5, 6, 7)assert add_lists([6, 7, 8], (10, 11)) == (10, 11, 6, 7, 8)assert add_lists([7, 8, 9], (11, 12)) == (11, 12, 7, 8, 9)&lt;|im_end|&gt;
&lt;|im_start|&gt;assistant
</t>
  </si>
  <si>
    <t>def add_lists(lst, tpl):
    return tuple(tpl + lst)</t>
  </si>
  <si>
    <t>HumanEval/92</t>
  </si>
  <si>
    <t xml:space="preserve">
def any_int(x, y, z):
    '''
    Create a function that takes 3 numbers.
    Returns true if one of the numbers is equal to the sum of the other two, and all numbers are integers.
    Returns false in any other cases.
    Examples
    any_int(5, 2, 7) ➞ True
    any_int(3, 2, 2) ➞ False
    any_int(3, -2, 1) ➞ True
    any_int(3.6, -2.2, 2) ➞ False
    '''
</t>
  </si>
  <si>
    <t>```python
def any_int(x, y, z):
    return (isinstance(x, int) and isinstance(y, int) and isinstance(z, int)) and ((x == y + z) or (y == x + z) or (z == x + y))
```</t>
  </si>
  <si>
    <t>def any_int(x, y, z):
    return (isinstance(x, int) and isinstance(y, int) and isinstance(z, int)) and ((x == y + z) or (y == x + z) or (z == x + y))</t>
  </si>
  <si>
    <t>HumanEval/93</t>
  </si>
  <si>
    <t>{'type': 'RuntimeError', 'message': 'AssertionError: This prints if this assert fails 1 (good for debugging!)', 'stderr_tail': 'Traceback (most recent call last):\n  File "/tmp/tmpiqkhrkzx/candidate_eval.py", line 33, in &lt;module&gt;\n    check(encode)\n  File "/tmp/tmpiqkhrkzx/candidate_eval.py", line 23, in check\n    assert candidate(\'TEST\') == \'tgst\', "This prints if this assert fails 1 (good for debugging!)"\n           ^^^^^^^^^^^^^^^^^^^^^^^^^^^\nAssertionError: This prints if this assert fails 1 (good for debugging!)\n', 'stdout_tail': ''}</t>
  </si>
  <si>
    <t xml:space="preserve">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t>
  </si>
  <si>
    <t>```python
def encode(message):
    vowels = "aeiou"
    shifted_vowels = {v: chr((ord(v) - ord('a') + 2) % 26 + ord('a')) for v in vowels}
    shifted_vowels.update({v.upper(): shifted_vowels[v].upper() for v in vowels})
    return ''.join(shifted_vowels.get(c.swapcase(), c) for c in message)
```</t>
  </si>
  <si>
    <t>def encode(message):
    vowels = "aeiou"
    shifted_vowels = {v: chr((ord(v) - ord('a') + 2) % 26 + ord('a')) for v in vowels}
    shifted_vowels.update({v.upper(): shifted_vowels[v].upper() for v in vowels})
    return ''.join(shifted_vowels.get(c.swapcase(), c) for c in message)</t>
  </si>
  <si>
    <t>t=3|entropy=1.9674|tok='(lst' ; t=5|entropy=0.8554|tok=' tpl' ; t=0|entropy=0.8158|tok='def' ; t=9|entropy=0.7769|tok=' tuple' ; t=8|entropy=0.5149|tok=' return' ; t=14|entropy=0.4920|tok=')' ; t=6|entropy=0.3390|tok='):\\n' ; t=12|entropy=0.2969|tok=' +' ; t=10|entropy=0.2735|tok='(t' ; t=4|entropy=0.0933|tok=','</t>
  </si>
  <si>
    <t>AssertionError: This prints if this assert fails 1 (good for debugging!)</t>
  </si>
  <si>
    <t>t=0|margin=0.1562|tok='def' ; t=5|margin=0.4688|tok=' tpl' ; t=3|margin=0.9062|tok='(lst' ; t=9|margin=1.7713|tok=' tuple' ; t=8|margin=1.7969|tok=' return' ; t=6|margin=2.2188|tok='):\\n' ; t=12|margin=2.3906|tok=' +' ; t=14|margin=2.5270|tok=')' ; t=10|margin=2.6562|tok='(t' ; t=7|margin=4.3636|tok='   '</t>
  </si>
  <si>
    <t>{'type': 'RuntimeError', 'message': 'TypeError: can only concatenate tuple (not "list") to tuple', 'stderr_tail': 'Traceback (most recent call last):\n  File "/tmp/tmp4bvq8ohi/candidate_eval.py", line 4, in &lt;module&gt;\n    assert add_lists([5, 6, 7], (9, 10)) == (9, 10, 5, 6, 7)\n           ^^^^^^^^^^^^^^^^^^^^^^^^^^^^^\n  File "/tmp/tmp4bvq8ohi/candidate_eval.py", line 2, in add_lists\n    return tuple(tpl + lst)\n                 ~~~~^~~~~\nTypeError: can only concatenate tuple (not "list") to tuple\n', 'stdout_tail': ''}</t>
  </si>
  <si>
    <t>mbpp_108</t>
  </si>
  <si>
    <t>HumanEval/94</t>
  </si>
  <si>
    <t>{'type': 'RuntimeError', 'message': "NameError: name 'is_prime' is not defined. Did you mean: 'max_prime'?", 'stderr_tail': 'Traceback (most recent call last):\n  File "/tmp/tmpdrm_cabc/candidate_eval.py", line 45, in &lt;module&gt;\n    check(skjkasdkd)\n  File "/tmp/tmpdrm_cabc/candidate_eval.py", line 23, in check\n    assert candidate([0,3,2,1,3,5,7,4,5,5,5,2,181,32,4,32,3,2,32,324,4,3]) == 10, "This prints if this assert fails 1 (good for debugging!)"\n           ^^^^^^^^^^^^^^^^^^^^^^^^^^^^^^^^^^^^^^^^^^^^^^^^^^^^^^^^^^^^^^^\n  File "/tmp/tmpdrm_cabc/candidate_eval.py", line 16, in skjkasdkd\n    if num &gt; max_prime and is_prime(num):\n                           ^^^^^^^^\nNameError: name \'is_prime\' is not defined. Did you mean: \'max_prime\'?\n', 'stdout_tail': ''}</t>
  </si>
  <si>
    <t xml:space="preserve">
def skjkasdkd(lst):
    """You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
</t>
  </si>
  <si>
    <t>```python
def is_prime(n):
    if n &lt;= 1:
        return False
    for i in range(2, int(n**0.5) + 1):
        if n % i == 0:
            return False
    return True
def skjkasdkd(lst):
    max_prime = 0
    for num in lst:
        if num &gt; max_prime and is_prime(num):
            max_prime = num
    return sum(int(digit) for digit in str(max_prime))
```</t>
  </si>
  <si>
    <t>Write a function to merge three lists into a single sorted list.</t>
  </si>
  <si>
    <t>def skjkasdkd(lst):
    max_prime = 0
    for num in lst:
        if num &gt; max_prime and is_prime(num):
            max_prime = num
    return sum(int(digit) for digit in str(max_prime))</t>
  </si>
  <si>
    <t>NameError: name 'is_prime' is not defined. Did you mean: 'max_prime'?</t>
  </si>
  <si>
    <t xml:space="preserve">&lt;|im_start|&gt;system
You are an expert Python competitive programmer.&lt;|im_end|&gt;
&lt;|im_start|&gt;user
Solve the following Python programming task. Return only valid Python code. Do not use Markdown. Do not explain.Task:Write a function to merge three lists into a single sorted list.Required tests include:assert merge_sorted_list([25, 24, 15, 4, 5, 29, 110],[19, 20, 11, 56, 25, 233, 154],[24, 26, 54, 48])==[4, 5, 11, 15, 19, 20, 24, 24, 25, 25, 26, 29, 48, 54, 56, 110, 154, 233]assert merge_sorted_list([1, 3, 5, 6, 8, 9], [2, 5, 7, 11], [1, 4, 7, 8, 12])==[1, 1, 2, 3, 4, 5, 5, 6, 7, 7, 8, 8, 9, 11, 12]assert merge_sorted_list([18, 14, 10, 9, 8, 7, 9, 3, 2, 4, 1],[25, 35, 22, 85, 14, 65, 75, 25, 58],[12, 74, 9, 50, 61, 41])==[1, 2, 3, 4, 7, 8, 9, 9, 9, 10, 12, 14, 14, 18, 22, 25, 25, 35, 41, 50, 58, 61, 65, 74, 75, 85]&lt;|im_end|&gt;
&lt;|im_start|&gt;assistant
</t>
  </si>
  <si>
    <t>```python
def merge_sorted_list(nums1, nums2, nums3):
    # Merge the three lists into one
    merged = nums1 + nums2 + nums3
    # Sort the merged list
    merged.sort()
    return merged
# Test cases
assert merge_sorted_list([25, 24, 15, 4, 5, 29, 110],[19, 20, 11, 56, 25, 233, 154],[24, 26, 54, 48]) == [4, 5, 11, 15, 19, 20, 24, 24, 25, 25, 26, 29, 48, 54, 56, 110, 154, 233]
assert merge_sorted_list([1, 3, 5, 6, 8, 9], [2, 5, 7, 11], [1, 4, 7, 8, 12]) == [1, 1, 2, 3, 4, 5, 5, 6, 7, 7, 8, 8, 9, 11, 12]
assert merge_sorted_list([18, 14, 10, 9, 8, 7, 9, 3, 2, 4, 1],[25, 35, 22, 85, 14, 65, 75, 25, 58],[12, 74, 9, 50, 61, 41]) == [1, 2, 3, 4, 7, 8, 9, 9, 9, 10, 12, 14, 14, 18, 22, 25, 25, 35, 41, 50, 58, 61, 65, 74, 75, 85]
```</t>
  </si>
  <si>
    <t>def merge_sorted_list(nums1, nums2, nums3):
    # Merge the three lists into one
    merged = nums1 + nums2 + nums3
    # Sort the merged list
    merged.sort()
    return merged
# Test cases
assert merge_sorted_list([25, 24, 15, 4, 5, 29, 110],[19, 20, 11, 56, 25, 233, 154],[24, 26, 54, 48]) == [4, 5, 11, 15, 19, 20, 24, 24, 25, 25, 26, 29, 48, 54, 56, 110, 154, 233]
assert merge_sorted_list([1, 3, 5, 6, 8, 9], [2, 5, 7, 11], [1, 4, 7, 8, 12]) == [1, 1, 2, 3, 4, 5, 5, 6, 7, 7, 8, 8, 9, 11, 12]
assert merge_sorted_list([18, 14, 10, 9, 8, 7, 9, 3, 2, 4, 1],[25, 35, 22, 85, 14, 65, 75, 25, 58],[12, 74, 9, 50, 61, 41]) == [1, 2, 3, 4, 7, 8, 9, 9, 9, 10, 12, 14, 14, 18, 22, 25, 25, 35, 41, 50, 58, 61, 65, 74, 75, 85]</t>
  </si>
  <si>
    <t>HumanEval/95</t>
  </si>
  <si>
    <t>{'type': 'RuntimeError', 'message': 'AssertionError: Third test error: True', 'stderr_tail': 'Traceback (most recent call last):\n  File "/tmp/tmptghg0um3/candidate_eval.py", line 38, in &lt;module&gt;\n    check(check_dict_case)\n  File "/tmp/tmptghg0um3/candidate_eval.py", line 27, in check\n    assert candidate({"p":"pineapple", 5:"banana", "a":"apple"}) == False, "Third test error: " + str(candidate({"p":"pineapple", 5:"banana", "a":"apple"}))\n           ^^^^^^^^^^^^^^^^^^^^^^^^^^^^^^^^^^^^^^^^^^^^^^^^^^^^^^^^^^^^^^\nAssertionError: Third test error: True\n', 'stdout_tail': ''}</t>
  </si>
  <si>
    <t xml:space="preserve">
def check_dict_case(dict):
    """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
</t>
  </si>
  <si>
    <t>```python
def check_dict_case(d):
    if not d:
        return False
    lower_keys = all(key.islower() for key in d if isinstance(key, str))
    upper_keys = all(key.isupper() for key in d if isinstance(key, str))
    return lower_keys or upper_keys
```</t>
  </si>
  <si>
    <t>def check_dict_case(d):
    if not d:
        return False
    lower_keys = all(key.islower() for key in d if isinstance(key, str))
    upper_keys = all(key.isupper() for key in d if isinstance(key, str))
    return lower_keys or upper_keys</t>
  </si>
  <si>
    <t>AssertionError: Third test error: True</t>
  </si>
  <si>
    <t>HumanEval/96</t>
  </si>
  <si>
    <t>{'type': 'RuntimeError', 'message': "NameError: name 'is_prime' is not defined", 'stderr_tail': 'Traceback (most recent call last):\n  File "/tmp/tmpi44ityrb/candidate_eval.py", line 35, in &lt;module&gt;\n    check(count_up_to)\n  File "/tmp/tmpi44ityrb/candidate_eval.py", line 22, in check\n    assert candidate(5) == [2,3]\n           ^^^^^^^^^^^^\n  File "/tmp/tmpi44ityrb/candidate_eval.py", line 16, in count_up_to\n    if is_prime(i):\n       ^^^^^^^^\nNameError: name \'is_prime\' is not defined\n', 'stdout_tail': ''}</t>
  </si>
  <si>
    <t xml:space="preserve">
def count_up_to(n):
    """Implement a function that takes an non-negative integer and returns an array of the first n
    integers that are prime numbers and less than n.
    for example:
    count_up_to(5) =&gt; [2,3]
    count_up_to(11) =&gt; [2,3,5,7]
    count_up_to(0) =&gt; []
    count_up_to(20) =&gt; [2,3,5,7,11,13,17,19]
    count_up_to(1) =&gt; []
    count_up_to(18) =&gt; [2,3,5,7,11,13,17]
    """
</t>
  </si>
  <si>
    <t>```python
def is_prime(num):
    if num &lt;= 1:
        return False
    for i in range(2, int(num**0.5) + 1):
        if num % i == 0:
            return False
    return True
def count_up_to(n):
    primes = []
    for i in range(2, n):
        if is_prime(i):
            primes.append(i)
    return primes
```</t>
  </si>
  <si>
    <t>def count_up_to(n):
    primes = []
    for i in range(2, n):
        if is_prime(i):
            primes.append(i)
    return primes</t>
  </si>
  <si>
    <t>NameError: name 'is_prime' is not defined</t>
  </si>
  <si>
    <t>t=18|entropy=1.2111|tok=' Merge' ; t=22|entropy=1.0864|tok=' into' ; t=7|entropy=1.0790|tok='(nums' ; t=17|entropy=0.8051|tok=' #' ; t=86|entropy=0.8046|tok='],[' ; t=27|entropy=0.8014|tok=' =' ; t=0|entropy=0.7648|tok='```' ; t=45|entropy=0.6345|tok=' merged' ; t=36|entropy=0.5642|tok='\\n' ; t=43|entropy=0.5520|tok='\\n'</t>
  </si>
  <si>
    <t>t=7|margin=0.3281|tok='(nums' ; t=18|margin=0.3594|tok=' Merge' ; t=86|margin=0.4119|tok='],[' ; t=22|margin=0.4545|tok=' into' ; t=27|margin=0.4815|tok=' =' ; t=0|margin=1.0625|tok='```' ; t=36|margin=1.2543|tok='\\n' ; t=51|margin=1.4134|tok='\\n\\n' ; t=45|margin=1.5440|tok=' merged' ; t=43|margin=1.5966|tok='\\n'</t>
  </si>
  <si>
    <t>HumanEval/97</t>
  </si>
  <si>
    <t>mbpp_109</t>
  </si>
  <si>
    <t xml:space="preserve">
def multiply(a, b):
    """Complete the function that takes two integers and returns 
    the product of their unit digits.
    Assume the input is always valid.
    Examples:
    multiply(148, 412) should return 16.
    multiply(19, 28) should return 72.
    multiply(2020, 1851) should return 0.
    multiply(14,-15) should return 20.
    """
</t>
  </si>
  <si>
    <t>```python
def multiply(a, b):
    return (a % 10) * (b % 10)
```</t>
  </si>
  <si>
    <t>def multiply(a, b):
    return (a % 10) * (b % 10)</t>
  </si>
  <si>
    <t>Write a python function to find the number of numbers with an odd value when rotating a binary string the given number of times.</t>
  </si>
  <si>
    <t xml:space="preserve">&lt;|im_start|&gt;system
You are an expert Python competitive programmer.&lt;|im_end|&gt;
&lt;|im_start|&gt;user
Solve the following Python programming task. Return only valid Python code. Do not use Markdown. Do not explain.Task:Write a python function to find the number of numbers with an odd value when rotating a binary string the given number of times.Required tests include:assert odd_Equivalent("011001",6) == 3assert odd_Equivalent("11011",5) == 4assert odd_Equivalent("1010",4) == 2&lt;|im_end|&gt;
&lt;|im_start|&gt;assistant
</t>
  </si>
  <si>
    <t>```python
def odd_Equivalent(binary, n):
    count = 0
    for i in range(n):
        if int(binary, 2) % 2 != 0:
            count += 1
        binary = binary[-1] + binary[:-1]
    return count
```</t>
  </si>
  <si>
    <t>HumanEval/98</t>
  </si>
  <si>
    <t>def odd_Equivalent(binary, n):
    count = 0
    for i in range(n):
        if int(binary, 2) % 2 != 0:
            count += 1
        binary = binary[-1] + binary[:-1]
    return count</t>
  </si>
  <si>
    <t xml:space="preserve">
def count_upper(s):
    """
    Given a string s, count the number of uppercase vowels in even indices.
    For example:
    count_upper('aBCdEf') returns 1
    count_upper('abcdefg') returns 0
    count_upper('dBBE') returns 0
    """
</t>
  </si>
  <si>
    <t>```python
def count_upper(s):
    return sum(1 for i, c in enumerate(s) if i % 2 == 0 and c in 'AEIOU')
```</t>
  </si>
  <si>
    <t>def count_upper(s):
    return sum(1 for i, c in enumerate(s) if i % 2 == 0 and c in 'AEIOU')</t>
  </si>
  <si>
    <t>HumanEval/99</t>
  </si>
  <si>
    <t xml:space="preserve">
def closest_integer(value):
    '''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
</t>
  </si>
  <si>
    <t>```python
import math
def closest_integer(value):
    num = float(value)
    if abs(num - round(num)) == 0.5:
        return int(math.copysign(math.ceil(abs(num)), num))
    else:
        return round(num)
```</t>
  </si>
  <si>
    <t>import math
def closest_integer(value):
    num = float(value)
    if abs(num - round(num)) == 0.5:
        return int(math.copysign(math.ceil(abs(num)), num))
    else:
        return round(num)</t>
  </si>
  <si>
    <t>t=13|entropy=2.1855|tok=' count' ; t=10|entropy=2.1615|tok=' n' ; t=8|entropy=1.7147|tok='(binary' ; t=9|entropy=1.5011|tok=',' ; t=19|entropy=0.9016|tok=' for' ; t=11|entropy=0.8477|tok='):\\n' ; t=29|entropy=0.7890|tok=',' ; t=4|entropy=0.7687|tok=' odd' ; t=61|entropy=0.6605|tok='\\n' ; t=50|entropy=0.6551|tok='[-'</t>
  </si>
  <si>
    <t>HumanEval/100</t>
  </si>
  <si>
    <t>t=11|margin=0.2188|tok='):\\n' ; t=10|margin=0.3125|tok=' n' ; t=8|margin=0.4531|tok='(binary' ; t=50|margin=0.6406|tok='[-' ; t=61|margin=0.7670|tok='\\n' ; t=29|margin=0.8665|tok=',' ; t=9|margin=1.1719|tok=',' ; t=13|margin=1.3125|tok=' count' ; t=0|margin=1.8281|tok='```' ; t=19|margin=1.8750|tok=' for'</t>
  </si>
  <si>
    <t xml:space="preserve">
def make_a_pile(n):
    """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
</t>
  </si>
  <si>
    <t>```python
def make_a_pile(n):
    result = []
    current_stones = n
    for _ in range(n):
        result.append(current_stones)
        if n % 2 == 0:
            current_stones += 2
        else:
            current_stones += 2
    return result
```</t>
  </si>
  <si>
    <t>def make_a_pile(n):
    result = []
    current_stones = n
    for _ in range(n):
        result.append(current_stones)
        if n % 2 == 0:
            current_stones += 2
        else:
            current_stones += 2
    return result</t>
  </si>
  <si>
    <t>HumanEval/101</t>
  </si>
  <si>
    <t>mbpp_111</t>
  </si>
  <si>
    <t>Write a function to find the common elements in given nested lists.</t>
  </si>
  <si>
    <t xml:space="preserve">
def words_string(s):
    """
    You will be given a string of words separated by commas or spaces. Your task is
    to split the string into words and return an array of the words.
    For example:
    words_string("Hi, my name is John") == ["Hi", "my", "name", "is", "John"]
    words_string("One, two, three, four, five, six") == ["One", "two", "three", "four", "five", "six"]
    """
</t>
  </si>
  <si>
    <t xml:space="preserve">&lt;|im_start|&gt;system
You are an expert Python competitive programmer.&lt;|im_end|&gt;
&lt;|im_start|&gt;user
Solve the following Python programming task. Return only valid Python code. Do not use Markdown. Do not explain.Task:Write a function to find the common elements in given nested lists.Required tests include:assert set(common_in_nested_lists([[12, 18, 23, 25, 45], [7, 12, 18, 24, 28], [1, 5, 8, 12, 15, 16, 18]]))==set([18, 12])assert set(common_in_nested_lists([[12, 5, 23, 25, 45], [7, 11, 5, 23, 28], [1, 5, 8, 18, 23, 16]]))==set([5,23])assert set(common_in_nested_lists([[2, 3,4, 1], [4, 5], [6,4, 8],[4, 5], [6, 8,4]]))==set([4])&lt;|im_end|&gt;
&lt;|im_start|&gt;assistant
</t>
  </si>
  <si>
    <t>```python
def words_string(s):
    return s.replace(',', ' ').split()
```</t>
  </si>
  <si>
    <t>def words_string(s):
    return s.replace(',', ' ').split()</t>
  </si>
  <si>
    <t>```python
def common_in_nested_lists(nested_list):
    # Use set intersection to find common elements across all sublists
    return list(set.intersection(*map(set, nested_list)))
```</t>
  </si>
  <si>
    <t>def common_in_nested_lists(nested_list):
    # Use set intersection to find common elements across all sublists
    return list(set.intersection(*map(set, nested_list)))</t>
  </si>
  <si>
    <t>HumanEval/102</t>
  </si>
  <si>
    <t xml:space="preserve">
def choose_num(x, y):
    """This function takes two positive numbers x and y and returns the
    biggest even integer number that is in the range [x, y] inclusive. If 
    there's no such number, then the function should return -1.
    For example:
    choose_num(12, 15) = 14
    choose_num(13, 12) = -1
    """
</t>
  </si>
  <si>
    <t>```python
def choose_num(x, y):
    if x &gt; y:
        return -1
    for num in range(y, x-1, -1):
        if num % 2 == 0:
            return num
    return -1
```</t>
  </si>
  <si>
    <t>def choose_num(x, y):
    if x &gt; y:
        return -1
    for num in range(y, x-1, -1):
        if num % 2 == 0:
            return num
    return -1</t>
  </si>
  <si>
    <t>HumanEval/103</t>
  </si>
  <si>
    <t xml:space="preserve">
def rounded_avg(n, m):
    """You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
</t>
  </si>
  <si>
    <t>```python
def rounded_avg(n, m):
    if n &gt; m:
        return -1
    avg = round((n + m) / 2)
    return bin(avg)
```</t>
  </si>
  <si>
    <t>def rounded_avg(n, m):
    if n &gt; m:
        return -1
    avg = round((n + m) / 2)
    return bin(avg)</t>
  </si>
  <si>
    <t>t=8|entropy=1.4780|tok='(n' ; t=14|entropy=1.4700|tok=' Use' ; t=10|entropy=1.2139|tok='_list' ; t=21|entropy=0.9176|tok=' across' ; t=15|entropy=0.8655|tok=' set' ; t=27|entropy=0.8578|tok=' return' ; t=13|entropy=0.6849|tok=' #' ; t=0|entropy=0.6668|tok='```' ; t=37|entropy=0.5857|tok=')))\\n' ; t=23|entropy=0.5347|tok=' sub'</t>
  </si>
  <si>
    <t>t=8|margin=0.1562|tok='(n' ; t=21|margin=0.4347|tok=' across' ; t=10|margin=0.5938|tok='_list' ; t=37|margin=1.0938|tok=')))\\n' ; t=14|margin=1.2188|tok=' Use' ; t=27|margin=1.4062|tok=' return' ; t=0|margin=1.4375|tok='```' ; t=23|margin=1.6619|tok=' sub' ; t=15|margin=2.0909|tok=' set' ; t=28|margin=2.3849|tok=' list'</t>
  </si>
  <si>
    <t>HumanEval/104</t>
  </si>
  <si>
    <t>mbpp_113</t>
  </si>
  <si>
    <t xml:space="preserve">
def unique_digits(x):
    """Given a list of positive integers x. return a sorted list of all 
    elements that hasn't any even digit.
    Note: Returned list should be sorted in increasing order.
    For example:
    &gt;&gt;&gt; unique_digits([15, 33, 1422, 1])
    [1, 15, 33]
    &gt;&gt;&gt; unique_digits([152, 323, 1422, 10])
    []
    """
</t>
  </si>
  <si>
    <t>```python
def unique_digits(x):
    def has_no_even_digit(n):
        while n &gt; 0:
            if (n % 10) % 2 == 0:
                return False
            n //= 10
        return True
    result = [num for num in x if has_no_even_digit(num)]
    return sorted(result)
```</t>
  </si>
  <si>
    <t>def unique_digits(x):
    def has_no_even_digit(n):
        while n &gt; 0:
            if (n % 10) % 2 == 0:
                return False
            n //= 10
        return True
    result = [num for num in x if has_no_even_digit(num)]
    return sorted(result)</t>
  </si>
  <si>
    <t>Write a function to check if a string represents an integer or not.</t>
  </si>
  <si>
    <t xml:space="preserve">&lt;|im_start|&gt;system
You are an expert Python competitive programmer.&lt;|im_end|&gt;
&lt;|im_start|&gt;user
Solve the following Python programming task. Return only valid Python code. Do not use Markdown. Do not explain.Task:Write a function to check if a string represents an integer or not.Required tests include:assert check_integer("python")==Falseassert check_integer("1")==Trueassert check_integer("12345")==True&lt;|im_end|&gt;
&lt;|im_start|&gt;assistant
</t>
  </si>
  <si>
    <t>```python
def check_integer(s):
    # Check if the string is empty
    if len(s) == 0:
        return False
    # Check if all characters in the string are digits
    for char in s:
        if not char.isdigit():
            return False
    return True
# Test cases
assert check_integer("python") == False
assert check_integer("1") == True
assert check_integer("12345") == True
```</t>
  </si>
  <si>
    <t>HumanEval/105</t>
  </si>
  <si>
    <t>def check_integer(s):
    # Check if the string is empty
    if len(s) == 0:
        return False
    # Check if all characters in the string are digits
    for char in s:
        if not char.isdigit():
            return False
    return True
# Test cases
assert check_integer("python") == False
assert check_integer("1") == True
assert check_integer("12345") == True</t>
  </si>
  <si>
    <t xml:space="preserve">
def by_length(arr):
    """
    Given an array of integers, sort the integers that are between 1 and 9 inclusive,
    reverse the resulting array, and then replace each digit by its corresponding name from
    "One", "Two", "Three", "Four", "Five", "Six", "Seven", "Eight", "Nine".
    For example:
      arr = [2, 1, 1, 4, 5, 8, 2, 3]   
            -&gt; sort arr -&gt; [1, 1, 2, 2, 3, 4, 5, 8] 
            -&gt; reverse arr -&gt; [8, 5, 4, 3, 2, 2, 1, 1]
      return ["Eight", "Five", "Four", "Three", "Two", "Two", "One", "One"]
      If the array is empty, return an empty array:
      arr = []
      return []
      If the array has any strange number ignore it:
      arr = [1, -1 , 55] 
            -&gt; sort arr -&gt; [-1, 1, 55]
            -&gt; reverse arr -&gt; [55, 1, -1]
      return = ['One']
    """
</t>
  </si>
  <si>
    <t>```python
def by_length(arr):
    num_to_name = {
        1: "One",
        2: "Two",
        3: "Three",
        4: "Four",
        5: "Five",
        6: "Six",
        7: "Seven",
        8: "Eight",
        9: "Nine"
    }
    filtered_sorted = sorted([num for num in arr if 1 &lt;= num &lt;= 9])
    reversed_filtered_sorted = filtered_sorted[::-1]
    result = [num_to_name[num] for num in reversed_filtered_sorted]
    return result
```</t>
  </si>
  <si>
    <t>def by_length(arr):
    num_to_name = {
        1: "One",
        2: "Two",
        3: "Three",
        4: "Four",
        5: "Five",
        6: "Six",
        7: "Seven",
        8: "Eight",
        9: "Nine"
    }
    filtered_sorted = sorted([num for num in arr if 1 &lt;= num &lt;= 9])
    reversed_filtered_sorted = filtered_sorted[::-1]
    result = [num_to_name[num] for num in reversed_filtered_sorted]
    return result</t>
  </si>
  <si>
    <t>HumanEval/106</t>
  </si>
  <si>
    <t xml:space="preserve">
def f(n):
    """ 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
</t>
  </si>
  <si>
    <t>```python
from math import factorial
def f(n):
    result = []
    for i in range(1, n + 1):
        if i % 2 == 0:
            result.append(factorial(i))
        else:
            result.append(sum(range(1, i + 1)))
    return result
```</t>
  </si>
  <si>
    <t>from math import factorial
def f(n):
    result = []
    for i in range(1, n + 1):
        if i % 2 == 0:
            result.append(factorial(i))
        else:
            result.append(sum(range(1, i + 1)))
    return result</t>
  </si>
  <si>
    <t>t=6|entropy=1.8243|tok='(s' ; t=9|entropy=1.4241|tok=' #' ; t=10|entropy=1.0749|tok=' Check' ; t=15|entropy=1.0063|tok=' empty' ; t=19|entropy=0.8482|tok=' len' ; t=0|entropy=0.8197|tok='```' ; t=29|entropy=0.7563|tok='\\n' ; t=41|entropy=0.6970|tok='\\n' ; t=14|entropy=0.6945|tok=' is' ; t=33|entropy=0.6933|tok=' if'</t>
  </si>
  <si>
    <t>t=9|margin=0.4375|tok=' #' ; t=0|margin=0.5938|tok='```' ; t=6|margin=0.6250|tok='(s' ; t=29|margin=0.7273|tok='\\n' ; t=19|margin=0.8906|tok=' len' ; t=61|margin=0.9560|tok='\\n\\n' ; t=41|margin=1.2926|tok='\\n' ; t=33|margin=1.3168|tok=' if' ; t=14|margin=1.4688|tok=' is' ; t=44|margin=1.8906|tok=' char'</t>
  </si>
  <si>
    <t>HumanEval/107</t>
  </si>
  <si>
    <t xml:space="preserve">
def even_odd_palindrome(n):
    """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
</t>
  </si>
  <si>
    <t>```python
def even_odd_palindrome(n):
    def is_palindrome(num):
        return str(num) == str(num)[::-1]
    even_count = 0
    odd_count = 0
    for i in range(1, n + 1):
        if is_palindrome(i):
            if i % 2 == 0:
                even_count += 1
            else:
                odd_count += 1
    return (even_count, odd_count)
```</t>
  </si>
  <si>
    <t>def even_odd_palindrome(n):
    def is_palindrome(num):
        return str(num) == str(num)[::-1]
    even_count = 0
    odd_count = 0
    for i in range(1, n + 1):
        if is_palindrome(i):
            if i % 2 == 0:
                even_count += 1
            else:
                odd_count += 1
    return (even_count, odd_count)</t>
  </si>
  <si>
    <t>mbpp_115</t>
  </si>
  <si>
    <t>Write a function to check whether all dictionaries in a list are empty or not.</t>
  </si>
  <si>
    <t xml:space="preserve">&lt;|im_start|&gt;system
You are an expert Python competitive programmer.&lt;|im_end|&gt;
&lt;|im_start|&gt;user
Solve the following Python programming task. Return only valid Python code. Do not use Markdown. Do not explain.Task:Write a function to check whether all dictionaries in a list are empty or not.Required tests include:assert empty_dit([{},{},{}])==Trueassert empty_dit([{1,2},{},{}])==Falseassert empty_dit({})==True&lt;|im_end|&gt;
&lt;|im_start|&gt;assistant
</t>
  </si>
  <si>
    <t>HumanEval/108</t>
  </si>
  <si>
    <t>```python
def empty_dit(test_list):
    # Check if all dictionaries in the list are empty
    res = all(not d for d in test_list)
    return res
# Test cases
assert empty_dit([{},{},{}]) == True
assert empty_dit([{1,2},{},{}]) == False
assert empty_dit([{}, {}, {}]) == True
```</t>
  </si>
  <si>
    <t>def empty_dit(test_list):
    # Check if all dictionaries in the list are empty
    res = all(not d for d in test_list)
    return res
# Test cases
assert empty_dit([{},{},{}]) == True
assert empty_dit([{1,2},{},{}]) == False
assert empty_dit([{}, {}, {}]) == True</t>
  </si>
  <si>
    <t>{'type': 'RuntimeError', 'message': 'AssertionError', 'stderr_tail': 'Traceback (most recent call last):\n  File "/tmp/tmplq9sl4jk/candidate_eval.py", line 33, in &lt;module&gt;\n    check(count_nums)\n  File "/tmp/tmplq9sl4jk/candidate_eval.py", line 20, in check\n    assert candidate([-1, -2, 0]) == 0\n           ^^^^^^^^^^^^^^^^^^^^^^^^^^^\nAssertionError\n', 'stdout_tail': ''}</t>
  </si>
  <si>
    <t xml:space="preserve">
def count_nums(arr):
    """
    Write a function count_nums which takes an array of integers and returns
    the number of elements which has a sum of digits &gt; 0.
    If a number is negative, then its first signed digit will be negative:
    e.g. -123 has signed digits -1, 2, and 3.
    &gt;&gt;&gt; count_nums([]) == 0
    &gt;&gt;&gt; count_nums([-1, 11, -11]) == 1
    &gt;&gt;&gt; count_nums([1, 1, 2]) == 3
    """
</t>
  </si>
  <si>
    <t>```python
def count_nums(arr):
    return sum(1 for num in arr if sum(int(digit) for digit in str(abs(num))) &gt; 0)
```</t>
  </si>
  <si>
    <t>def count_nums(arr):
    return sum(1 for num in arr if sum(int(digit) for digit in str(abs(num))) &gt; 0)</t>
  </si>
  <si>
    <t>HumanEval/109</t>
  </si>
  <si>
    <t xml:space="preserve">
def move_one_ball(arr):
    """We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
</t>
  </si>
  <si>
    <t>```python
def move_one_ball(arr):
    if not arr:
        return True
    n = len(arr)
    count = 0
    for i in range(1, n):
        if arr[i] &lt; arr[i - 1]:
            count += 1
            start = i
    if arr[0] &lt; arr[-1]:
        count += 1
    return count &lt;= 1
```</t>
  </si>
  <si>
    <t>def move_one_ball(arr):
    if not arr:
        return True
    n = len(arr)
    count = 0
    for i in range(1, n):
        if arr[i] &lt; arr[i - 1]:
            count += 1
            start = i
    if arr[0] &lt; arr[-1]:
        count += 1
    return count &lt;= 1</t>
  </si>
  <si>
    <t>t=27|entropy=1.7796|tok=' d' ; t=7|entropy=1.7109|tok='(test' ; t=75|entropy=1.2172|tok=' {},' ; t=11|entropy=1.1203|tok=' #' ; t=76|entropy=1.1015|tok=' {}' ; t=73|entropy=1.0926|tok='([' ; t=0|entropy=0.7265|tok='```' ; t=61|entropy=0.6937|tok='2' ; t=26|entropy=0.6675|tok='(not' ; t=37|entropy=0.6245|tok='\\n\\n'</t>
  </si>
  <si>
    <t>t=61|margin=0.0653|tok='2' ; t=11|margin=0.1875|tok=' #' ; t=73|margin=0.2756|tok='([' ; t=76|margin=0.2812|tok=' {}' ; t=7|margin=0.7812|tok='(test' ; t=37|margin=1.0284|tok='\\n\\n' ; t=27|margin=1.0781|tok=' d' ; t=0|margin=1.1406|tok='```' ; t=75|margin=1.6562|tok=' {},' ; t=21|margin=1.8082|tok='\\n'</t>
  </si>
  <si>
    <t>HumanEval/110</t>
  </si>
  <si>
    <t>mbpp_116</t>
  </si>
  <si>
    <t xml:space="preserve">
def exchange(lst1, lst2):
    """In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
</t>
  </si>
  <si>
    <t>```python
def exchange(lst1, lst2):
    odd_count = sum(1 for x in lst1 if x % 2 != 0)
    even_count_in_lst2 = sum(1 for x in lst2 if x % 2 == 0)
    return "YES" if even_count_in_lst2 &gt;= odd_count else "NO"
```</t>
  </si>
  <si>
    <t>def exchange(lst1, lst2):
    odd_count = sum(1 for x in lst1 if x % 2 != 0)
    even_count_in_lst2 = sum(1 for x in lst2 if x % 2 == 0)
    return "YES" if even_count_in_lst2 &gt;= odd_count else "NO"</t>
  </si>
  <si>
    <t>Write a function to convert a given tuple of positive integers into a single integer.</t>
  </si>
  <si>
    <t xml:space="preserve">&lt;|im_start|&gt;system
You are an expert Python competitive programmer.&lt;|im_end|&gt;
&lt;|im_start|&gt;user
Solve the following Python programming task. Return only valid Python code. Do not use Markdown. Do not explain.Task:Write a function to convert a given tuple of positive integers into a single integer.Required tests include:assert tuple_to_int((1,2,3))==123assert tuple_to_int((4,5,6))==456assert tuple_to_int((5,6,7))==567&lt;|im_end|&gt;
&lt;|im_start|&gt;assistant
</t>
  </si>
  <si>
    <t>```python
def tuple_to_int(test_tup):
    # Convert each element in the tuple to a string and concatenate them
    res = int("".join(map(str, test_tup)))
    return res
# Test cases
assert tuple_to_int((1, 2, 3)) == 123
assert tuple_to_int((4, 5, 6)) == 456
assert tuple_to_int((5, 6, 7)) == 567
```</t>
  </si>
  <si>
    <t>def tuple_to_int(test_tup):
    # Convert each element in the tuple to a string and concatenate them
    res = int("".join(map(str, test_tup)))
    return res
# Test cases
assert tuple_to_int((1, 2, 3)) == 123
assert tuple_to_int((4, 5, 6)) == 456
assert tuple_to_int((5, 6, 7)) == 567</t>
  </si>
  <si>
    <t>HumanEval/111</t>
  </si>
  <si>
    <t xml:space="preserve">
def histogram(test):
    """Given a string representing a space separated lowercase letters, return a dictionary
    of the letter with the most repetition and containing the corresponding count.
    If several letters have the same occurrence, return all of them.
    Example:
    histogram('a b c') == {'a': 1, 'b': 1, 'c': 1}
    histogram('a b b a') == {'a': 2, 'b': 2}
    histogram('a b c a b') == {'a': 2, 'b': 2}
    histogram('b b b b a') == {'b': 4}
    histogram('') == {}
    """
</t>
  </si>
  <si>
    <t>```python
from collections import Counter
def histogram(test):
    if not test:
        return {}
    counts = Counter(test.split())
    max_count = max(counts.values(), default=0)
    return {letter: count for letter, count in counts.items() if count == max_count}
```</t>
  </si>
  <si>
    <t>from collections import Counter
def histogram(test):
    if not test:
        return {}
    counts = Counter(test.split())
    max_count = max(counts.values(), default=0)
    return {letter: count for letter, count in counts.items() if count == max_count}</t>
  </si>
  <si>
    <t>HumanEval/112</t>
  </si>
  <si>
    <t xml:space="preserve">
def reverse_delete(s,c):
    """Task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
</t>
  </si>
  <si>
    <t>```python
def reverse_delete(s, c):
    result = ''.join([char for char in s if char not in c])
    return (result, result == result[::-1])
```</t>
  </si>
  <si>
    <t>def reverse_delete(s, c):
    result = ''.join([char for char in s if char not in c])
    return (result, result == result[::-1])</t>
  </si>
  <si>
    <t>t=7|entropy=0.9969|tok='(test' ; t=13|entropy=0.9780|tok=' Convert' ; t=0|entropy=0.8509|tok='```' ; t=12|entropy=0.8161|tok=' #' ; t=23|entropy=0.8159|tok=' concatenate' ; t=30|entropy=0.6572|tok='("' ; t=43|entropy=0.5953|tok='\\n\\n' ; t=33|entropy=0.5426|tok='(map' ; t=20|entropy=0.4506|tok=' a' ; t=22|entropy=0.4466|tok=' and'</t>
  </si>
  <si>
    <t>t=0|margin=0.1250|tok='```' ; t=12|margin=0.1562|tok=' #' ; t=23|margin=0.2188|tok=' concatenate' ; t=7|margin=0.2812|tok='(test' ; t=30|margin=0.5625|tok='("' ; t=13|margin=0.8594|tok=' Convert' ; t=43|margin=1.1349|tok='\\n\\n' ; t=20|margin=1.7386|tok=' a' ; t=15|margin=2.1321|tok=' element' ; t=33|margin=2.1719|tok='(map'</t>
  </si>
  <si>
    <t>mbpp_117</t>
  </si>
  <si>
    <t>HumanEval/113</t>
  </si>
  <si>
    <t xml:space="preserve">
def odd_count(lst):
    """Given a list of strings, where each string consists of only digits, return a list.
    Each element i of the output should be "the number of odd elements in the
    string i of the input." where all the i's should be replaced by the number
    of odd digits in the i'th string of the input.
    &gt;&gt;&gt; odd_count(['1234567'])
    ["the number of odd elements 4n the str4ng 4 of the 4nput."]
    &gt;&gt;&gt; odd_count(['3',"11111111"])
    ["the number of odd elements 1n the str1ng 1 of the 1nput.",
     "the number of odd elements 8n the str8ng 8 of the 8nput."]
    """
</t>
  </si>
  <si>
    <t xml:space="preserve">Traceback (most recent call last):
  File "/tmp/tmp98clr2f2/candidate_eval.py", line 4, in &lt;module&gt;
    assert list_to_float( [("3", "4"), ("1", "26.45"), ("7.32", "8"), ("4", "8")] ) == [(3.0, 4.0), (1.0, 26.45), (7.32, 8.0), (4.0, 8.0)]
           ^^^^^^^^^^^^^^^^^^^^^^^^^^^^^^^^^^^^^^^^^^^^^^^^^^^^^^^^^^^^^^^^^^^^^^^^^^^^^^^^^^^^^^^^^^^^^^^^^^^^^^^^^^^^^^^^^^^^^^^^^^^^^^^
AssertionError
</t>
  </si>
  <si>
    <t>```python
def odd_count(lst):
    return [f"the number of odd elements {sum(1 for char in s if int(char) % 2 != 0)}n the str{sum(1 for char in s if int(char) % 2 != 0)}ng {sum(1 for char in s if int(char) % 2 != 0)} of the {sum(1 for char in s if int(char) % 2 != 0)}nput." for s in lst]
```</t>
  </si>
  <si>
    <t>Write a function to convert all possible convertible elements in a list of lists to floats.</t>
  </si>
  <si>
    <t>def odd_count(lst):
    return [f"the number of odd elements {sum(1 for char in s if int(char) % 2 != 0)}n the str{sum(1 for char in s if int(char) % 2 != 0)}ng {sum(1 for char in s if int(char) % 2 != 0)} of the {sum(1 for char in s if int(char) % 2 != 0)}nput." for s in lst]</t>
  </si>
  <si>
    <t xml:space="preserve">&lt;|im_start|&gt;system
You are an expert Python competitive programmer.&lt;|im_end|&gt;
&lt;|im_start|&gt;user
Solve the following Python programming task. Return only valid Python code. Do not use Markdown. Do not explain.Task:Write a function to convert all possible convertible elements in a list of lists to floats.Required tests include:assert list_to_float( [("3", "4"), ("1", "26.45"), ("7.32", "8"), ("4", "8")] ) == [(3.0, 4.0), (1.0, 26.45), (7.32, 8.0), (4.0, 8.0)]assert list_to_float( [("4", "4"), ("2", "27"), ("4.12", "9"), ("7", "11")] ) == [(4.0, 4.0), (2.0, 27.0), (4.12, 9.0), (7.0, 11.0)]assert list_to_float( [("6", "78"), ("5", "26.45"), ("1.33", "4"), ("82", "13")] ) == [(6.0, 78.0), (5.0, 26.45), (1.33, 4.0), (82.0, 13.0)]&lt;|im_end|&gt;
&lt;|im_start|&gt;assistant
</t>
  </si>
  <si>
    <t>```python
def list_to_float(lst):
    return [[float(x) if x.replace('.', '', 1).isdigit() else x for x in sublist] for sublist in lst]
```</t>
  </si>
  <si>
    <t>def list_to_float(lst):
    return [[float(x) if x.replace('.', '', 1).isdigit() else x for x in sublist] for sublist in lst]</t>
  </si>
  <si>
    <t>HumanEval/114</t>
  </si>
  <si>
    <t xml:space="preserve">
def minSubArraySum(nums):
    """
    Given an array of integers nums, find the minimum sum of any non-empty sub-array
    of nums.
    Example
    minSubArraySum([2, 3, 4, 1, 2, 4]) == 1
    minSubArraySum([-1, -2, -3]) == -6
    """
</t>
  </si>
  <si>
    <t>```python
def minSubArraySum(nums):
    min_sum = float('inf')
    current_sum = 0
    for num in nums:
        current_sum = min(num, current_sum + num)
        min_sum = min(min_sum, current_sum)
    return min_sum
```</t>
  </si>
  <si>
    <t>def minSubArraySum(nums):
    min_sum = float('inf')
    current_sum = 0
    for num in nums:
        current_sum = min(num, current_sum + num)
        min_sum = min(min_sum, current_sum)
    return min_sum</t>
  </si>
  <si>
    <t>HumanEval/115</t>
  </si>
  <si>
    <t xml:space="preserve">
def max_fill(grid, capacity):
    import math
    """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
</t>
  </si>
  <si>
    <t>t=13|entropy=1.7657|tok='(x' ; t=7|entropy=1.4667|tok='(lst' ; t=10|entropy=1.1805|tok=' return' ; t=30|entropy=1.0812|tok=' sublist' ; t=0|entropy=0.7230|tok='```' ; t=16|entropy=0.5965|tok=' x' ; t=15|entropy=0.4407|tok=' if' ; t=36|entropy=0.4285|tok=']\\n' ; t=11|entropy=0.3709|tok=' [[' ; t=14|entropy=0.3142|tok=')'</t>
  </si>
  <si>
    <t>```python
def max_fill(grid, capacity):
    return sum(math.ceil(sum(row) / capacity) for row in grid)
```</t>
  </si>
  <si>
    <t>def max_fill(grid, capacity):
    return sum(math.ceil(sum(row) / capacity) for row in grid)</t>
  </si>
  <si>
    <t>t=7|margin=0.0938|tok='(lst' ; t=13|margin=0.2031|tok='(x' ; t=30|margin=0.7656|tok=' sublist' ; t=0|margin=0.8906|tok='```' ; t=10|margin=1.0938|tok=' return' ; t=16|margin=1.6250|tok=' x' ; t=15|margin=1.6562|tok=' if' ; t=36|margin=1.7188|tok=']\\n' ; t=26|margin=2.7656|tok=' x' ; t=11|margin=2.9219|tok=' [['</t>
  </si>
  <si>
    <t>{'type': 'RuntimeError', 'message': 'AssertionError', 'stderr_tail': 'Traceback (most recent call last):\n  File "/tmp/tmp98clr2f2/candidate_eval.py", line 4, in &lt;module&gt;\n    assert list_to_float( [("3", "4"), ("1", "26.45"), ("7.32", "8"), ("4", "8")] ) == [(3.0, 4.0), (1.0, 26.45), (7.32, 8.0), (4.0, 8.0)]\n           ^^^^^^^^^^^^^^^^^^^^^^^^^^^^^^^^^^^^^^^^^^^^^^^^^^^^^^^^^^^^^^^^^^^^^^^^^^^^^^^^^^^^^^^^^^^^^^^^^^^^^^^^^^^^^^^^^^^^^^^^^^^^^^^\nAssertionError\n', 'stdout_tail': ''}</t>
  </si>
  <si>
    <t>mbpp_118</t>
  </si>
  <si>
    <t>HumanEval/116</t>
  </si>
  <si>
    <t xml:space="preserve">
def sort_array(arr):
    """
    In this Kata, you have to sort an array of non-negative integers according to
    number of ones in their binary representation in ascending order.
    For similar number of ones, sort based on decimal value.
    It must be implemented like this:
    &gt;&gt;&gt; sort_array([1, 5, 2, 3, 4]) == [1, 2, 3, 4, 5]
    &gt;&gt;&gt; sort_array([-2, -3, -4, -5, -6]) == [-6, -5, -4, -3, -2]
    &gt;&gt;&gt; sort_array([1, 0, 2, 3, 4]) [0, 1, 2, 3, 4]
    """
</t>
  </si>
  <si>
    <t>```python
def sort_array(arr):
    return sorted(arr, key=lambda x: (bin(x).count('1'), x))
```</t>
  </si>
  <si>
    <t>Write a function to convert a string to a list of strings split on the space character.</t>
  </si>
  <si>
    <t>def sort_array(arr):
    return sorted(arr, key=lambda x: (bin(x).count('1'), x))</t>
  </si>
  <si>
    <t xml:space="preserve">&lt;|im_start|&gt;system
You are an expert Python competitive programmer.&lt;|im_end|&gt;
&lt;|im_start|&gt;user
Solve the following Python programming task. Return only valid Python code. Do not use Markdown. Do not explain.Task:Write a function to convert a string to a list of strings split on the space character.Required tests include:assert string_to_list("python programming")==['python','programming']assert string_to_list("lists tuples strings")==['lists','tuples','strings']assert string_to_list("write a program")==['write','a','program']&lt;|im_end|&gt;
&lt;|im_start|&gt;assistant
</t>
  </si>
  <si>
    <t>def string_to_list(s): return s.split(' ')</t>
  </si>
  <si>
    <t>HumanEval/117</t>
  </si>
  <si>
    <t xml:space="preserve">
def select_words(s, n):
    """Given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
</t>
  </si>
  <si>
    <t>```python
def select_words(s, n):
    if not s:
        return []
    words = s.split()
    result = []
    for word in words:
        consonants = sum(1 for char in word.lower() if char.isalpha() and char not in 'aeiou')
        if consonants == n:
            result.append(word)
    return result
```</t>
  </si>
  <si>
    <t>def select_words(s, n):
    if not s:
        return []
    words = s.split()
    result = []
    for word in words:
        consonants = sum(1 for char in word.lower() if char.isalpha() and char not in 'aeiou')
        if consonants == n:
            result.append(word)
    return result</t>
  </si>
  <si>
    <t>HumanEval/118</t>
  </si>
  <si>
    <t>t=4|entropy=0.8909|tok='(s' ; t=9|entropy=0.8711|tok="('" ; t=0|entropy=0.8263|tok='def' ; t=5|entropy=0.7212|tok='):' ; t=6|entropy=0.6947|tok=' return' ; t=10|entropy=0.0874|tok=" ')" ; t=11|entropy=0.0619|tok='' ; t=1|entropy=0.0027|tok=' string' ; t=2|entropy=0.0017|tok='_to' ; t=7|entropy=0.0013|tok=' s'</t>
  </si>
  <si>
    <t>t=0|margin=0.0156|tok='def' ; t=9|margin=0.7344|tok="('" ; t=5|margin=0.8438|tok='):' ; t=4|margin=1.7500|tok='(s' ; t=6|margin=1.9844|tok=' return' ; t=10|margin=4.7656|tok=" ')" ; t=11|margin=5.3643|tok='' ; t=2|margin=9.3892|tok='_to' ; t=7|margin=9.6420|tok=' s' ; t=1|margin=10.1740|tok=' string'</t>
  </si>
  <si>
    <t xml:space="preserve">
def get_closest_vowel(word):
    """You are given a word. Your task is to find the closest vowel that stands between 
    two consonants from the right side of the word (case sensitive).
    Vowels in the beginning and ending doesn't count. Return empty string if you didn't
    find any vowel met the above condition. 
    You may assume that the given string contains English letter only.
    Example:
    get_closest_vowel("yogurt") ==&gt; "u"
    get_closest_vowel("FULL") ==&gt; "U"
    get_closest_vowel("quick") ==&gt; ""
    get_closest_vowel("ab") ==&gt; ""
    """
</t>
  </si>
  <si>
    <t>```python
def get_closest_vowel(word):
    vowels = "aeiouAEIOU"
    for i in range(len(word) - 2, 0, -1):
        if word[i] in vowels and word[i-1] not in vowels and word[i+1] not in vowels:
            return word[i]
    return ""
```</t>
  </si>
  <si>
    <t>def get_closest_vowel(word):
    vowels = "aeiouAEIOU"
    for i in range(len(word) - 2, 0, -1):
        if word[i] in vowels and word[i-1] not in vowels and word[i+1] not in vowels:
            return word[i]
    return ""</t>
  </si>
  <si>
    <t>mbpp_119</t>
  </si>
  <si>
    <t>HumanEval/119</t>
  </si>
  <si>
    <t>Write a python function to find the element that appears only once in a sorted array.</t>
  </si>
  <si>
    <t xml:space="preserve">
def match_parens(lst):
    '''
    You are given a list of two strings, both strings consist of open
    parentheses '(' or close parentheses ')' only.
    Your job is to check if it is possible to concatenate the two strings in
    some order, that the resulting string will be good.
    A string S is considered to be good if and only if all parentheses in S
    are balanced. For example: the string '(())()' is good, while the string
    '())' is not.
    Return 'Yes' if there's a way to make a good string, and return 'No' otherwise.
    Examples:
    match_parens(['()(', ')']) == 'Yes'
    match_parens([')', ')']) == 'No'
    '''
</t>
  </si>
  <si>
    <t xml:space="preserve">&lt;|im_start|&gt;system
You are an expert Python competitive programmer.&lt;|im_end|&gt;
&lt;|im_start|&gt;user
Solve the following Python programming task. Return only valid Python code. Do not use Markdown. Do not explain.Task:Write a python function to find the element that appears only once in a sorted array.Required tests include:assert search([1,1,2,2,3]) == 3assert search([1,1,3,3,4,4,5,5,7,7,8]) == 8assert search([1,2,2,3,3,4,4]) == 1&lt;|im_end|&gt;
&lt;|im_start|&gt;assistant
</t>
  </si>
  <si>
    <t>```python
def match_parens(lst):
    def is_balanced(s):
        balance = 0
        for char in s:
            if char == '(':
                balance += 1
            else:
                balance -= 1
            if balance &lt; 0:
                return False
        return balance == 0
    combined1 = lst[0] + lst[1]
    combined2 = lst[1] + lst[0]
    return 'Yes' if is_balanced(combined1) or is_balanced(combined2) else 'No'
```</t>
  </si>
  <si>
    <t>def match_parens(lst):
    def is_balanced(s):
        balance = 0
        for char in s:
            if char == '(':
                balance += 1
            else:
                balance -= 1
            if balance &lt; 0:
                return False
        return balance == 0
    combined1 = lst[0] + lst[1]
    combined2 = lst[1] + lst[0]
    return 'Yes' if is_balanced(combined1) or is_balanced(combined2) else 'No'</t>
  </si>
  <si>
    <t>```python
def search(nums):
    left, right = 0, len(nums) - 1
    while left &lt; right:
        mid = (left + right) // 2
        # Check if the mid is at the unique element
        if (mid % 2 == 0 and nums[mid] == nums[mid + 1]) or (mid % 2 == 1 and nums[mid] == nums[mid - 1]):
            left = mid + 1
        else:
            right = mid
    return nums[left]
```</t>
  </si>
  <si>
    <t>def search(nums):
    left, right = 0, len(nums) - 1
    while left &lt; right:
        mid = (left + right) // 2
        # Check if the mid is at the unique element
        if (mid % 2 == 0 and nums[mid] == nums[mid + 1]) or (mid % 2 == 1 and nums[mid] == nums[mid - 1]):
            left = mid + 1
        else:
            right = mid
    return nums[left]</t>
  </si>
  <si>
    <t>HumanEval/120</t>
  </si>
  <si>
    <t>{'type': 'RuntimeError', 'message': 'AssertionError', 'stderr_tail': 'Traceback (most recent call last):\n  File "/tmp/tmpk6ei8u82/candidate_eval.py", line 35, in &lt;module&gt;\n    check(maximum)\n  File "/tmp/tmpk6ei8u82/candidate_eval.py", line 31, in check\n    assert candidate([1, 2, 3, -23, 243, -400, 0], 0) == []\n           ^^^^^^^^^^^^^^^^^^^^^^^^^^^^^^^^^^^^^^^^^^^^^^^^\nAssertionError\n', 'stdout_tail': ''}</t>
  </si>
  <si>
    <t xml:space="preserve">
def maximum(arr, k):
    """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
</t>
  </si>
  <si>
    <t>```python
def maximum(arr, k):
    return sorted(arr)[-k:]
```</t>
  </si>
  <si>
    <t>def maximum(arr, k):
    return sorted(arr)[-k:]</t>
  </si>
  <si>
    <t>t=49|entropy=1.7179|tok=' unique' ; t=8|entropy=1.5513|tok=' left' ; t=45|entropy=1.0818|tok=' mid' ; t=5|entropy=0.9932|tok='(nums' ; t=54|entropy=0.9772|tok=' (' ; t=42|entropy=0.7821|tok=' Check' ; t=31|entropy=0.7092|tok=' (' ; t=0|entropy=0.6460|tok='```' ; t=41|entropy=0.6306|tok=' #' ; t=21|entropy=0.5110|tok='\\n    \\n'</t>
  </si>
  <si>
    <t>t=31|margin=0.0724|tok=' (' ; t=42|margin=0.1406|tok=' Check' ; t=49|margin=0.1406|tok=' unique' ; t=5|margin=0.4062|tok='(nums' ; t=8|margin=0.4062|tok=' left' ; t=41|margin=0.8125|tok=' #' ; t=54|margin=1.0781|tok=' (' ; t=66|margin=1.3849|tok=' ==' ; t=0|margin=1.5469|tok='```' ; t=108|margin=1.6690|tok='\\n            \\n'</t>
  </si>
  <si>
    <t>HumanEval/121</t>
  </si>
  <si>
    <t>{'type': 'RuntimeError', 'message': 'AssertionError', 'stderr_tail': 'Traceback (most recent call last):\n  File "/tmp/tmp3vabwpcv/candidate_eval.py", line 31, in &lt;module&gt;\n    check(solution)\n  File "/tmp/tmp3vabwpcv/candidate_eval.py", line 19, in check\n    assert candidate([5, 8, 7, 1])    == 12\n           ^^^^^^^^^^^^^^^^^^^^^^^^^^^^^^^^\nAssertionError\n', 'stdout_tail': ''}</t>
  </si>
  <si>
    <t xml:space="preserve">
def solution(lst):
    """Given a non-empty list of integers, return the sum of all of the odd elements that are in even positions.
    Examples
    solution([5, 8, 7, 1]) ==&gt; 12
    solution([3, 3, 3, 3, 3]) ==&gt; 9
    solution([30, 13, 24, 321]) ==&gt;0
    """
</t>
  </si>
  <si>
    <t>```python
def solution(lst):
    return sum(x for i, x in enumerate(lst) if i % 2 == 1 and x % 2 == 1)
```</t>
  </si>
  <si>
    <t>def solution(lst):
    return sum(x for i, x in enumerate(lst) if i % 2 == 1 and x % 2 == 1)</t>
  </si>
  <si>
    <t>mbpp_120</t>
  </si>
  <si>
    <t>Write a function to find the maximum absolute product between numbers in pairs of tuples within a given list.</t>
  </si>
  <si>
    <t xml:space="preserve">&lt;|im_start|&gt;system
You are an expert Python competitive programmer.&lt;|im_end|&gt;
&lt;|im_start|&gt;user
Solve the following Python programming task. Return only valid Python code. Do not use Markdown. Do not explain.Task:Write a function to find the maximum absolute product between numbers in pairs of tuples within a given list.Required tests include:assert max_product_tuple([(2, 7), (2, 6), (1, 8), (4, 9)] )==36assert max_product_tuple([(10,20), (15,2), (5,10)] )==200assert max_product_tuple([(11,44), (10,15), (20,5), (12, 9)] )==484&lt;|im_end|&gt;
&lt;|im_start|&gt;assistant
</t>
  </si>
  <si>
    <t>```python
def max_product_tuple(test_list):
    # Calculate the absolute product for each tuple and find the maximum
    res = max([abs(x * y) for x, y in test_list])
    return res
```</t>
  </si>
  <si>
    <t>def max_product_tuple(test_list):
    # Calculate the absolute product for each tuple and find the maximum
    res = max([abs(x * y) for x, y in test_list])
    return res</t>
  </si>
  <si>
    <t>A_overconfident_short_fail</t>
  </si>
  <si>
    <t>HumanEval/122</t>
  </si>
  <si>
    <t xml:space="preserve">
def add_elements(arr, k):
    """
    Given a non-empty array of integers arr and an integer k, return
    the sum of the elements with at most two digits from the first k elements of arr.
    Example:
        Input: arr = [111,21,3,4000,5,6,7,8,9], k = 4
        Output: 24 # sum of 21 + 3
    Constraints:
        1. 1 &lt;= len(arr) &lt;= 100
        2. 1 &lt;= k &lt;= len(arr)
    """
</t>
  </si>
  <si>
    <t>```python
def add_elements(arr, k):
    return sum(x for x in arr[:k] if -100 &lt; x &lt; 100)
```</t>
  </si>
  <si>
    <t>def add_elements(arr, k):
    return sum(x for x in arr[:k] if -100 &lt; x &lt; 100)</t>
  </si>
  <si>
    <t>HumanEval/123</t>
  </si>
  <si>
    <t>t=14|entropy=0.9324|tok=' absolute' ; t=7|entropy=0.9174|tok='(test' ; t=19|entropy=0.9079|tok=' and' ; t=20|entropy=0.8341|tok=' find' ; t=45|entropy=0.7269|tok='\\n' ; t=12|entropy=0.7197|tok=' Calculate' ; t=0|entropy=0.6802|tok='```' ; t=11|entropy=0.6470|tok=' #' ; t=9|entropy=0.6425|tok='):\\n' ; t=28|entropy=0.6395|tok='(['</t>
  </si>
  <si>
    <t>t=19|margin=0.0781|tok=' and' ; t=45|margin=0.1733|tok='\\n' ; t=20|margin=0.2798|tok=' find' ; t=18|margin=0.9062|tok=' tuple' ; t=14|margin=0.9659|tok=' absolute' ; t=16|margin=0.9787|tok=' for' ; t=0|margin=1.0000|tok='```' ; t=7|margin=1.0312|tok='(test' ; t=9|margin=1.1250|tok='):\\n' ; t=11|margin=1.3281|tok=' #'</t>
  </si>
  <si>
    <t xml:space="preserve">
def get_odd_collatz(n):
    """
    Given a positive integer n, return a sorted list that has the odd numbers in collatz sequence.
    The Collatz conjecture is a conjecture in mathematics that concerns a sequence defined
    as follows: start with any positive integer n. Then each term is obtained from the 
    previous term as follows: if the previous term is even, the next term is one half of 
    the previous term. If the previous term is odd, the next term is 3 times the previous
    term plus 1. The conjecture is that no matter what value of n, the sequence will always reach 1.
    Note: 
        1. Collatz(1) is [1].
        2. returned list sorted in increasing order.
    For example:
    get_odd_collatz(5) returns [1, 5] # The collatz sequence for 5 is [5, 16, 8, 4, 2, 1], so the odd numbers are only 1, and 5.
    """
</t>
  </si>
  <si>
    <t>```python
def get_odd_collatz(n):
    def collatz_sequence(num):
        while num != 1:
            yield num
            if num % 2 == 0:
                num //= 2
            else:
                num = 3 * num + 1
        yield 1
    return sorted([num for num in collatz_sequence(n) if num % 2 != 0])
```</t>
  </si>
  <si>
    <t>def get_odd_collatz(n):
    def collatz_sequence(num):
        while num != 1:
            yield num
            if num % 2 == 0:
                num //= 2
            else:
                num = 3 * num + 1
        yield 1
    return sorted([num for num in collatz_sequence(n) if num % 2 != 0])</t>
  </si>
  <si>
    <t>mbpp_123</t>
  </si>
  <si>
    <t xml:space="preserve">Traceback (most recent call last):
  File "/tmp/tmp700nirjb/candidate_eval.py", line 13, in &lt;module&gt;
    assert amicable_numbers_sum(999) == 504
           ^^^^^^^^^^^^^^^^^^^^^^^^^^^^^^^^
AssertionError
</t>
  </si>
  <si>
    <t>Write a function to sum all amicable numbers from 1 to a specified number.</t>
  </si>
  <si>
    <t xml:space="preserve">&lt;|im_start|&gt;system
You are an expert Python competitive programmer.&lt;|im_end|&gt;
&lt;|im_start|&gt;user
Solve the following Python programming task. Return only valid Python code. Do not use Markdown. Do not explain.Task:Write a function to sum all amicable numbers from 1 to a specified number.Required tests include:assert amicable_numbers_sum(999)==504assert amicable_numbers_sum(9999)==31626assert amicable_numbers_sum(99)==0&lt;|im_end|&gt;
&lt;|im_start|&gt;assistant
</t>
  </si>
  <si>
    <t>```python
def amicable_numbers_sum(n):
    def sum_of_divisors(x):
        return sum([i for i in range(1, x) if x % i == 0])
    total_sum = 0
    for num in range(2, n + 1):
        partner = sum_of_divisors(num)
        if partner &gt; num and sum_of_divisors(partner) == num:
            total_sum += num
    return total_sum
# Test cases
assert amicable_numbers_sum(999) == 504
assert amicable_numbers_sum(9999) == 31626
assert amicable_numbers_sum(99) == 0
```</t>
  </si>
  <si>
    <t>def amicable_numbers_sum(n):
    def sum_of_divisors(x):
        return sum([i for i in range(1, x) if x % i == 0])
    total_sum = 0
    for num in range(2, n + 1):
        partner = sum_of_divisors(num)
        if partner &gt; num and sum_of_divisors(partner) == num:
            total_sum += num
    return total_sum
# Test cases
assert amicable_numbers_sum(999) == 504
assert amicable_numbers_sum(9999) == 31626
assert amicable_numbers_sum(99) == 0</t>
  </si>
  <si>
    <t>HumanEval/124</t>
  </si>
  <si>
    <t xml:space="preserve">
def valid_date(date):
    """You have to write a function which validates a given date string and
    returns True if the date is valid otherwise False.
    The date is valid if all of the following rules are satisfied:
    1. The date string is not empty.
    2. The number of days is not less than 1 or higher than 31 days for months 1,3,5,7,8,10,12. And the number of days is not less than 1 or higher than 30 days for months 4,6,9,11. And, the number of days is not less than 1 or higher than 29 for the month 2.
    3. The months should not be less than 1 or higher than 12.
    4. The date should be in the format: mm-dd-yyyy
    for example: 
    valid_date('03-11-2000') =&gt; True
    valid_date('15-01-2012') =&gt; False
    valid_date('04-0-2040') =&gt; False
    valid_date('06-04-2020') =&gt; True
    valid_date('06/04/2020') =&gt; False
    """
</t>
  </si>
  <si>
    <t>```python
from datetime import datetime
def valid_date(date):
    try:
        if len(date) != 10 or date[2] != '-' or date[5] != '-':
            return False
        month, day, year = map(int, date.split('-'))
        if month &lt; 1 or month &gt; 12 or day &lt; 1 or year &lt; 1:
            return False
        if month in [4, 6, 9, 11] and day &gt; 30:
            return False
        if month == 2 and day &gt; 29:
            return False
        datetime(year, month, day)
        return True
    except ValueError:
        return False
```</t>
  </si>
  <si>
    <t>from datetime import datetime
def valid_date(date):
    try:
        if len(date) != 10 or date[2] != '-' or date[5] != '-':
            return False
        month, day, year = map(int, date.split('-'))
        if month &lt; 1 or month &gt; 12 or day &lt; 1 or year &lt; 1:
            return False
        if month in [4, 6, 9, 11] and day &gt; 30:
            return False
        if month == 2 and day &gt; 29:
            return False
        datetime(year, month, day)
        return True
    except ValueError:
        return False</t>
  </si>
  <si>
    <t>t=62|entropy=1.6851|tok=' partner' ; t=8|entropy=1.5201|tok='(n' ; t=12|entropy=1.3714|tok=' sum' ; t=91|entropy=1.2515|tok='\\n' ; t=42|entropy=1.1871|tok=' total' ; t=50|entropy=0.8404|tok=' num' ; t=21|entropy=0.8275|tok='([' ; t=16|entropy=0.7663|tok='(x' ; t=72|entropy=0.7582|tok=' partner' ; t=11|entropy=0.7337|tok=' def'</t>
  </si>
  <si>
    <t>t=43|margin=0.0767|tok='_sum' ; t=21|margin=0.0781|tok='([' ; t=16|margin=0.1562|tok='(x' ; t=39|margin=0.1719|tok='])\\n' ; t=91|margin=0.2642|tok='\\n' ; t=8|margin=0.4219|tok='(n' ; t=62|margin=0.6406|tok=' partner' ; t=54|margin=0.7244|tok='2' ; t=72|margin=0.7244|tok=' partner' ; t=149|margin=0.7770|tok='```'</t>
  </si>
  <si>
    <t>{'type': 'RuntimeError', 'message': 'AssertionError', 'stderr_tail': 'Traceback (most recent call last):\n  File "/tmp/tmp700nirjb/candidate_eval.py", line 13, in &lt;module&gt;\n    assert amicable_numbers_sum(999) == 504\n           ^^^^^^^^^^^^^^^^^^^^^^^^^^^^^^^^\nAssertionError\n', 'stdout_tail': ''}</t>
  </si>
  <si>
    <t>HumanEval/125</t>
  </si>
  <si>
    <t>mbpp_124</t>
  </si>
  <si>
    <t xml:space="preserve">
def split_words(txt):
    '''
    Given a string of words, return a list of words split on whitespace, if no whitespaces exists in the text you
    should split on commas ',' if no commas exists you should return the number of lower-case letters with odd order in the
    alphabet, ord('a') = 0, ord('b') = 1, ... ord('z') = 25
    Examples
    split_words("Hello world!") ➞ ["Hello", "world!"]
    split_words("Hello,world!") ➞ ["Hello", "world!"]
    split_words("abcdef") == 3 
    '''
</t>
  </si>
  <si>
    <t xml:space="preserve">Traceback (most recent call last):
  File "/tmp/tmp7d6asxsr/candidate_eval.py", line 12, in &lt;module&gt;
    assert math.isclose(angle_complex(0, 1j), 1.5707963267948966, rel_tol=0.001)
           ^^^^^^^^^^^^^^^^^^^^^^^^^^^^^^^^^^^^^^^^^^^^^^^^^^^^^^^^^^^^^^^^^^^^^
AssertionError
</t>
  </si>
  <si>
    <t>```python
def split_words(txt):
    if ' ' in txt:
        return txt.split()
    elif ',' in txt:
        return txt.split(',')
    else:
        return sum(1 for char in txt if char.islower() and (ord(char) - ord('a')) % 2 == 1)
```</t>
  </si>
  <si>
    <t>Write a function to get the angle of a complex number.</t>
  </si>
  <si>
    <t>def split_words(txt):
    if ' ' in txt:
        return txt.split()
    elif ',' in txt:
        return txt.split(',')
    else:
        return sum(1 for char in txt if char.islower() and (ord(char) - ord('a')) % 2 == 1)</t>
  </si>
  <si>
    <t xml:space="preserve">&lt;|im_start|&gt;system
You are an expert Python competitive programmer.&lt;|im_end|&gt;
&lt;|im_start|&gt;user
Solve the following Python programming task. Return only valid Python code. Do not use Markdown. Do not explain.Task:Write a function to get the angle of a complex number.Required tests include:assert math.isclose(angle_complex(0,1j), 1.5707963267948966, rel_tol=0.001)assert math.isclose(angle_complex(2,1j), 0.4636476090008061, rel_tol=0.001)assert math.isclose(angle_complex(0,2j), 1.5707963267948966, rel_tol=0.001)&lt;|im_end|&gt;
&lt;|im_start|&gt;assistant
</t>
  </si>
  <si>
    <t>import cmath
import math
def angle_complex(x, y):
    # Create a complex number from x and y
    complex_num = complex(x, y)
    # Calculate the angle of the complex number using cmath module
    angle = cmath.phase(complex_num)
    return angle
# Test cases
assert math.isclose(angle_complex(0, 1j), 1.5707963267948966, rel_tol=0.001)
assert math.isclose(angle_complex(2, 1j), 0.4636476090008061, rel_tol=0.001)
assert math.isclose(angle_complex(0, 2j), 1.5707963267948966, rel_tol=0.001)</t>
  </si>
  <si>
    <t>HumanEval/126</t>
  </si>
  <si>
    <t xml:space="preserve">
def is_sorted(lst):
    '''
    Given a list of numbers, return whether or not they are sorted
    in ascending order. If list has more than 1 duplicate of the same
    number, return False. Assume no negative numbers and only integers.
    Examples
    is_sorted([5]) ➞ True
    is_sorted([1, 2, 3, 4, 5]) ➞ True
    is_sorted([1, 3, 2, 4, 5]) ➞ False
    is_sorted([1, 2, 3, 4, 5, 6]) ➞ True
    is_sorted([1, 2, 3, 4, 5, 6, 7]) ➞ True
    is_sorted([1, 3, 2, 4, 5, 6, 7]) ➞ False
    is_sorted([1, 2, 2, 3, 3, 4]) ➞ True
    is_sorted([1, 2, 2, 2, 3, 4]) ➞ False
    '''
</t>
  </si>
  <si>
    <t>```python
def is_sorted(lst):
    if len(lst) &lt;= 1:
        return True
    for i in range(1, len(lst)):
        if lst[i] &lt; lst[i - 1]:
            return False
        if i &gt;= 2 and lst[i] == lst[i - 1] == lst[i - 2]:
            return False
    return True
```</t>
  </si>
  <si>
    <t>def is_sorted(lst):
    if len(lst) &lt;= 1:
        return True
    for i in range(1, len(lst)):
        if lst[i] &lt; lst[i - 1]:
            return False
        if i &gt;= 2 and lst[i] == lst[i - 1] == lst[i - 2]:
            return False
    return True</t>
  </si>
  <si>
    <t>t=46|entropy=1.7749|tok=' module' ; t=3|entropy=1.4976|tok='\\n' ; t=15|entropy=1.2438|tok=' #' ; t=26|entropy=1.1568|tok=' complex' ; t=61|entropy=1.0241|tok='\\n\\n' ; t=39|entropy=0.9889|tok=' of' ; t=21|entropy=0.9670|tok=' x' ; t=10|entropy=0.9556|tok='(x' ; t=0|entropy=0.8693|tok='import' ; t=49|entropy=0.8592|tok=' angle'</t>
  </si>
  <si>
    <t>t=10|margin=0.0312|tok='(x' ; t=15|margin=0.0781|tok=' #' ; t=43|margin=0.0881|tok=' using' ; t=49|margin=0.1037|tok=' angle' ; t=0|margin=0.2031|tok='import' ; t=39|margin=0.2656|tok=' of' ; t=21|margin=0.4219|tok=' x' ; t=1|margin=0.4574|tok=' cm' ; t=26|margin=0.5185|tok=' complex' ; t=3|margin=0.5511|tok='\\n'</t>
  </si>
  <si>
    <t>{'type': 'RuntimeError', 'message': 'AssertionError', 'stderr_tail': 'Traceback (most recent call last):\n  File "/tmp/tmp7d6asxsr/candidate_eval.py", line 12, in &lt;module&gt;\n    assert math.isclose(angle_complex(0, 1j), 1.5707963267948966, rel_tol=0.001)\n           ^^^^^^^^^^^^^^^^^^^^^^^^^^^^^^^^^^^^^^^^^^^^^^^^^^^^^^^^^^^^^^^^^^^^^\nAssertionError\n', 'stdout_tail': ''}</t>
  </si>
  <si>
    <t>mbpp_125</t>
  </si>
  <si>
    <t>Write a function to find the maximum difference between the number of 0s and number of 1s in any sub-string of the given binary string.</t>
  </si>
  <si>
    <t xml:space="preserve">&lt;|im_start|&gt;system
You are an expert Python competitive programmer.&lt;|im_end|&gt;
&lt;|im_start|&gt;user
Solve the following Python programming task. Return only valid Python code. Do not use Markdown. Do not explain.Task:Write a function to find the maximum difference between the number of 0s and number of 1s in any sub-string of the given binary string.Required tests include:assert find_length("11000010001") == 6assert find_length("10111") == 1assert find_length("11011101100101") == 2&lt;|im_end|&gt;
&lt;|im_start|&gt;assistant
</t>
  </si>
  <si>
    <t>HumanEval/127</t>
  </si>
  <si>
    <t>```python
def find_length(binary_str):
    max_diff = 0
    current_diff = 0
    for char in binary_str:
        if char == '0':
            current_diff += 1
        else:
            current_diff -= 1
        if current_diff &lt; 0:
            current_diff = 0
        max_diff = max(max_diff, current_diff)
    return max_diff
```</t>
  </si>
  <si>
    <t>def find_length(binary_str):
    max_diff = 0
    current_diff = 0
    for char in binary_str:
        if char == '0':
            current_diff += 1
        else:
            current_diff -= 1
        if current_diff &lt; 0:
            current_diff = 0
        max_diff = max(max_diff, current_diff)
    return max_diff</t>
  </si>
  <si>
    <t>{'type': 'RuntimeError', 'message': 'AssertionError', 'stderr_tail': 'Traceback (most recent call last):\n  File "/tmp/tmp0sg4ni73/candidate_eval.py", line 42, in &lt;module&gt;\n    check(intersection)\n  File "/tmp/tmp0sg4ni73/candidate_eval.py", line 30, in check\n    assert candidate((-1, 1), (0, 4)) == "NO"\n           ^^^^^^^^^^^^^^^^^^^^^^^^^^^^^^^^^^\nAssertionError\n', 'stdout_tail': ''}</t>
  </si>
  <si>
    <t xml:space="preserve">
def intersection(interval1, interval2):
    """You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
</t>
  </si>
  <si>
    <t>```python
def intersection(interval1, interval2):
    start_max = max(interval1[0], interval2[0])
    end_min = min(interval1[1], interval2[1])
    if start_max &gt; end_min:
        return "NO"
    length = end_min - start_max + 1
    if length &lt; 2:
        return "NO"
    for i in range(2, int(length**0.5) + 1):
        if length % i == 0:
            return "NO"
    return "YES"
```</t>
  </si>
  <si>
    <t>def intersection(interval1, interval2):
    start_max = max(interval1[0], interval2[0])
    end_min = min(interval1[1], interval2[1])
    if start_max &gt; end_min:
        return "NO"
    length = end_min - start_max + 1
    if length &lt; 2:
        return "NO"
    for i in range(2, int(length**0.5) + 1):
        if length % i == 0:
            return "NO"
    return "YES"</t>
  </si>
  <si>
    <t>t=6|entropy=1.5172|tok='(binary' ; t=7|entropy=1.4855|tok='_str' ; t=10|entropy=0.9264|tok=' max' ; t=22|entropy=0.9181|tok='\\n    \\n' ; t=13|entropy=0.8162|tok=' ' ; t=85|entropy=0.7267|tok='\\n' ; t=8|entropy=0.6272|tok='):\\n' ; t=0|entropy=0.5962|tok='```' ; t=70|entropy=0.4445|tok=' max' ; t=35|entropy=0.3353|tok='0'</t>
  </si>
  <si>
    <t>t=85|margin=0.1776|tok='\\n' ; t=6|margin=0.2500|tok='(binary' ; t=7|margin=0.2656|tok='_str' ; t=8|margin=1.0469|tok='):\\n' ; t=22|margin=1.2500|tok='\\n    \\n' ; t=0|margin=1.4844|tok='```' ; t=70|margin=1.6761|tok=' max' ; t=35|margin=2.1591|tok='0' ; t=25|margin=2.3750|tok=' char' ; t=86|margin=2.3807|tok='```'</t>
  </si>
  <si>
    <t>HumanEval/128</t>
  </si>
  <si>
    <t>mbpp_126</t>
  </si>
  <si>
    <t xml:space="preserve">
def prod_signs(arr):
    """
    You are given an array arr of integers and you need to return
    sum of magnitudes of integers multiplied by product of all signs
    of each number in the array, represented by 1, -1 or 0.
    Note: return None for empty arr.
    Example:
    &gt;&gt;&gt; prod_signs([1, 2, 2, -4]) == -9
    &gt;&gt;&gt; prod_signs([0, 1]) == 0
    &gt;&gt;&gt; prod_signs([]) == None
    """
</t>
  </si>
  <si>
    <t>Write a python function to find the sum of common divisors of two given numbers.</t>
  </si>
  <si>
    <t>```python
def prod_signs(arr):
    if not arr:
        return None
    sign_product = 1
    magnitude_sum = 0
    for num in arr:
        if num == 0:
            return 0
        elif num &lt; 0:
            sign_product *= -1
        magnitude_sum += abs(num)
    return sign_product * magnitude_sum
```</t>
  </si>
  <si>
    <t xml:space="preserve">&lt;|im_start|&gt;system
You are an expert Python competitive programmer.&lt;|im_end|&gt;
&lt;|im_start|&gt;user
Solve the following Python programming task. Return only valid Python code. Do not use Markdown. Do not explain.Task:Write a python function to find the sum of common divisors of two given numbers.Required tests include:assert sum(10,15) == 6assert sum(100,150) == 93assert sum(4,6) == 3&lt;|im_end|&gt;
&lt;|im_start|&gt;assistant
</t>
  </si>
  <si>
    <t>def prod_signs(arr):
    if not arr:
        return None
    sign_product = 1
    magnitude_sum = 0
    for num in arr:
        if num == 0:
            return 0
        elif num &lt; 0:
            sign_product *= -1
        magnitude_sum += abs(num)
    return sign_product * magnitude_sum</t>
  </si>
  <si>
    <t>```python
def sum(n1, n2): 
    i = 1
    s = 0
    while (i &lt;= n1 and i &lt;= n2): 
        if ((n1 % i == 0) and (n2 % i == 0)): 
            s += i 
        i += 1
    return s
```</t>
  </si>
  <si>
    <t>def sum(n1, n2): 
    i = 1
    s = 0
    while (i &lt;= n1 and i &lt;= n2): 
        if ((n1 % i == 0) and (n2 % i == 0)): 
            s += i 
        i += 1
    return s</t>
  </si>
  <si>
    <t>HumanEval/129</t>
  </si>
  <si>
    <t>{'type': 'RuntimeError', 'message': 'AssertionError', 'stderr_tail': 'Traceback (most recent call last):\n  File "/tmp/tmpqb0ob5bd/candidate_eval.py", line 54, in &lt;module&gt;\n    check(minPath)\n  File "/tmp/tmpqb0ob5bd/candidate_eval.py", line 38, in check\n    assert candidate([[1, 2, 3], [4, 5, 6], [7, 8, 9]], 3) == [1, 2, 1]\n           ^^^^^^^^^^^^^^^^^^^^^^^^^^^^^^^^^^^^^^^^^^^^^^^^^^^^^^^^^^^^\nAssertionError\n', 'stdout_tail': ''}</t>
  </si>
  <si>
    <t xml:space="preserve">
def minPath(grid, k):
    """
    Given a grid with N rows and N columns (N &gt;= 2) and a positive integer k, 
    each cell of the grid contains a value. Every integer in the range [1, N * N]
    inclusive appears exactly once on the cells of the grid.
    You have to find the minimum path of length k in the grid. You can start
    from any cell, and in each step you can move to any of the neighbor cells,
    in other words, you can go to cells which share an edge with you current
    cell.
    Please note that a path of length k means visiting exactly k cells (not
    necessarily distinct).
    You CANNOT go off the grid.
    A path A (of length k) is considered less than a path B (of length k) if
    after making the ordered lists of the values on the cells that A and B go
    through (let's call them lst_A and lst_B), lst_A is lexicographically less
    than lst_B, in other words, there exist an integer index i (1 &lt;= i &lt;= k)
    such that lst_A[i] &lt; lst_B[i] and for any j (1 &lt;= j &lt; i) we have
    lst_A[j] = lst_B[j].
    It is guaranteed that the answer is unique.
    Return an ordered list of the values on the cells that the minimum path go through.
    Examples:
        Input: grid = [ [1,2,3], [4,5,6], [7,8,9]], k = 3
        Output: [1, 2, 1]
        Input: grid = [ [5,9,3], [4,1,6], [7,8,2]], k = 1
        Output: [1]
    """
</t>
  </si>
  <si>
    <t>t=13|entropy=2.9196|tok=' i' ; t=19|entropy=1.6791|tok=' s' ; t=5|entropy=1.6745|tok='(n' ; t=74|entropy=1.3132|tok='\\n' ; t=64|entropy=1.1806|tok=' \\r\\n' ; t=6|entropy=1.1035|tok='1' ; t=26|entropy=0.9709|tok=' (' ; t=10|entropy=0.9249|tok='):' ; t=17|entropy=0.8792|tok='\\r\\n' ; t=29|entropy=0.8487|tok=' n'</t>
  </si>
  <si>
    <t>```python
from heapq import heappop, heappush
def minPath(grid, k):
    n = len(grid)
    directions = [(0, 1), (1, 0), (-1, 0), (0, -1)]
    pq = []
    for i in range(n):
        for j in range(n):
            heappush(pq, (grid[i][j], i, j))
    while pq:
        val, x, y = heappop(pq)
        if k == 1:
            return [val]
        for dx, dy in directions:
            nx, ny = x + dx, y + dy
            if 0 &lt;= nx &lt; n and 0 &lt;= ny &lt; n:
                heappush(pq, (val, nx, ny))
        k -= 1
```</t>
  </si>
  <si>
    <t>t=10|margin=0.0469|tok='):' ; t=40|margin=0.1676|tok=' ((' ; t=17|margin=0.1790|tok='\\r\\n' ; t=6|margin=0.1989|tok='1' ; t=7|margin=0.2557|tok=',' ; t=13|margin=0.2969|tok=' i' ; t=26|margin=0.6094|tok=' (' ; t=74|margin=0.6520|tok='\\n' ; t=29|margin=0.7543|tok=' n' ; t=36|margin=0.7798|tok='):'</t>
  </si>
  <si>
    <t>from heapq import heappop, heappush
def minPath(grid, k):
    n = len(grid)
    directions = [(0, 1), (1, 0), (-1, 0), (0, -1)]
    pq = []
    for i in range(n):
        for j in range(n):
            heappush(pq, (grid[i][j], i, j))
    while pq:
        val, x, y = heappop(pq)
        if k == 1:
            return [val]
        for dx, dy in directions:
            nx, ny = x + dx, y + dy
            if 0 &lt;= nx &lt; n and 0 &lt;= ny &lt; n:
                heappush(pq, (val, nx, ny))
        k -= 1</t>
  </si>
  <si>
    <t>mbpp_127</t>
  </si>
  <si>
    <t>Write a function to multiply two integers.</t>
  </si>
  <si>
    <t xml:space="preserve">&lt;|im_start|&gt;system
You are an expert Python competitive programmer.&lt;|im_end|&gt;
&lt;|im_start|&gt;user
Solve the following Python programming task. Return only valid Python code. Do not use Markdown. Do not explain.Task:Write a function to multiply two integers.Required tests include:assert multiply_int(10,20)==200assert multiply_int(5,10)==50assert multiply_int(4,8)==32&lt;|im_end|&gt;
&lt;|im_start|&gt;assistant
</t>
  </si>
  <si>
    <t>def multiply_int(a, b):
    return a * b
# Test cases
assert multiply_int(10, 20) == 200
assert multiply_int(5, 10) == 50
assert multiply_int(4, 8) == 32</t>
  </si>
  <si>
    <t>HumanEval/130</t>
  </si>
  <si>
    <t>{'type': 'RuntimeError', 'message': 'IndexError: list index out of range', 'stderr_tail': 'Traceback (most recent call last):\n  File "/tmp/tmpg_89menp/candidate_eval.py", line 43, in &lt;module&gt;\n    check(tri)\n  File "/tmp/tmpg_89menp/candidate_eval.py", line 29, in check\n    assert candidate(3) == [1, 3, 2.0, 8.0]\n           ^^^^^^^^^^^^\n  File "/tmp/tmpg_89menp/candidate_eval.py", line 22, in tri\n    result.append(result[i - 1] + result[i - 2] + result[i + 1])\n                                                  ~~~~~~^^^^^^^\nIndexError: list index out of range\n', 'stdout_tail': ''}</t>
  </si>
  <si>
    <t xml:space="preserve">
def tri(n):
    """Everyone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
</t>
  </si>
  <si>
    <t>```python
def tri(n):
    if n == 0: return [1]
    elif n == 1: return [1, 3]
    result = [1, 3, 2]
    for i in range(3, n + 1):
        if i % 2 == 0:
            result.append(1 + i / 2)
        else:
            result.append(result[i - 1] + result[i - 2] + result[i + 1])
    return result
```</t>
  </si>
  <si>
    <t>def tri(n):
    if n == 0: return [1]
    elif n == 1: return [1, 3]
    result = [1, 3, 2]
    for i in range(3, n + 1):
        if i % 2 == 0:
            result.append(1 + i / 2)
        else:
            result.append(result[i - 1] + result[i - 2] + result[i + 1])
    return result</t>
  </si>
  <si>
    <t>t=0|entropy=0.8352|tok='def' ; t=12|entropy=0.7850|tok='\\n\\n' ; t=6|entropy=0.7016|tok='):\\n' ; t=3|entropy=0.4347|tok='(a' ; t=13|entropy=0.3289|tok='#' ; t=4|entropy=0.2317|tok=',' ; t=62|entropy=0.1865|tok='' ; t=14|entropy=0.1820|tok=' Test' ; t=7|entropy=0.1568|tok='   ' ; t=24|entropy=0.0488|tok=' '</t>
  </si>
  <si>
    <t>t=12|margin=0.0753|tok='\\n\\n' ; t=0|margin=0.3125|tok='def' ; t=6|margin=0.5156|tok='):\\n' ; t=3|margin=1.7656|tok='(a' ; t=13|margin=2.3821|tok='#' ; t=4|margin=3.0938|tok=',' ; t=62|margin=3.2386|tok='' ; t=7|margin=3.5000|tok='   ' ; t=14|margin=4.7344|tok=' Test' ; t=24|margin=4.7699|tok=' '</t>
  </si>
  <si>
    <t>IndexError: list index out of range</t>
  </si>
  <si>
    <t>mbpp_128</t>
  </si>
  <si>
    <t>Write a function to find words that are longer than n characters from a given list of words.</t>
  </si>
  <si>
    <t xml:space="preserve">&lt;|im_start|&gt;system
You are an expert Python competitive programmer.&lt;|im_end|&gt;
&lt;|im_start|&gt;user
Solve the following Python programming task. Return only valid Python code. Do not use Markdown. Do not explain.Task:Write a function to find words that are longer than n characters from a given list of words.Required tests include:assert long_words(3,"python is a programming language")==['python','programming','language']assert long_words(2,"writing a program")==['writing','program']assert long_words(5,"sorting list")==['sorting']&lt;|im_end|&gt;
&lt;|im_start|&gt;assistant
</t>
  </si>
  <si>
    <t>```python
def long_words(n, str):
    # Split the input string into a list of words
    words = str.split(" ")
    # Filter and return words longer than n characters
    return [word for word in words if len(word) &gt; n]
```</t>
  </si>
  <si>
    <t>def long_words(n, str):
    # Split the input string into a list of words
    words = str.split(" ")
    # Filter and return words longer than n characters
    return [word for word in words if len(word) &gt; n]</t>
  </si>
  <si>
    <t>HumanEval/131</t>
  </si>
  <si>
    <t xml:space="preserve">
def digits(n):
    """Given a positive integer n, return the product of the odd digits.
    Return 0 if all digits are even.
    For example:
    digits(1)  == 1
    digits(4)  == 0
    digits(235) == 15
    """
</t>
  </si>
  <si>
    <t>```python
def digits(n):
    product = 1
    has_odd = False
    for digit in str(n):
        d = int(digit)
        if d % 2 != 0:
            product *= d
            has_odd = True
    return product if has_odd else 0
```</t>
  </si>
  <si>
    <t>def digits(n):
    product = 1
    has_odd = False
    for digit in str(n):
        d = int(digit)
        if d % 2 != 0:
            product *= d
            has_odd = True
    return product if has_odd else 0</t>
  </si>
  <si>
    <t>t=23|entropy=1.6836|tok=' words' ; t=41|entropy=1.1028|tok=' return' ; t=9|entropy=1.0726|tok='):\\n' ; t=11|entropy=1.0452|tok=' #' ; t=35|entropy=0.9973|tok=' longer' ; t=8|entropy=0.9378|tok=' str' ; t=17|entropy=0.8285|tok=' a' ; t=0|entropy=0.7805|tok='```' ; t=31|entropy=0.7568|tok=' Filter' ; t=32|entropy=0.7552|tok=' and'</t>
  </si>
  <si>
    <t>t=9|margin=0.1562|tok='):\\n' ; t=35|margin=0.3267|tok=' longer' ; t=23|margin=0.4162|tok=' words' ; t=0|margin=0.4844|tok='```' ; t=14|margin=0.5156|tok=' input' ; t=31|margin=0.5469|tok=' Filter' ; t=29|margin=0.6051|tok='   ' ; t=41|margin=0.8963|tok=' return' ; t=17|margin=1.2955|tok=' a' ; t=27|margin=1.3281|tok='("'</t>
  </si>
  <si>
    <t>HumanEval/132</t>
  </si>
  <si>
    <t>{'type': 'RuntimeError', 'message': 'AssertionError', 'stderr_tail': 'Traceback (most recent call last):\n  File "/tmp/tmpq1k1ikgs/candidate_eval.py", line 49, in &lt;module&gt;\n    check(is_nested)\n  File "/tmp/tmpq1k1ikgs/candidate_eval.py", line 39, in check\n    assert candidate(\'[[]][[\') == True\n           ^^^^^^^^^^^^^^^^^^^^^^^^^^^\nAssertionError\n', 'stdout_tail': ''}</t>
  </si>
  <si>
    <t>mbpp_129</t>
  </si>
  <si>
    <t xml:space="preserve">
def is_nested(string):
    '''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
</t>
  </si>
  <si>
    <t>```python
def is_nested(s):
    stack = []
    has_nested = False
    for char in s:
        if char == '[':
            stack.append(char)
        elif char == ']' and stack:
            stack.pop()
            if stack:
                has_nested = True
    return has_nested and not stack
```</t>
  </si>
  <si>
    <t>def is_nested(s):
    stack = []
    has_nested = False
    for char in s:
        if char == '[':
            stack.append(char)
        elif char == ']' and stack:
            stack.pop()
            if stack:
                has_nested = True
    return has_nested and not stack</t>
  </si>
  <si>
    <t>Write a function to calculate whether the matrix is a magic square.</t>
  </si>
  <si>
    <t xml:space="preserve">&lt;|im_start|&gt;system
You are an expert Python competitive programmer.&lt;|im_end|&gt;
&lt;|im_start|&gt;user
Solve the following Python programming task. Return only valid Python code. Do not use Markdown. Do not explain.Task:Write a function to calculate whether the matrix is a magic square.Required tests include:assert magic_square_test([[7, 12, 1, 14], [2, 13, 8, 11], [16, 3, 10, 5], [9, 6, 15, 4]])==Trueassert magic_square_test([[2, 7, 6], [9, 5, 1], [4, 3, 8]])==Trueassert magic_square_test([[2, 7, 6], [9, 5, 1], [4, 3, 7]])==False&lt;|im_end|&gt;
&lt;|im_start|&gt;assistant
</t>
  </si>
  <si>
    <t>```python
def magic_square_test(matrix):
    n = len(matrix)
    if any(len(row) != n for row in matrix):
        return False
    # Calculate the sum of the first row to use as a reference
    target_sum = sum(matrix[0])
    # Check sums of rows
    for row in matrix:
        if sum(row) != target_sum:
            return False
    # Check sums of columns
    for col in range(n):
        if sum(matrix[row][col] for row in range(n)) != target_sum:
            return False
    # Check sum of main diagonal
    if sum(matrix[i][i] for i in range(n)) != target_sum:
        return False
    # Check sum of secondary diagonal
    if sum(matrix[i][n-1-i] for i in range(n)) != target_sum:
        return False
    return True
```</t>
  </si>
  <si>
    <t>def magic_square_test(matrix):
    n = len(matrix)
    if any(len(row) != n for row in matrix):
        return False
    # Calculate the sum of the first row to use as a reference
    target_sum = sum(matrix[0])
    # Check sums of rows
    for row in matrix:
        if sum(row) != target_sum:
            return False
    # Check sums of columns
    for col in range(n):
        if sum(matrix[row][col] for row in range(n)) != target_sum:
            return False
    # Check sum of main diagonal
    if sum(matrix[i][i] for i in range(n)) != target_sum:
        return False
    # Check sum of secondary diagonal
    if sum(matrix[i][n-1-i] for i in range(n)) != target_sum:
        return False
    return True</t>
  </si>
  <si>
    <t>HumanEval/133</t>
  </si>
  <si>
    <t xml:space="preserve">
def sum_squares(lst):
    """You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
</t>
  </si>
  <si>
    <t>```python
import math
def sum_squares(lst):
    return sum(math.ceil(x)**2 for x in lst)
```</t>
  </si>
  <si>
    <t>import math
def sum_squares(lst):
    return sum(math.ceil(x)**2 for x in lst)</t>
  </si>
  <si>
    <t>t=7|entropy=2.1504|tok='(matrix' ; t=16|entropy=1.7030|tok=' if' ; t=33|entropy=1.5482|tok=' #' ; t=42|entropy=1.0679|tok=' use' ; t=41|entropy=0.9678|tok=' to' ; t=8|entropy=0.7862|tok='):\\n' ; t=62|entropy=0.7709|tok=' rows' ; t=17|entropy=0.7269|tok=' any' ; t=164|entropy=0.7041|tok='-' ; t=31|entropy=0.6964|tok='\\n    \\n'</t>
  </si>
  <si>
    <t>t=62|margin=0.1719|tok=' rows' ; t=185|margin=0.3509|tok='\\n' ; t=33|margin=0.4844|tok=' #' ; t=31|margin=0.4844|tok='\\n    \\n' ; t=8|margin=0.5781|tok='):\\n' ; t=42|margin=0.6747|tok=' use' ; t=63|margin=0.6747|tok='\\n' ; t=41|margin=0.7912|tok=' to' ; t=66|margin=0.8608|tok=' row' ; t=17|margin=0.8622|tok=' any'</t>
  </si>
  <si>
    <t>mbpp_130</t>
  </si>
  <si>
    <t>HumanEval/134</t>
  </si>
  <si>
    <t>Write a function to find the item with maximum frequency in a given list.</t>
  </si>
  <si>
    <t xml:space="preserve">&lt;|im_start|&gt;system
You are an expert Python competitive programmer.&lt;|im_end|&gt;
&lt;|im_start|&gt;user
Solve the following Python programming task. Return only valid Python code. Do not use Markdown. Do not explain.Task:Write a function to find the item with maximum frequency in a given list.Required tests include:assert max_occurrences([2,3,8,4,7,9,8,2,6,5,1,6,1,2,3,2,4,6,9,1,2])==2assert max_occurrences([2,3,8,4,7,9,8,7,9,15,14,10,12,13,16,18])==8assert max_occurrences([10,20,20,30,40,90,80,50,30,20,50,10])==20&lt;|im_end|&gt;
&lt;|im_start|&gt;assistant
</t>
  </si>
  <si>
    <t xml:space="preserve">
def check_if_last_char_is_a_letter(txt):
    '''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
</t>
  </si>
  <si>
    <t>```python
def max_occurrences(nums):
    # Create a dictionary to store the frequency of each element
    freq = {}
    # Iterate over each number in the list and update its frequency
    for num in nums:
        if num in freq:
            freq[num] += 1
        else:
            freq[num] = 1
    # Find the element with the maximum frequency
    max_freq_num = max(freq, key=freq.get)
    return max_freq_num
# Test cases
assert max_occurrences([2,3,8,4,7,9,8,2,6,5,1,6,1,2,3,2,4,6,9,1,2]) == 2
assert max_occurrences([2,3,8,4,7,9,8,7,9,15,14,10,12,13,16,18]) == 8
assert max_occurrences([10,20,20,30,40,90,80,50,30,20,50,10]) == 20
```</t>
  </si>
  <si>
    <t>```python
import re
def check_if_last_char_is_a_letter(txt):
    return bool(re.search(r'\b[a-zA-Z]$', txt))
```</t>
  </si>
  <si>
    <t>import re
def check_if_last_char_is_a_letter(txt):
    return bool(re.search(r'\b[a-zA-Z]$', txt))</t>
  </si>
  <si>
    <t>def max_occurrences(nums):
    # Create a dictionary to store the frequency of each element
    freq = {}
    # Iterate over each number in the list and update its frequency
    for num in nums:
        if num in freq:
            freq[num] += 1
        else:
            freq[num] = 1
    # Find the element with the maximum frequency
    max_freq_num = max(freq, key=freq.get)
    return max_freq_num
# Test cases
assert max_occurrences([2,3,8,4,7,9,8,2,6,5,1,6,1,2,3,2,4,6,9,1,2]) == 2
assert max_occurrences([2,3,8,4,7,9,8,7,9,15,14,10,12,13,16,18]) == 8
assert max_occurrences([10,20,20,30,40,90,80,50,30,20,50,10]) == 20</t>
  </si>
  <si>
    <t>HumanEval/135</t>
  </si>
  <si>
    <t xml:space="preserve">
def can_arrange(arr):
    """Create a function which returns the largest index of an element which
    is not greater than or equal to the element immediately preceding it. If
    no such element exists then return -1. The given array will not contain
    duplicate values.
    Examples:
    can_arrange([1,2,4,3,5]) = 3
    can_arrange([1,2,3]) = -1
    """
</t>
  </si>
  <si>
    <t>```python
def can_arrange(arr):
    for i in range(len(arr) - 1, 0, -1):
        if arr[i] &lt; arr[i - 1]:
            return i
    return -1
```</t>
  </si>
  <si>
    <t>def can_arrange(arr):
    for i in range(len(arr) - 1, 0, -1):
        if arr[i] &lt; arr[i - 1]:
            return i
    return -1</t>
  </si>
  <si>
    <t>t=10|entropy=2.1937|tok=' #' ; t=11|entropy=1.8157|tok=' Create' ; t=23|entropy=1.6728|tok=' freq' ; t=76|entropy=1.4997|tok=' element' ; t=85|entropy=1.4666|tok='_num' ; t=7|entropy=1.3151|tok='(nums' ; t=84|entropy=1.0620|tok='_freq' ; t=40|entropy=0.9126|tok='\\n' ; t=20|entropy=0.8765|tok=' element' ; t=0|entropy=0.8730|tok='```'</t>
  </si>
  <si>
    <t>t=101|margin=0.0639|tok='\\n\\n' ; t=113|margin=0.1705|tok='3' ; t=11|margin=0.3125|tok=' Create' ; t=30|margin=0.3594|tok=' over' ; t=3|margin=0.4062|tok='def' ; t=40|margin=0.4119|tok='\\n' ; t=10|margin=0.4531|tok=' #' ; t=87|margin=0.4773|tok=' max' ; t=85|margin=0.5000|tok='_num' ; t=26|margin=0.5099|tok='    \\n'</t>
  </si>
  <si>
    <t>mbpp_131</t>
  </si>
  <si>
    <t>Write a python function to reverse only the vowels of a given string (where y is not a vowel).</t>
  </si>
  <si>
    <t xml:space="preserve">&lt;|im_start|&gt;system
You are an expert Python competitive programmer.&lt;|im_end|&gt;
&lt;|im_start|&gt;user
Solve the following Python programming task. Return only valid Python code. Do not use Markdown. Do not explain.Task:Write a python function to reverse only the vowels of a given string (where y is not a vowel).Required tests include:assert reverse_vowels("Python") == "Python"assert reverse_vowels("USA") == "ASU"assert reverse_vowels("ab") == "ab"&lt;|im_end|&gt;
&lt;|im_start|&gt;assistant
</t>
  </si>
  <si>
    <t>```python
def reverse_vowels(s):
    # Extract all vowels from the string
    vowels = [char for char in s if char.lower() in 'aeiou']
    # Function to check if a character is a vowel
    def is_vowel(char):
        return char.lower() in 'aeiou'
    # Build the result string with reversed vowels
    result = []
    for char in s:
        if is_vowel(char):
            result.append(vowels.pop())
        else:
            result.append(char)
    return ''.join(result)
# Test cases
assert reverse_vowels("Python") == "Python"
assert reverse_vowels("USA") == "ASU"
assert reverse_vowels("ab") == "ab"
```</t>
  </si>
  <si>
    <t>HumanEval/136</t>
  </si>
  <si>
    <t>def reverse_vowels(s):
    # Extract all vowels from the string
    vowels = [char for char in s if char.lower() in 'aeiou']
    # Function to check if a character is a vowel
    def is_vowel(char):
        return char.lower() in 'aeiou'
    # Build the result string with reversed vowels
    result = []
    for char in s:
        if is_vowel(char):
            result.append(vowels.pop())
        else:
            result.append(char)
    return ''.join(result)
# Test cases
assert reverse_vowels("Python") == "Python"
assert reverse_vowels("USA") == "ASU"
assert reverse_vowels("ab") == "ab"</t>
  </si>
  <si>
    <t xml:space="preserve">
def largest_smallest_integers(lst):
    '''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
</t>
  </si>
  <si>
    <t>```python
def largest_smallest_integers(lst):
    negatives = [x for x in lst if x &lt; 0]
    positives = [x for x in lst if x &gt; 0]
    largest_negative = max(negatives) if negatives else None
    smallest_positive = min(positives) if positives else None
    return (largest_negative, smallest_positive)
```</t>
  </si>
  <si>
    <t>def largest_smallest_integers(lst):
    negatives = [x for x in lst if x &lt; 0]
    positives = [x for x in lst if x &gt; 0]
    largest_negative = max(negatives) if negatives else None
    smallest_positive = min(positives) if positives else None
    return (largest_negative, smallest_positive)</t>
  </si>
  <si>
    <t>t=12|entropy=1.9264|tok=' Extract' ; t=70|entropy=1.8430|tok=' Build' ; t=40|entropy=1.5401|tok=' Function' ; t=13|entropy=1.0232|tok=' all' ; t=81|entropy=0.9689|tok=' []\\n' ; t=11|entropy=0.9534|tok=' #' ; t=42|entropy=0.8481|tok=' check' ; t=0|entropy=0.7609|tok='```' ; t=18|entropy=0.7267|tok='\\n' ; t=72|entropy=0.6961|tok=' result'</t>
  </si>
  <si>
    <t>t=12|margin=0.1094|tok=' Extract' ; t=42|margin=0.1250|tok=' check' ; t=81|margin=0.4688|tok=' []\\n' ; t=70|margin=0.6094|tok=' Build' ; t=40|margin=0.6562|tok=' Function' ; t=13|margin=0.8537|tok=' all' ; t=18|margin=0.8594|tok='\\n' ; t=72|margin=0.8906|tok=' result' ; t=11|margin=0.9716|tok=' #' ; t=0|margin=1.0625|tok='```'</t>
  </si>
  <si>
    <t>HumanEval/137</t>
  </si>
  <si>
    <t>mbpp_132</t>
  </si>
  <si>
    <t xml:space="preserve">
def compare_one(a, b):
    """
    Create a function that takes integers, floats, or strings representing
    real numbers, and returns the larger variable in its given variable type.
    Return None if the values are equal.
    Note: If a real number is represented as a string, the floating point might be . or ,
    compare_one(1, 2.5) ➞ 2.5
    compare_one(1, "2,3") ➞ "2,3"
    compare_one("5,1", "6") ➞ "6"
    compare_one("1", 1) ➞ None
    """
</t>
  </si>
  <si>
    <t>```python
def compare_one(a, b):
    def parse_value(val):
        if isinstance(val, str):
            val = val.replace(',', '.')
            return float(val)
        return float(val)
    parsed_a = parse_value(a)
    parsed_b = parse_value(b)
    if parsed_a == parsed_b:
        return None
    elif parsed_a &gt; parsed_b:
        return a
    else:
        return b
```</t>
  </si>
  <si>
    <t>Write a function to convert a tuple to a string.</t>
  </si>
  <si>
    <t>def compare_one(a, b):
    def parse_value(val):
        if isinstance(val, str):
            val = val.replace(',', '.')
            return float(val)
        return float(val)
    parsed_a = parse_value(a)
    parsed_b = parse_value(b)
    if parsed_a == parsed_b:
        return None
    elif parsed_a &gt; parsed_b:
        return a
    else:
        return b</t>
  </si>
  <si>
    <t xml:space="preserve">&lt;|im_start|&gt;system
You are an expert Python competitive programmer.&lt;|im_end|&gt;
&lt;|im_start|&gt;user
Solve the following Python programming task. Return only valid Python code. Do not use Markdown. Do not explain.Task:Write a function to convert a tuple to a string.Required tests include:assert tup_string(('e', 'x', 'e', 'r', 'c', 'i', 's', 'e', 's'))==("exercises")assert tup_string(('p','y','t','h','o','n'))==("python")assert tup_string(('p','r','o','g','r','a','m'))==("program")&lt;|im_end|&gt;
&lt;|im_start|&gt;assistant
</t>
  </si>
  <si>
    <t>```python
def tup_string(tup):
    # Joining tuple elements into a string
    result = ''.join(tup)
    return result
# Test cases
assert tup_string(('e', 'x', 'e', 'r', 'c', 'i', 's', 'e', 's')) == "exercises"
assert tup_string(('p', 'y', 't', 'h', 'o', 'n')) == "python"
assert tup_string(('p', 'r', 'o', 'g', 'r', 'a', 'm')) == "program"
```</t>
  </si>
  <si>
    <t>def tup_string(tup):
    # Joining tuple elements into a string
    result = ''.join(tup)
    return result
# Test cases
assert tup_string(('e', 'x', 'e', 'r', 'c', 'i', 's', 'e', 's')) == "exercises"
assert tup_string(('p', 'y', 't', 'h', 'o', 'n')) == "python"
assert tup_string(('p', 'r', 'o', 'g', 'r', 'a', 'm')) == "program"</t>
  </si>
  <si>
    <t>HumanEval/138</t>
  </si>
  <si>
    <t xml:space="preserve">
def is_equal_to_sum_even(n):
    """Evaluate whether the given number n can be written as the sum of exactly 4 positive even numbers
    Example
    is_equal_to_sum_even(4) == False
    is_equal_to_sum_even(6) == False
    is_equal_to_sum_even(8) == True
    """
</t>
  </si>
  <si>
    <t>```python
def is_equal_to_sum_even(n):
    return n &gt;= 8 and n % 2 == 0
```</t>
  </si>
  <si>
    <t>def is_equal_to_sum_even(n):
    return n &gt;= 8 and n % 2 == 0</t>
  </si>
  <si>
    <t>t=13|entropy=1.0326|tok=' tuple' ; t=12|entropy=0.8965|tok='ing' ; t=0|entropy=0.8555|tok='```' ; t=11|entropy=0.7663|tok=' Join' ; t=18|entropy=0.7624|tok='\\n' ; t=30|entropy=0.7179|tok='\\n\\n' ; t=9|entropy=0.6807|tok='   ' ; t=75|entropy=0.6671|tok="'," ; t=10|entropy=0.6081|tok=' #' ; t=17|entropy=0.4741|tok=' string'</t>
  </si>
  <si>
    <t>t=30|margin=0.1705|tok='\\n\\n' ; t=0|margin=0.3125|tok='```' ; t=9|margin=0.4219|tok='   ' ; t=75|margin=0.5256|tok="'," ; t=13|margin=1.1364|tok=' tuple' ; t=17|margin=1.5142|tok=' string' ; t=11|margin=1.7812|tok=' Join' ; t=18|margin=1.8267|tok='\\n' ; t=66|margin=1.9844|tok=' "' ; t=10|margin=2.0781|tok=' #'</t>
  </si>
  <si>
    <t>mbpp_133</t>
  </si>
  <si>
    <t>Write a function to calculate the sum of the negative numbers of a given list of numbers.</t>
  </si>
  <si>
    <t>HumanEval/139</t>
  </si>
  <si>
    <t xml:space="preserve">&lt;|im_start|&gt;system
You are an expert Python competitive programmer.&lt;|im_end|&gt;
&lt;|im_start|&gt;user
Solve the following Python programming task. Return only valid Python code. Do not use Markdown. Do not explain.Task:Write a function to calculate the sum of the negative numbers of a given list of numbers.Required tests include:assert sum_negativenum([2, 4, -6, -9, 11, -12, 14, -5, 17])==-32assert sum_negativenum([10,15,-14,13,-18,12,-20])==-52assert sum_negativenum([19, -65, 57, 39, 152,-639, 121, 44, 90, -190])==-894&lt;|im_end|&gt;
&lt;|im_start|&gt;assistant
</t>
  </si>
  <si>
    <t>```python
def sum_negativenum(nums):
    # Use a generator expression to filter and sum negative numbers
    return sum(x for x in nums if x &lt; 0)
```</t>
  </si>
  <si>
    <t>def sum_negativenum(nums):
    # Use a generator expression to filter and sum negative numbers
    return sum(x for x in nums if x &lt; 0)</t>
  </si>
  <si>
    <t xml:space="preserve">
def special_factorial(n):
    """The Brazilian factorial is defined as:
    brazilian_factorial(n) = n! * (n-1)! * (n-2)! * ... * 1!
    where n &gt; 0
    For example:
    &gt;&gt;&gt; special_factorial(4)
    288
    The function will receive an integer as input and should return the special
    factorial of this integer.
    """
</t>
  </si>
  <si>
    <t>```python
import math
def special_factorial(n):
    result = 1
    for i in range(1, n + 1):
        result *= math.factorial(i)
    return result
```</t>
  </si>
  <si>
    <t>import math
def special_factorial(n):
    result = 1
    for i in range(1, n + 1):
        result *= math.factorial(i)
    return result</t>
  </si>
  <si>
    <t>HumanEval/140</t>
  </si>
  <si>
    <t>t=13|entropy=1.3777|tok=' Use' ; t=27|entropy=1.3204|tok='(x' ; t=9|entropy=1.1423|tok='(nums' ; t=12|entropy=0.9531|tok=' #' ; t=14|entropy=0.9124|tok=' a' ; t=0|entropy=0.7616|tok='```' ; t=37|entropy=0.6513|tok=')\\n' ; t=23|entropy=0.4611|tok='\\n' ; t=15|entropy=0.4126|tok=' generator' ; t=10|entropy=0.3590|tok='):\\n'</t>
  </si>
  <si>
    <t>t=27|margin=0.2188|tok='(x' ; t=13|margin=0.2656|tok=' Use' ; t=14|margin=0.3693|tok=' a' ; t=0|margin=0.6250|tok='```' ; t=37|margin=0.6406|tok=')\\n' ; t=9|margin=0.9844|tok='(nums' ; t=23|margin=1.5966|tok='\\n' ; t=15|margin=1.9034|tok=' generator' ; t=12|margin=2.1250|tok=' #' ; t=10|margin=2.3281|tok='):\\n'</t>
  </si>
  <si>
    <t>{'type': 'RuntimeError', 'message': 'AssertionError: This prints if this assert fails 4 (good for debugging!)', 'stderr_tail': 'Traceback (most recent call last):\n  File "/tmp/tmpuhot6g51/candidate_eval.py", line 31, in &lt;module&gt;\n    check(fix_spaces)\n  File "/tmp/tmpuhot6g51/candidate_eval.py", line 26, in check\n    assert candidate("Exa   mple") == "Exa-mple", "This prints if this assert fails 4 (good for debugging!)"\n           ^^^^^^^^^^^^^^^^^^^^^^^^^^^^^^^^^^^^^\nAssertionError: This prints if this assert fails 4 (good for debugging!)\n', 'stdout_tail': ''}</t>
  </si>
  <si>
    <t xml:space="preserve">
def fix_spaces(text):
    """
    Given a string text, replace all spaces in it with underscores, 
    and if a string has more than 2 consecutive spaces, 
    then replace all consecutive spaces with - 
    fix_spaces("Example") == "Example"
    fix_spaces("Example 1") == "Example_1"
    fix_spaces(" Example 2") == "_Example_2"
    fix_spaces(" Example   3") == "_Example-3"
    """
</t>
  </si>
  <si>
    <t>```python
import re
def fix_spaces(text):
    return re.sub(r' {3,}', '-', re.sub(r' ', '_', text))
```</t>
  </si>
  <si>
    <t>import re
def fix_spaces(text):
    return re.sub(r' {3,}', '-', re.sub(r' ', '_', text))</t>
  </si>
  <si>
    <t>mbpp_135</t>
  </si>
  <si>
    <t>AssertionError: This prints if this assert fails 4 (good for debugging!)</t>
  </si>
  <si>
    <t>Write a function to find the nth hexagonal number.</t>
  </si>
  <si>
    <t xml:space="preserve">&lt;|im_start|&gt;system
You are an expert Python competitive programmer.&lt;|im_end|&gt;
&lt;|im_start|&gt;user
Solve the following Python programming task. Return only valid Python code. Do not use Markdown. Do not explain.Task:Write a function to find the nth hexagonal number.Required tests include:assert hexagonal_num(10) == 190assert hexagonal_num(5) == 45assert hexagonal_num(7) == 91&lt;|im_end|&gt;
&lt;|im_start|&gt;assistant
</t>
  </si>
  <si>
    <t>```python
def hexagonal_num(n):
    return n * (2 * n - 1)
```</t>
  </si>
  <si>
    <t>def hexagonal_num(n):
    return n * (2 * n - 1)</t>
  </si>
  <si>
    <t>HumanEval/141</t>
  </si>
  <si>
    <t>{'type': 'RuntimeError', 'message': 'AssertionError', 'stderr_tail': 'Traceback (most recent call last):\n  File "/tmp/tmpvbro7l71/candidate_eval.py", line 55, in &lt;module&gt;\n    check(file_name_check)\n  File "/tmp/tmpvbro7l71/candidate_eval.py", line 27, in check\n    assert candidate(\'His12FILE94.exe\') == \'No\'\n           ^^^^^^^^^^^^^^^^^^^^^^^^^^^^^^^^^^^^\nAssertionError\n', 'stdout_tail': ''}</t>
  </si>
  <si>
    <t xml:space="preserve">
def file_name_check(file_name):
    """Create a function which takes a string representing a file's name, and returns
    'Yes' if the the file's name is valid, and returns 'No' otherwise.
    A file's name is considered to be valid if and only if all the following conditions 
    are met:
    - There should not be more than three digits ('0'-'9') in the file's name.
    - The file's name contains exactly one dot '.'
    - The substring before the dot should not be empty, and it starts with a letter from 
    the latin alphapet ('a'-'z' and 'A'-'Z').
    - The substring after the dot should be one of these: ['txt', 'exe', 'dll']
    Examples:
    file_name_check("example.txt") # =&gt; 'Yes'
    file_name_check("1example.dll") # =&gt; 'No' (the name should start with a latin alphapet letter)
    """
</t>
  </si>
  <si>
    <t>```python
import re
def file_name_check(file_name):
    pattern = r'^[a-zA-Z][a-zA-Z0-9]{0,}(\d{0,3})\.(txt|exe|dll)$'
    return 'Yes' if re.match(pattern, file_name) else 'No'
```</t>
  </si>
  <si>
    <t>import re
def file_name_check(file_name):
    pattern = r'^[a-zA-Z][a-zA-Z0-9]{0,}(\d{0,3})\.(txt|exe|dll)$'
    return 'Yes' if re.match(pattern, file_name) else 'No'</t>
  </si>
  <si>
    <t>t=0|entropy=0.8461|tok='```' ; t=10|entropy=0.7619|tok=' return' ; t=20|entropy=0.6996|tok=')\\n' ; t=8|entropy=0.6455|tok='):\\n' ; t=21|entropy=0.4067|tok='```' ; t=11|entropy=0.2668|tok=' n' ; t=9|entropy=0.1003|tok='   ' ; t=3|entropy=0.0435|tok='def' ; t=7|entropy=0.0419|tok='(n' ; t=15|entropy=0.0416|tok=' *'</t>
  </si>
  <si>
    <t>t=10|margin=0.0000|tok=' return' ; t=20|margin=0.0312|tok=')\\n' ; t=0|margin=0.2812|tok='```' ; t=8|margin=1.3281|tok='):\\n' ; t=11|margin=2.7656|tok=' n' ; t=21|margin=2.8438|tok='```' ; t=9|margin=3.9446|tok='   ' ; t=15|margin=5.1832|tok=' *' ; t=3|margin=5.7812|tok='def' ; t=7|margin=5.9219|tok='(n'</t>
  </si>
  <si>
    <t>mbpp_137</t>
  </si>
  <si>
    <t xml:space="preserve">Traceback (most recent call last):
  File "/tmp/tmpn178wse1/candidate_eval.py", line 9, in &lt;module&gt;
    assert math.isclose(zero_count([0, 1, 2, -1, -5, 6, 0, -3, -2, 3, 4, 6, 8]), 0.181818, rel_tol=0.001)
           ^^^^^^^^^^^^^^^^^^^^^^^^^^^^^^^^^^^^^^^^^^^^^^^^^^^^^^^^^^^^^^^^^^^^^^^^^^^^^^^^^^^^^^^^^^^^^^
AssertionError
</t>
  </si>
  <si>
    <t>Write a function to find the ratio of zeroes to non-zeroes in an array of integers.</t>
  </si>
  <si>
    <t xml:space="preserve">&lt;|im_start|&gt;system
You are an expert Python competitive programmer.&lt;|im_end|&gt;
&lt;|im_start|&gt;user
Solve the following Python programming task. Return only valid Python code. Do not use Markdown. Do not explain.Task:Write a function to find the ratio of zeroes to non-zeroes in an array of integers.Required tests include:assert math.isclose(zero_count([0, 1, 2, -1, -5, 6, 0, -3, -2, 3, 4, 6, 8]), 0.181818, rel_tol=0.001)assert math.isclose(zero_count([2, 1, 2, -1, -5, 6, 4, -3, -2, 3, 4, 6, 8]), 0.00, rel_tol=0.001)assert math.isclose(zero_count([2, 4, -6, -9, 11, -12, 14, -5, 17]), 0.00, rel_tol=0.001)&lt;|im_end|&gt;
&lt;|im_start|&gt;assistant
</t>
  </si>
  <si>
    <t>HumanEval/142</t>
  </si>
  <si>
    <t>```python
import math
def zero_count(arr):
    total_elements = len(arr)
    zero_elements = arr.count(0)
    return round(zero_elements / total_elements, 6)
# Test cases
assert math.isclose(zero_count([0, 1, 2, -1, -5, 6, 0, -3, -2, 3, 4, 6, 8]), 0.181818, rel_tol=0.001)
assert math.isclose(zero_count([2, 1, 2, -1, -5, 6, 4, -3, -2, 3, 4, 6, 8]), 0.00, rel_tol=0.001)
assert math.isclose(zero_count([2, 4, -6, -9, 11, -12, 14, -5, 17]), 0.00, rel_tol=0.001)
```</t>
  </si>
  <si>
    <t>import math
def zero_count(arr):
    total_elements = len(arr)
    zero_elements = arr.count(0)
    return round(zero_elements / total_elements, 6)
# Test cases
assert math.isclose(zero_count([0, 1, 2, -1, -5, 6, 0, -3, -2, 3, 4, 6, 8]), 0.181818, rel_tol=0.001)
assert math.isclose(zero_count([2, 1, 2, -1, -5, 6, 4, -3, -2, 3, 4, 6, 8]), 0.00, rel_tol=0.001)
assert math.isclose(zero_count([2, 4, -6, -9, 11, -12, 14, -5, 17]), 0.00, rel_tol=0.001)</t>
  </si>
  <si>
    <t xml:space="preserve">
def sum_squares(lst):
    """"
    This function will take a list of integers. For all entries in the list, the function shall square the integer entry if its index is a 
    multiple of 3 and will cube the integer entry if its index is a multiple of 4 and not a multiple of 3. The function will not 
    change the entries in the list whose indexes are not a multiple of 3 or 4. The function shall then return the sum of all entries. 
    Examples:
    For lst = [1,2,3] the output should be 6
    For lst = []  the output should be 0
    For lst = [-1,-5,2,-1,-5]  the output should be -126
    """
</t>
  </si>
  <si>
    <t>```python
def sum_squares(lst):
    total = 0
    for i, num in enumerate(lst):
        if i % 3 == 0:
            total += num ** 2
        elif i % 4 == 0:
            total += num ** 3
        else:
            total += num
    return total
```</t>
  </si>
  <si>
    <t>def sum_squares(lst):
    total = 0
    for i, num in enumerate(lst):
        if i % 3 == 0:
            total += num ** 2
        elif i % 4 == 0:
            total += num ** 3
        else:
            total += num
    return total</t>
  </si>
  <si>
    <t>HumanEval/143</t>
  </si>
  <si>
    <t>t=13|entropy=1.3570|tok='_elements' ; t=12|entropy=1.3326|tok=' total' ; t=9|entropy=1.0751|tok='(arr' ; t=38|entropy=1.0249|tok='6' ; t=29|entropy=1.0120|tok=' round' ; t=19|entropy=0.9339|tok=' zero' ; t=39|entropy=0.9239|tok=')\\n\\n' ; t=0|entropy=0.8751|tok='```' ; t=28|entropy=0.8180|tok=' return' ; t=20|entropy=0.7957|tok='_elements'</t>
  </si>
  <si>
    <t>t=20|margin=0.1562|tok='_elements' ; t=29|margin=0.1676|tok=' round' ; t=13|margin=0.2500|tok='_elements' ; t=0|margin=0.7969|tok='```' ; t=19|margin=1.0511|tok=' zero' ; t=39|margin=1.0923|tok=')\\n\\n' ; t=9|margin=1.1406|tok='(arr' ; t=12|margin=1.4375|tok=' total' ; t=223|margin=1.4375|tok='```' ; t=28|margin=1.4844|tok=' return'</t>
  </si>
  <si>
    <t xml:space="preserve">
def words_in_sentence(sentence):
    """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
</t>
  </si>
  <si>
    <t>```python
from sympy import isprime
def words_in_sentence(sentence):
    words = sentence.split()
    prime_length_words = [word for word in words if isprime(len(word))]
    return ' '.join(prime_length_words)
```</t>
  </si>
  <si>
    <t>from sympy import isprime
def words_in_sentence(sentence):
    words = sentence.split()
    prime_length_words = [word for word in words if isprime(len(word))]
    return ' '.join(prime_length_words)</t>
  </si>
  <si>
    <t>{'type': 'RuntimeError', 'message': 'AssertionError', 'stderr_tail': 'Traceback (most recent call last):\n  File "/tmp/tmpn178wse1/candidate_eval.py", line 9, in &lt;module&gt;\n    assert math.isclose(zero_count([0, 1, 2, -1, -5, 6, 0, -3, -2, 3, 4, 6, 8]), 0.181818, rel_tol=0.001)\n           ^^^^^^^^^^^^^^^^^^^^^^^^^^^^^^^^^^^^^^^^^^^^^^^^^^^^^^^^^^^^^^^^^^^^^^^^^^^^^^^^^^^^^^^^^^^^^^\nAssertionError\n', 'stdout_tail': ''}</t>
  </si>
  <si>
    <t>mbpp_138</t>
  </si>
  <si>
    <t xml:space="preserve">Traceback (most recent call last):
  File "/tmp/tmp3ftw420f/candidate_eval.py", line 16, in &lt;module&gt;
    assert is_Sum_Of_Powers_Of_Two(7) == False
           ^^^^^^^^^^^^^^^^^^^^^^^^^^^^^^^^^^^
AssertionError
</t>
  </si>
  <si>
    <t>Write a python function to check whether the given number can be represented as sum of non-zero powers of 2 or not.</t>
  </si>
  <si>
    <t xml:space="preserve">&lt;|im_start|&gt;system
You are an expert Python competitive programmer.&lt;|im_end|&gt;
&lt;|im_start|&gt;user
Solve the following Python programming task. Return only valid Python code. Do not use Markdown. Do not explain.Task:Write a python function to check whether the given number can be represented as sum of non-zero powers of 2 or not.Required tests include:assert is_Sum_Of_Powers_Of_Two(10) == Trueassert is_Sum_Of_Powers_Of_Two(7) == Falseassert is_Sum_Of_Powers_Of_Two(14) == True&lt;|im_end|&gt;
&lt;|im_start|&gt;assistant
</t>
  </si>
  <si>
    <t>```python
def is_Sum_Of_Powers_Of_Two(n): 
    if (n &lt; 1): 
        return False
    while (n != 0): 
        if (n % 2 == 0): 
            n = n // 2
        else: 
            n = n - 1
            if (n % 2 == 0): 
                n = n // 2
            else: 
                return False
    return True
```</t>
  </si>
  <si>
    <t>def is_Sum_Of_Powers_Of_Two(n): 
    if (n &lt; 1): 
        return False
    while (n != 0): 
        if (n % 2 == 0): 
            n = n // 2
        else: 
            n = n - 1
            if (n % 2 == 0): 
                n = n // 2
            else: 
                return False
    return True</t>
  </si>
  <si>
    <t>HumanEval/144</t>
  </si>
  <si>
    <t xml:space="preserve">
def simplify(x, n):
    """Your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
</t>
  </si>
  <si>
    <t>```python
def simplify(x, n):
    num_x, den_x = map(int, x.split('/'))
    num_n, den_n = map(int, n.split('/'))
    return (num_x * num_n) % (den_x * den_n) == 0
```</t>
  </si>
  <si>
    <t>def simplify(x, n):
    num_x, den_x = map(int, x.split('/'))
    num_n, den_n = map(int, n.split('/'))
    return (num_x * num_n) % (den_x * den_n) == 0</t>
  </si>
  <si>
    <t>t=19|entropy=1.5465|tok=' &lt;' ; t=16|entropy=1.4664|tok=' if' ; t=27|entropy=1.1519|tok='\\n' ; t=36|entropy=0.8454|tok=' \\n' ; t=73|entropy=0.8054|tok=' %' ; t=13|entropy=0.7995|tok='):' ; t=100|entropy=0.7846|tok='\\n' ; t=23|entropy=0.7609|tok=' \\n' ; t=82|entropy=0.7470|tok=' n' ; t=21|entropy=0.7332|tok='1'</t>
  </si>
  <si>
    <t>t=69|margin=0.0568|tok='           ' ; t=19|margin=0.1562|tok=' &lt;' ; t=34|margin=0.2273|tok='0' ; t=39|margin=0.2514|tok=' (' ; t=63|margin=0.2912|tok=' =' ; t=100|margin=0.3054|tok='\\n' ; t=13|margin=0.3125|tok='):' ; t=36|margin=0.4304|tok=' \\n' ; t=17|margin=0.5781|tok=' (' ; t=52|margin=0.7102|tok=' n'</t>
  </si>
  <si>
    <t>{'type': 'RuntimeError', 'message': 'AssertionError', 'stderr_tail': 'Traceback (most recent call last):\n  File "/tmp/tmp3ftw420f/candidate_eval.py", line 16, in &lt;module&gt;\n    assert is_Sum_Of_Powers_Of_Two(7) == False\n           ^^^^^^^^^^^^^^^^^^^^^^^^^^^^^^^^^^^\nAssertionError\n', 'stdout_tail': ''}</t>
  </si>
  <si>
    <t>HumanEval/145</t>
  </si>
  <si>
    <t>mbpp_139</t>
  </si>
  <si>
    <t>{'type': 'RuntimeError', 'message': 'AssertionError', 'stderr_tail': 'Traceback (most recent call last):\n  File "/tmp/tmp1hvhmp65/candidate_eval.py", line 31, in &lt;module&gt;\n    check(order_by_points)\n  File "/tmp/tmp1hvhmp65/candidate_eval.py", line 19, in check\n    assert candidate([1, 11, -1, -11, -12]) == [-1, -11, 1, -12, 11]\n           ^^^^^^^^^^^^^^^^^^^^^^^^^^^^^^^^^^^^^^^^^^^^^^^^^^^^^^^^^\nAssertionError\n', 'stdout_tail': ''}</t>
  </si>
  <si>
    <t>Write a function to find the circumference of a circle.</t>
  </si>
  <si>
    <t xml:space="preserve">
def order_by_points(nums):
    """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
</t>
  </si>
  <si>
    <t>```python
def order_by_points(nums):
    return sorted(nums, key=lambda x: (sum(int(digit) for digit in str(abs(x))), nums.index(x)))
```</t>
  </si>
  <si>
    <t>def order_by_points(nums):
    return sorted(nums, key=lambda x: (sum(int(digit) for digit in str(abs(x))), nums.index(x)))</t>
  </si>
  <si>
    <t xml:space="preserve">&lt;|im_start|&gt;system
You are an expert Python competitive programmer.&lt;|im_end|&gt;
&lt;|im_start|&gt;user
Solve the following Python programming task. Return only valid Python code. Do not use Markdown. Do not explain.Task:Write a function to find the circumference of a circle.Required tests include:assert math.isclose(circle_circumference(10), 62.830000000000005, rel_tol=0.001)assert math.isclose(circle_circumference(5), 31.415000000000003, rel_tol=0.001)assert math.isclose(circle_circumference(4), 25.132, rel_tol=0.001)&lt;|im_end|&gt;
&lt;|im_start|&gt;assistant
</t>
  </si>
  <si>
    <t>```python
import math
def circle_circumference(radius):
    return 2 * math.pi * radius
```</t>
  </si>
  <si>
    <t>import math
def circle_circumference(radius):
    return 2 * math.pi * radius</t>
  </si>
  <si>
    <t>HumanEval/146</t>
  </si>
  <si>
    <t xml:space="preserve">
def specialFilter(nums):
    """Write a function that takes an array of numbers as input and returns 
    the number of elements in the array that are greater than 10 and both 
    first and last digits of a number are odd (1, 3, 5, 7, 9).
    For example:
    specialFilter([15, -73, 14, -15]) =&gt; 1 
    specialFilter([33, -2, -3, 45, 21, 109]) =&gt; 2
    """
</t>
  </si>
  <si>
    <t>```python
def specialFilter(nums):
    count = 0
    for num in nums:
        if num &gt; 10:
            str_num = str(num)
            if int(str_num[0]) % 2 != 0 and int(str_num[-1]) % 2 != 0:
                count += 1
    return count
```</t>
  </si>
  <si>
    <t>def specialFilter(nums):
    count = 0
    for num in nums:
        if num &gt; 10:
            str_num = str(num)
            if int(str_num[0]) % 2 != 0 and int(str_num[-1]) % 2 != 0:
                count += 1
    return count</t>
  </si>
  <si>
    <t>t=0|entropy=0.8578|tok='```' ; t=15|entropy=0.6097|tok=' return' ; t=23|entropy=0.5954|tok='\\n' ; t=24|entropy=0.1700|tok='```' ; t=12|entropy=0.1307|tok='(radius' ; t=14|entropy=0.0532|tok='   ' ; t=19|entropy=0.0388|tok=' math' ; t=16|entropy=0.0306|tok=' ' ; t=5|entropy=0.0207|tok='\\n\\n' ; t=3|entropy=0.0167|tok='import'</t>
  </si>
  <si>
    <t>t=0|margin=0.0625|tok='```' ; t=23|margin=1.0227|tok='\\n' ; t=15|margin=1.1250|tok=' return' ; t=24|margin=3.2031|tok='```' ; t=12|margin=3.6406|tok='(radius' ; t=14|margin=4.7685|tok='   ' ; t=19|margin=5.8295|tok=' math' ; t=16|margin=6.1790|tok=' ' ; t=3|margin=6.6719|tok='import' ; t=5|margin=6.9062|tok='\\n\\n'</t>
  </si>
  <si>
    <t>mbpp_140</t>
  </si>
  <si>
    <t>Write a function to flatten the list of lists into a single set of numbers.</t>
  </si>
  <si>
    <t xml:space="preserve">&lt;|im_start|&gt;system
You are an expert Python competitive programmer.&lt;|im_end|&gt;
&lt;|im_start|&gt;user
Solve the following Python programming task. Return only valid Python code. Do not use Markdown. Do not explain.Task:Write a function to flatten the list of lists into a single set of numbers.Required tests include:assert set(extract_singly([(3, 4, 5), (4, 5, 7), (1, 4)])) == set([3, 4, 5, 7, 1])assert set(extract_singly([(1, 2, 3), (4, 2, 3), (7, 8)])) == set([1, 2, 3, 4, 7, 8])assert set(extract_singly([(7, 8, 9), (10, 11, 12), (10, 11)])) == set([7, 8, 9, 10, 11, 12])&lt;|im_end|&gt;
&lt;|im_start|&gt;assistant
</t>
  </si>
  <si>
    <t>```python
def extract_singly(test_list):
    # Flatten the list of lists and convert it to a set
    res = set(num for sublist in test_list for num in sublist)
    return res
```</t>
  </si>
  <si>
    <t>def extract_singly(test_list):
    # Flatten the list of lists and convert it to a set
    res = set(num for sublist in test_list for num in sublist)
    return res</t>
  </si>
  <si>
    <t>HumanEval/147</t>
  </si>
  <si>
    <t xml:space="preserve">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t>
  </si>
  <si>
    <t>```python
def get_max_triples(n):
    a = [i * i - i + 1 for i in range(1, n + 1)]
    count = 0
    for i in range(n):
        for j in range(i + 1, n):
            for k in range(j + 1, n):
                if (a[i] + a[j] + a[k]) % 3 == 0:
                    count += 1
    return count
```</t>
  </si>
  <si>
    <t>def get_max_triples(n):
    a = [i * i - i + 1 for i in range(1, n + 1)]
    count = 0
    for i in range(n):
        for j in range(i + 1, n):
            for k in range(j + 1, n):
                if (a[i] + a[j] + a[k]) % 3 == 0:
                    count += 1
    return count</t>
  </si>
  <si>
    <t>t=28|entropy=1.9598|tok='(num' ; t=7|entropy=1.8911|tok='(test' ; t=12|entropy=0.8854|tok=' Flatten' ; t=0|entropy=0.8427|tok='```' ; t=23|entropy=0.7322|tok='\\n' ; t=17|entropy=0.6242|tok=' and' ; t=11|entropy=0.6229|tok=' #' ; t=42|entropy=0.5078|tok='\\n' ; t=27|entropy=0.4822|tok=' set' ; t=25|entropy=0.4435|tok=' res'</t>
  </si>
  <si>
    <t>t=0|margin=0.4219|tok='```' ; t=7|margin=0.4531|tok='(test' ; t=28|margin=0.5156|tok='(num' ; t=17|margin=1.2500|tok=' and' ; t=23|margin=1.3636|tok='\\n' ; t=42|margin=1.4233|tok='\\n' ; t=11|margin=1.5781|tok=' #' ; t=27|margin=1.5994|tok=' set' ; t=12|margin=1.7500|tok=' Flatten' ; t=30|margin=2.1406|tok=' sublist'</t>
  </si>
  <si>
    <t>HumanEval/148</t>
  </si>
  <si>
    <t>mbpp_141</t>
  </si>
  <si>
    <t xml:space="preserve">
def bf(planet1, planet2):
    '''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
</t>
  </si>
  <si>
    <t>```python
def bf(planet1, planet2):
    planets = ["Mercury", "Venus", "Earth", "Mars", "Jupiter", "Saturn", "Uranus", "Neptune"]
    try:
        index1 = planets.index(planet1)
        index2 = planets.index(planet2)
    except ValueError:
        return ()
    start, end = sorted([index1, index2])
    return tuple(planets[start + 1:end])
```</t>
  </si>
  <si>
    <t>def bf(planet1, planet2):
    planets = ["Mercury", "Venus", "Earth", "Mars", "Jupiter", "Saturn", "Uranus", "Neptune"]
    try:
        index1 = planets.index(planet1)
        index2 = planets.index(planet2)
    except ValueError:
        return ()
    start, end = sorted([index1, index2])
    return tuple(planets[start + 1:end])</t>
  </si>
  <si>
    <t xml:space="preserve">&lt;|im_start|&gt;system
You are an expert Python competitive programmer.&lt;|im_end|&gt;
&lt;|im_start|&gt;user
Solve the following Python programming task. Return only valid Python code. Do not use Markdown. Do not explain.Task:Write a function to sort a list of elements.Required tests include:assert pancake_sort([15, 79, 25, 38, 69]) == [15, 25, 38, 69, 79]assert pancake_sort([98, 12, 54, 36, 85]) == [12, 36, 54, 85, 98]assert pancake_sort([41, 42, 32, 12, 23]) == [12, 23, 32, 41, 42]&lt;|im_end|&gt;
&lt;|im_start|&gt;assistant
</t>
  </si>
  <si>
    <t>```python
def flip(arr, i):
    start = 0
    while start &lt; i:
        arr[start], arr[i] = arr[i], arr[start]
        start += 1
        i -= 1
def find_max_index(arr, n):
    max_idx = 0
    for i in range(1, n):
        if arr[i] &gt; arr[max_idx]:
            max_idx = i
    return max_idx
def pancake_sort(arr):
    arr_len = len(arr)
    while arr_len &gt; 1:
        max_idx = find_max_index(arr, arr_len)
        if max_idx != arr_len - 1:
            flip(arr, max_idx)
            flip(arr, arr_len - 1)
        arr_len -= 1
    return arr
```</t>
  </si>
  <si>
    <t>def flip(arr, i):
    start = 0
    while start &lt; i:
        arr[start], arr[i] = arr[i], arr[start]
        start += 1
        i -= 1
def find_max_index(arr, n):
    max_idx = 0
    for i in range(1, n):
        if arr[i] &gt; arr[max_idx]:
            max_idx = i
    return max_idx
def pancake_sort(arr):
    arr_len = len(arr)
    while arr_len &gt; 1:
        max_idx = find_max_index(arr, arr_len)
        if max_idx != arr_len - 1:
            flip(arr, max_idx)
            flip(arr, arr_len - 1)
        arr_len -= 1
    return arr</t>
  </si>
  <si>
    <t>HumanEval/149</t>
  </si>
  <si>
    <t xml:space="preserve">
def sorted_list_sum(lst):
    """Write a function that accepts a list of strings as a parameter,
    deletes the strings that have odd lengths from it,
    and returns the resulted list with a sorted order,
    The list is always a list of strings and never an array of numbers,
    and it may contain duplicates.
    The order of the list should be ascending by length of each word, and you
    should return the list sorted by that rule.
    If two words have the same length, sort the list alphabetically.
    The function should return a list of strings in sorted order.
    You may assume that all words will have the same length.
    For example:
    assert list_sort(["aa", "a", "aaa"]) =&gt; ["aa"]
    assert list_sort(["ab", "a", "aaa", "cd"]) =&gt; ["ab", "cd"]
    """
</t>
  </si>
  <si>
    <t>```python
def sorted_list_sum(lst):
    even_length_words = [word for word in lst if len(word) % 2 == 0]
    return sorted(even_length_words, key=lambda x: (len(x), x))
```</t>
  </si>
  <si>
    <t>def sorted_list_sum(lst):
    even_length_words = [word for word in lst if len(word) % 2 == 0]
    return sorted(even_length_words, key=lambda x: (len(x), x))</t>
  </si>
  <si>
    <t>t=10|entropy=1.6144|tok=' start' ; t=100|entropy=1.3797|tok=' arr' ; t=53|entropy=1.0254|tok=' n' ; t=56|entropy=0.9984|tok=' max' ; t=48|entropy=0.8300|tok=' find' ; t=57|entropy=0.8042|tok='_idx' ; t=116|entropy=0.7865|tok='_idx' ; t=0|entropy=0.7691|tok='```' ; t=115|entropy=0.7014|tok=' max' ; t=125|entropy=0.6851|tok=')\\n'</t>
  </si>
  <si>
    <t>t=10|margin=0.2188|tok=' start' ; t=48|margin=0.2188|tok=' find' ; t=125|margin=0.3665|tok=')\\n' ; t=100|margin=0.4190|tok=' arr' ; t=68|margin=0.4261|tok='1' ; t=164|margin=0.5966|tok='\\n' ; t=57|margin=0.6946|tok='_idx' ; t=116|margin=0.7955|tok='_idx' ; t=7|margin=0.9219|tok=' i' ; t=107|margin=0.9659|tok=' while'</t>
  </si>
  <si>
    <t>mbpp_142</t>
  </si>
  <si>
    <t>Write a function to count number items that are identical in the same position of three given lists.</t>
  </si>
  <si>
    <t xml:space="preserve">&lt;|im_start|&gt;system
You are an expert Python competitive programmer.&lt;|im_end|&gt;
&lt;|im_start|&gt;user
Solve the following Python programming task. Return only valid Python code. Do not use Markdown. Do not explain.Task:Write a function to count number items that are identical in the same position of three given lists.Required tests include:assert count_samepair([1,2,3,4,5,6,7,8],[2,2,3,1,2,6,7,9],[2,1,3,1,2,6,7,9])==3assert count_samepair([1,2,3,4,5,6,7,8],[2,2,3,1,2,6,7,8],[2,1,3,1,2,6,7,8])==4assert count_samepair([1,2,3,4,2,6,7,8],[2,2,3,1,2,6,7,8],[2,1,3,1,2,6,7,8])==5&lt;|im_end|&gt;
&lt;|im_start|&gt;assistant
</t>
  </si>
  <si>
    <t>HumanEval/150</t>
  </si>
  <si>
    <t>```python
def count_samepair(nums1, nums2, nums3):
    # Use zip to iterate over all three lists simultaneously and count where elements match
    return sum(x == y == z for x, y, z in zip(nums1, nums2, nums3))
```</t>
  </si>
  <si>
    <t>def count_samepair(nums1, nums2, nums3):
    # Use zip to iterate over all three lists simultaneously and count where elements match
    return sum(x == y == z for x, y, z in zip(nums1, nums2, nums3))</t>
  </si>
  <si>
    <t xml:space="preserve">
def x_or_y(n, x, y):
    """A simple program which should return the value of x if n is 
    a prime number and should return the value of y otherwise.
    Examples:
    for x_or_y(7, 34, 12) == 34
    for x_or_y(15, 8, 5) == 5
    """
</t>
  </si>
  <si>
    <t>```python
import math
def x_or_y(n, x, y):
    if n &lt;= 1:
        return y
    for i in range(2, int(math.sqrt(n)) + 1):
        if n % i == 0:
            return y
    return x
```</t>
  </si>
  <si>
    <t>import math
def x_or_y(n, x, y):
    if n &lt;= 1:
        return y
    for i in range(2, int(math.sqrt(n)) + 1):
        if n % i == 0:
            return y
    return x</t>
  </si>
  <si>
    <t>t=29|entropy=2.1296|tok=' where' ; t=36|entropy=1.9686|tok='(x' ; t=17|entropy=1.5717|tok=' #' ; t=7|entropy=1.4089|tok='(nums' ; t=30|entropy=1.2269|tok=' elements' ; t=19|entropy=1.1825|tok=' zip' ; t=32|entropy=1.1271|tok='\\n' ; t=23|entropy=1.0608|tok=' all' ; t=31|entropy=0.8215|tok=' match' ; t=28|entropy=0.7904|tok=' count'</t>
  </si>
  <si>
    <t>HumanEval/151</t>
  </si>
  <si>
    <t>t=36|margin=0.2031|tok='(x' ; t=29|margin=0.4375|tok=' where' ; t=17|margin=0.4688|tok=' #' ; t=30|margin=0.7045|tok=' elements' ; t=28|margin=0.7188|tok=' count' ; t=31|margin=0.7188|tok=' match' ; t=0|margin=1.2344|tok='```' ; t=27|margin=1.3764|tok=' and' ; t=18|margin=1.4688|tok=' Use' ; t=23|margin=1.4801|tok=' all'</t>
  </si>
  <si>
    <t xml:space="preserve">
def double_the_difference(lst):
    '''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
</t>
  </si>
  <si>
    <t>```python
def double_the_difference(lst):
    return sum(x**2 for x in lst if isinstance(x, int) and x &gt;= 0 and x % 2 != 0)
```</t>
  </si>
  <si>
    <t>def double_the_difference(lst):
    return sum(x**2 for x in lst if isinstance(x, int) and x &gt;= 0 and x % 2 != 0)</t>
  </si>
  <si>
    <t>mbpp_143</t>
  </si>
  <si>
    <t xml:space="preserve">Traceback (most recent call last):
  File "/tmp/tmpruppptyo/candidate_eval.py", line 8, in &lt;module&gt;
    assert find_lists(([9, 8, 7, 6, 5, 4, 3, 2, 1])) == 1
           ^^^^^^^^^^^^^^^^^^^^^^^^^^^^^^^^^^^^^^^^^^^^^^
AssertionError
</t>
  </si>
  <si>
    <t>Write a function to find number of lists present in the given tuple.</t>
  </si>
  <si>
    <t xml:space="preserve">&lt;|im_start|&gt;system
You are an expert Python competitive programmer.&lt;|im_end|&gt;
&lt;|im_start|&gt;user
Solve the following Python programming task. Return only valid Python code. Do not use Markdown. Do not explain.Task:Write a function to find number of lists present in the given tuple.Required tests include:assert find_lists(([1, 2, 3, 4], [5, 6, 7, 8])) == 2assert find_lists(([1, 2], [3, 4], [5, 6]))  == 3assert find_lists(([9, 8, 7, 6, 5, 4, 3, 2, 1])) == 1&lt;|im_end|&gt;
&lt;|im_start|&gt;assistant
</t>
  </si>
  <si>
    <t>```python
def find_lists(test_tup):
    res = sum(isinstance(ele, list) for ele in test_tup)
    return res
# Test cases
assert find_lists(([1, 2, 3, 4], [5, 6, 7, 8])) == 2
assert find_lists(([1, 2], [3, 4], [5, 6])) == 3
assert find_lists(([9, 8, 7, 6, 5, 4, 3, 2, 1])) == 1
```</t>
  </si>
  <si>
    <t>def find_lists(test_tup):
    res = sum(isinstance(ele, list) for ele in test_tup)
    return res
# Test cases
assert find_lists(([1, 2, 3, 4], [5, 6, 7, 8])) == 2
assert find_lists(([1, 2], [3, 4], [5, 6])) == 3
assert find_lists(([9, 8, 7, 6, 5, 4, 3, 2, 1])) == 1</t>
  </si>
  <si>
    <t>HumanEval/152</t>
  </si>
  <si>
    <t xml:space="preserve">
def compare(game,guess):
    """I think we all remember that feeling when the result of some long-awaited
    event is finally known. The feelings and thoughts you have at that moment are
    definitely worth noting down and comparing.
    Your task is to determine if a person correctly guessed the results of a number of matches.
    You are given two arrays of scores and guesses of equal length, where each index shows a match. 
    Return an array of the same length denoting how far off each guess was. If they have guessed correctly,
    the value is 0, and if not, the value is the absolute difference between the guess and the score.
    example:
    compare([1,2,3,4,5,1],[1,2,3,4,2,-2]) -&gt; [0,0,0,0,3,3]
    compare([0,5,0,0,0,4],[4,1,1,0,0,-2]) -&gt; [4,4,1,0,0,6]
    """
</t>
  </si>
  <si>
    <t>```python
def compare(game, guess):
    return [abs(g - s) for g, s in zip(guess, game)]
```</t>
  </si>
  <si>
    <t>def compare(game, guess):
    return [abs(g - s) for g, s in zip(guess, game)]</t>
  </si>
  <si>
    <t>t=6|entropy=1.1598|tok='(test' ; t=0|entropy=0.7737|tok='```' ; t=15|entropy=0.7062|tok='(ele' ; t=122|entropy=0.6818|tok='1' ; t=11|entropy=0.6552|tok=' res' ; t=29|entropy=0.6012|tok='\\n\\n' ; t=86|entropy=0.5487|tok=' ==' ; t=13|entropy=0.5278|tok=' sum' ; t=7|entropy=0.3914|tok='_t' ; t=124|entropy=0.1690|tok='```'</t>
  </si>
  <si>
    <t>t=122|margin=0.3054|tok='1' ; t=0|margin=0.6562|tok='```' ; t=11|margin=1.1562|tok=' res' ; t=29|margin=1.1662|tok='\\n\\n' ; t=86|margin=1.2926|tok=' ==' ; t=6|margin=1.7188|tok='(test' ; t=15|margin=1.8594|tok='(ele' ; t=13|margin=2.0156|tok=' sum' ; t=7|margin=2.6719|tok='_t' ; t=124|margin=3.1875|tok='```'</t>
  </si>
  <si>
    <t>{'type': 'RuntimeError', 'message': 'AssertionError', 'stderr_tail': 'Traceback (most recent call last):\n  File "/tmp/tmpruppptyo/candidate_eval.py", line 8, in &lt;module&gt;\n    assert find_lists(([9, 8, 7, 6, 5, 4, 3, 2, 1])) == 1\n           ^^^^^^^^^^^^^^^^^^^^^^^^^^^^^^^^^^^^^^^^^^^^^^\nAssertionError\n', 'stdout_tail': ''}</t>
  </si>
  <si>
    <t>mbpp_145</t>
  </si>
  <si>
    <t>HumanEval/153</t>
  </si>
  <si>
    <t>Write a python function to find the maximum difference between any two elements in a given array.</t>
  </si>
  <si>
    <t xml:space="preserve">&lt;|im_start|&gt;system
You are an expert Python competitive programmer.&lt;|im_end|&gt;
&lt;|im_start|&gt;user
Solve the following Python programming task. Return only valid Python code. Do not use Markdown. Do not explain.Task:Write a python function to find the maximum difference between any two elements in a given array.Required tests include:assert max_Abs_Diff((2,1,5,3)) == 4assert max_Abs_Diff((9,3,2,5,1)) == 8assert max_Abs_Diff((3,2,1)) == 2&lt;|im_end|&gt;
&lt;|im_start|&gt;assistant
</t>
  </si>
  <si>
    <t xml:space="preserve">
def Strongest_Extension(class_name, extensions):
    """You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
</t>
  </si>
  <si>
    <t>```python
def max_Abs_Diff(arr):
    # Find the minimum and maximum elements in the array
    min_element = min(arr)
    max_element = max(arr)
    # Calculate the absolute difference between the maximum and minimum elements
    return abs(max_element - min_element)
# Test cases
assert max_Abs_Diff((2, 1, 5, 3)) == 4
assert max_Abs_Diff((9, 3, 2, 5, 1)) == 8
assert max_Abs_Diff((3, 2, 1)) == 2
```</t>
  </si>
  <si>
    <t>```python
def Strongest_Extension(class_name, extensions):
    max_strength = float('-inf')
    strongest_extension = ''
    for extension in extensions:
        cap = sum(1 for c in extension if c.isupper())
        sm = sum(1 for c in extension if c.islower())
        strength = cap - sm
        if strength &gt; max_strength:
            max_strength = strength
            strongest_extension = extension
    return f'{class_name}.{strongest_extension}'
```</t>
  </si>
  <si>
    <t>def max_Abs_Diff(arr):
    # Find the minimum and maximum elements in the array
    min_element = min(arr)
    max_element = max(arr)
    # Calculate the absolute difference between the maximum and minimum elements
    return abs(max_element - min_element)
# Test cases
assert max_Abs_Diff((2, 1, 5, 3)) == 4
assert max_Abs_Diff((9, 3, 2, 5, 1)) == 8
assert max_Abs_Diff((3, 2, 1)) == 2</t>
  </si>
  <si>
    <t>def Strongest_Extension(class_name, extensions):
    max_strength = float('-inf')
    strongest_extension = ''
    for extension in extensions:
        cap = sum(1 for c in extension if c.isupper())
        sm = sum(1 for c in extension if c.islower())
        strength = cap - sm
        if strength &gt; max_strength:
            max_strength = strength
            strongest_extension = extension
    return f'{class_name}.{strongest_extension}'</t>
  </si>
  <si>
    <t>HumanEval/154</t>
  </si>
  <si>
    <t>t=9|entropy=1.4635|tok='(arr' ; t=13|entropy=1.3407|tok=' Find' ; t=24|entropy=1.2266|tok=' min' ; t=12|entropy=0.9750|tok=' #' ; t=46|entropy=0.8927|tok=' maximum' ; t=25|entropy=0.8404|tok='_element' ; t=18|entropy=0.7974|tok=' elements' ; t=52|entropy=0.7678|tok=' return' ; t=15|entropy=0.7358|tok=' minimum' ; t=0|entropy=0.7000|tok='```'</t>
  </si>
  <si>
    <t xml:space="preserve">
def cycpattern_check(a , b):
    """You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
</t>
  </si>
  <si>
    <t>```python
def cycpattern_check(a, b):
    for i in range(len(b)):
        rotated_b = b[i:] + b[:i]
        if rotated_b in a:
            return True
    return False
```</t>
  </si>
  <si>
    <t>t=15|margin=0.3622|tok=' minimum' ; t=13|margin=0.4844|tok=' Find' ; t=46|margin=0.8239|tok=' maximum' ; t=18|margin=1.0142|tok=' elements' ; t=0|margin=1.0156|tok='```' ; t=25|margin=1.0312|tok='_element' ; t=9|margin=1.0469|tok='(arr' ; t=59|margin=1.1577|tok=')\\n\\n' ; t=73|margin=1.2216|tok=' ' ; t=37|margin=1.3551|tok='    \\n'</t>
  </si>
  <si>
    <t>def cycpattern_check(a, b):
    for i in range(len(b)):
        rotated_b = b[i:] + b[:i]
        if rotated_b in a:
            return True
    return False</t>
  </si>
  <si>
    <t>mbpp_160</t>
  </si>
  <si>
    <t>Write a function that returns integers x and y that satisfy ax + by = n as a tuple, or return None if no solution exists.</t>
  </si>
  <si>
    <t xml:space="preserve">&lt;|im_start|&gt;system
You are an expert Python competitive programmer.&lt;|im_end|&gt;
&lt;|im_start|&gt;user
Solve the following Python programming task. Return only valid Python code. Do not use Markdown. Do not explain.Task:Write a function that returns integers x and y that satisfy ax + by = n as a tuple, or return None if no solution exists.Required tests include:assert find_solution(2, 3, 7) == (2, 1)assert find_solution(4, 2, 7) == Noneassert find_solution(1, 13, 17) == (4, 1)&lt;|im_end|&gt;
&lt;|im_start|&gt;assistant
</t>
  </si>
  <si>
    <t>```python
def find_solution(a, b, n):
    for x in range(n // a + 1):
        if (n - a * x) % b == 0:
            y = (n - a * x) // b
            return (x, y)
    return None
```</t>
  </si>
  <si>
    <t>def find_solution(a, b, n):
    for x in range(n // a + 1):
        if (n - a * x) % b == 0:
            y = (n - a * x) // b
            return (x, y)
    return None</t>
  </si>
  <si>
    <t>HumanEval/155</t>
  </si>
  <si>
    <t xml:space="preserve">
def even_odd_count(num):
    """Given an integer. return a tuple that has the number of even and odd digits respectively.
     Example:
        even_odd_count(-12) ==&gt; (1, 1)
        even_odd_count(123) ==&gt; (1, 2)
    """
</t>
  </si>
  <si>
    <t>```python
def even_odd_count(num):
    num = abs(num)
    count_even = sum(1 for digit in str(num) if int(digit) % 2 == 0)
    count_odd = sum(1 for digit in str(num) if int(digit) % 2 != 0)
    return (count_even, count_odd)
```</t>
  </si>
  <si>
    <t>def even_odd_count(num):
    num = abs(num)
    count_even = sum(1 for digit in str(num) if int(digit) % 2 == 0)
    count_odd = sum(1 for digit in str(num) if int(digit) % 2 != 0)
    return (count_even, count_odd)</t>
  </si>
  <si>
    <t>t=13|entropy=1.0216|tok=' for' ; t=0|entropy=0.8265|tok='```' ; t=62|entropy=0.6566|tok='\\n' ; t=29|entropy=0.6275|tok=' a' ; t=54|entropy=0.5405|tok=' (' ; t=17|entropy=0.3173|tok='(n' ; t=4|entropy=0.3043|tok=' find' ; t=40|entropy=0.2220|tok=' y' ; t=63|entropy=0.1959|tok='```' ; t=11|entropy=0.1746|tok='):\\n'</t>
  </si>
  <si>
    <t>t=62|margin=0.5781|tok='\\n' ; t=29|margin=0.7955|tok=' a' ; t=0|margin=0.8125|tok='```' ; t=54|margin=1.2358|tok=' (' ; t=13|margin=1.7003|tok=' for' ; t=40|margin=2.7983|tok=' y' ; t=63|margin=2.9986|tok='```' ; t=4|margin=3.1477|tok=' find' ; t=17|margin=3.1562|tok='(n' ; t=11|margin=3.1719|tok='):\\n'</t>
  </si>
  <si>
    <t>mbpp_161</t>
  </si>
  <si>
    <t>HumanEval/156</t>
  </si>
  <si>
    <t>Write a function to remove all elements from a given list present in another list.</t>
  </si>
  <si>
    <t xml:space="preserve">
def int_to_mini_roman(number):
    """
    Given a positive integer, obtain its roman numeral equivalent as a string,
    and return it in lowercase.
    Restrictions: 1 &lt;= num &lt;= 1000
    Examples:
    &gt;&gt;&gt; int_to_mini_roman(19) == 'xix'
    &gt;&gt;&gt; int_to_mini_roman(152) == 'clii'
    &gt;&gt;&gt; int_to_mini_roman(426) == 'cdxxvi'
    """
</t>
  </si>
  <si>
    <t xml:space="preserve">&lt;|im_start|&gt;system
You are an expert Python competitive programmer.&lt;|im_end|&gt;
&lt;|im_start|&gt;user
Solve the following Python programming task. Return only valid Python code. Do not use Markdown. Do not explain.Task:Write a function to remove all elements from a given list present in another list.Required tests include:assert remove_elements([1, 2, 3, 4, 5, 6, 7, 8, 9, 10], [2, 4, 6, 8]) == [1, 3, 5, 7, 9, 10]assert remove_elements([1, 2, 3, 4, 5, 6, 7, 8, 9, 10], [1, 3, 5, 7]) == [2, 4, 6, 8, 9, 10]assert remove_elements([1, 2, 3, 4, 5, 6, 7, 8, 9, 10], [5, 7]) == [1, 2, 3, 4, 6, 8, 9, 10]&lt;|im_end|&gt;
&lt;|im_start|&gt;assistant
</t>
  </si>
  <si>
    <t>```python
def int_to_mini_roman(number):
    val = [
        1000, 900, 500, 400,
        100, 90, 50, 40,
        10, 9, 5, 4,
        1
    ]
    syms = [
        "m", "cm", "d", "cd",
        "c", "xc", "l", "xl",
        "x", "ix", "v", "iv",
        "i"
    ]
    roman_numeral = ''
    i = 0
    while number &gt; 0:
        for _ in range(number // val[i]):
            roman_numeral += syms[i]
            number -= val[i]
        i += 1
    return roman_numeral
```</t>
  </si>
  <si>
    <t>```python
def remove_elements(list1, list2):
    # Use list comprehension to filter out elements of list1 that are present in list2
    return [element for element in list1 if element not in list2]
```</t>
  </si>
  <si>
    <t>def remove_elements(list1, list2):
    # Use list comprehension to filter out elements of list1 that are present in list2
    return [element for element in list1 if element not in list2]</t>
  </si>
  <si>
    <t>def int_to_mini_roman(number):
    val = [
        1000, 900, 500, 400,
        100, 90, 50, 40,
        10, 9, 5, 4,
        1
    ]
    syms = [
        "m", "cm", "d", "cd",
        "c", "xc", "l", "xl",
        "x", "ix", "v", "iv",
        "i"
    ]
    roman_numeral = ''
    i = 0
    while number &gt; 0:
        for _ in range(number // val[i]):
            roman_numeral += syms[i]
            number -= val[i]
        i += 1
    return roman_numeral</t>
  </si>
  <si>
    <t>HumanEval/157</t>
  </si>
  <si>
    <t xml:space="preserve">
def right_angle_triangle(a, b, c):
    '''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
</t>
  </si>
  <si>
    <t>```python
def right_angle_triangle(a, b, c):
    sides = sorted([a, b, c])
    return sides[0]**2 + sides[1]**2 == sides[2]**2
```</t>
  </si>
  <si>
    <t>t=34|entropy=1.7247|tok='element' ; t=6|entropy=1.6182|tok='(list' ; t=14|entropy=1.4703|tok=' Use' ; t=21|entropy=1.2542|tok=' of' ; t=26|entropy=0.9680|tok=' present' ; t=32|entropy=0.8584|tok=' return' ; t=13|entropy=0.7734|tok=' #' ; t=0|entropy=0.7013|tok='```' ; t=23|entropy=0.6641|tok='1' ; t=46|entropy=0.5696|tok=']\\n'</t>
  </si>
  <si>
    <t>def right_angle_triangle(a, b, c):
    sides = sorted([a, b, c])
    return sides[0]**2 + sides[1]**2 == sides[2]**2</t>
  </si>
  <si>
    <t>t=26|margin=0.0852|tok=' present' ; t=32|margin=0.3281|tok=' return' ; t=14|margin=0.3750|tok=' Use' ; t=23|margin=0.4972|tok='1' ; t=21|margin=0.7301|tok=' of' ; t=34|margin=0.8906|tok='element' ; t=0|margin=0.9375|tok='```' ; t=46|margin=1.0781|tok=']\\n' ; t=6|margin=1.2031|tok='(list' ; t=13|margin=1.2031|tok=' #'</t>
  </si>
  <si>
    <t>mbpp_162</t>
  </si>
  <si>
    <t>Write a function to calculate the sum (n - 2*i) from i=0 to n // 2, for instance n + (n-2) + (n-4)... (until n-x =&lt; 0).</t>
  </si>
  <si>
    <t xml:space="preserve">&lt;|im_start|&gt;system
You are an expert Python competitive programmer.&lt;|im_end|&gt;
&lt;|im_start|&gt;user
Solve the following Python programming task. Return only valid Python code. Do not use Markdown. Do not explain.Task:Write a function to calculate the sum (n - 2*i) from i=0 to n // 2, for instance n + (n-2) + (n-4)... (until n-x =&lt; 0).Required tests include:assert sum_series(6) == 12assert sum_series(10) == 30assert sum_series(9) == 25&lt;|im_end|&gt;
&lt;|im_start|&gt;assistant
</t>
  </si>
  <si>
    <t>```python
def sum_series(n):
    return sum(n - 2 * i for i in range(n // 2 + 1))
```</t>
  </si>
  <si>
    <t>def sum_series(n):
    return sum(n - 2 * i for i in range(n // 2 + 1))</t>
  </si>
  <si>
    <t>HumanEval/158</t>
  </si>
  <si>
    <t xml:space="preserve">
def find_max(words):
    """Write a function that accepts a list of strings.
    The list contains different words. Return the word with maximum number
    of unique characters. If multiple strings have maximum number of unique
    characters, return the one which comes first in lexicographical order.
    find_max(["name", "of", "string"]) == "string"
    find_max(["name", "enam", "game"]) == "enam"
    find_max(["aaaaaaa", "bb" ,"cc"]) == ""aaaaaaa"
    """
</t>
  </si>
  <si>
    <t>```python
def find_max(words):
    max_word = ""
    max_unique_chars = 0
    for word in words:
        unique_chars = len(set(word))
        if unique_chars &gt; max_unique_chars or (unique_chars == max_unique_chars and word &lt; max_word):
            max_word = word
            max_unique_chars = unique_chars
    return max_word
```</t>
  </si>
  <si>
    <t>def find_max(words):
    max_word = ""
    max_unique_chars = 0
    for word in words:
        unique_chars = len(set(word))
        if unique_chars &gt; max_unique_chars or (unique_chars == max_unique_chars and word &lt; max_word):
            max_word = word
            max_unique_chars = unique_chars
    return max_word</t>
  </si>
  <si>
    <t>t=9|entropy=1.1533|tok=' return' ; t=28|entropy=1.0914|tok='))\\n' ; t=10|entropy=0.8375|tok=' sum' ; t=0|entropy=0.7663|tok='```' ; t=21|entropy=0.6862|tok='(n' ; t=11|entropy=0.3933|tok='(n' ; t=29|entropy=0.3890|tok='```' ; t=25|entropy=0.3289|tok=' +' ; t=15|entropy=0.1830|tok=' *' ; t=7|entropy=0.1477|tok='):\\n'</t>
  </si>
  <si>
    <t>t=28|margin=0.2031|tok='))\\n' ; t=21|margin=0.5199|tok='(n' ; t=9|margin=0.7344|tok=' return' ; t=10|margin=0.8523|tok=' sum' ; t=0|margin=0.9688|tok='```' ; t=29|margin=2.7784|tok='```' ; t=25|margin=3.0071|tok=' +' ; t=15|margin=3.0668|tok=' *' ; t=11|margin=3.1136|tok='(n' ; t=7|margin=4.1094|tok='):\\n'</t>
  </si>
  <si>
    <t>mbpp_163</t>
  </si>
  <si>
    <t>Write a function to calculate the area of a regular polygon given the length and number of its sides.</t>
  </si>
  <si>
    <t xml:space="preserve">&lt;|im_start|&gt;system
You are an expert Python competitive programmer.&lt;|im_end|&gt;
&lt;|im_start|&gt;user
Solve the following Python programming task. Return only valid Python code. Do not use Markdown. Do not explain.Task:Write a function to calculate the area of a regular polygon given the length and number of its sides.Required tests include:assert math.isclose(area_polygon(4, 20), 400., rel_tol=0.001)assert math.isclose(area_polygon(10, 15), 1731.197, rel_tol=0.001)assert math.isclose(area_polygon(9, 7), 302.909, rel_tol=0.001)&lt;|im_end|&gt;
&lt;|im_start|&gt;assistant
</t>
  </si>
  <si>
    <t>```python
import math
def area_polygon(sides, length):
    # Calculate the area using the formula for a regular polygon
    return (sides * (length ** 2)) / (4 * math.tan(math.pi / sides))
# Test cases
assert math.isclose(area_polygon(4, 20), 400., rel_tol=0.001)
assert math.isclose(area_polygon(10, 15), 1731.197, rel_tol=0.001)
assert math.isclose(area_polygon(9, 7), 302.909, rel_tol=0.001)
```</t>
  </si>
  <si>
    <t>import math
def area_polygon(sides, length):
    # Calculate the area using the formula for a regular polygon
    return (sides * (length ** 2)) / (4 * math.tan(math.pi / sides))
# Test cases
assert math.isclose(area_polygon(4, 20), 400., rel_tol=0.001)
assert math.isclose(area_polygon(10, 15), 1731.197, rel_tol=0.001)
assert math.isclose(area_polygon(9, 7), 302.909, rel_tol=0.001)</t>
  </si>
  <si>
    <t>HumanEval/159</t>
  </si>
  <si>
    <t xml:space="preserve">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t>
  </si>
  <si>
    <t>```python
def eat(number, need, remaining):
    if need &lt;= remaining:
        return [number + need, remaining - need]
    else:
        return [number + remaining, 0]
```</t>
  </si>
  <si>
    <t>def eat(number, need, remaining):
    if need &lt;= remaining:
        return [number + need, remaining - need]
    else:
        return [number + remaining, 0]</t>
  </si>
  <si>
    <t>t=9|entropy=1.1696|tok='(s' ; t=28|entropy=0.8922|tok=' return' ; t=18|entropy=0.8642|tok=' area' ; t=0|entropy=0.8434|tok='```' ; t=10|entropy=0.8320|tok='ides' ; t=33|entropy=0.8250|tok=' (' ; t=50|entropy=0.6918|tok='))\\n\\n' ; t=19|entropy=0.6829|tok=' using' ; t=145|entropy=0.5562|tok='```' ; t=54|entropy=0.5512|tok='\\n'</t>
  </si>
  <si>
    <t>t=50|margin=0.1719|tok='))\\n\\n' ; t=28|margin=0.2713|tok=' return' ; t=19|margin=0.3111|tok=' using' ; t=0|margin=0.4531|tok='```' ; t=33|margin=0.4830|tok=' (' ; t=18|margin=0.8210|tok=' area' ; t=145|margin=1.1349|tok='```' ; t=29|margin=1.4332|tok=' (' ; t=9|margin=1.5156|tok='(s' ; t=10|margin=1.5241|tok='ides'</t>
  </si>
  <si>
    <t>mbpp_164</t>
  </si>
  <si>
    <t xml:space="preserve">Traceback (most recent call last):
  File "/tmp/tmpdrc96por/candidate_eval.py", line 20, in &lt;module&gt;
    assert are_equivalent(23, 47) == True
           ^^^^^^^^^^^^^^^^^^^^^^^^^^^^^^
AssertionError
</t>
  </si>
  <si>
    <t>Write a function to determine if the sum of the divisors of two integers are the same.</t>
  </si>
  <si>
    <t xml:space="preserve">&lt;|im_start|&gt;system
You are an expert Python competitive programmer.&lt;|im_end|&gt;
&lt;|im_start|&gt;user
Solve the following Python programming task. Return only valid Python code. Do not use Markdown. Do not explain.Task:Write a function to determine if the sum of the divisors of two integers are the same.Required tests include:assert are_equivalent(36, 57) == Falseassert are_equivalent(2, 4) == Falseassert are_equivalent(23, 47) == True&lt;|im_end|&gt;
&lt;|im_start|&gt;assistant
</t>
  </si>
  <si>
    <t>```python
def are_equivalent(n1, n2):
    # Helper function to calculate the sum of divisors of a number
    def sum_of_divisors(num):
        total = 0
        for i in range(1, num + 1):
            if num % i == 0:
                total += i
        return total
    # Calculate the sum of divisors for both numbers
    sum_n1 = sum_of_divisors(n1)
    sum_n2 = sum_of_divisors(n2)
    # Compare the sums and return the result
    return sum_n1 == sum_n2
# Test cases
assert are_equivalent(36, 57) == False
assert are_equivalent(2, 4) == False
assert are_equivalent(23, 47) == True
```</t>
  </si>
  <si>
    <t>HumanEval/160</t>
  </si>
  <si>
    <t>def are_equivalent(n1, n2):
    # Helper function to calculate the sum of divisors of a number
    def sum_of_divisors(num):
        total = 0
        for i in range(1, num + 1):
            if num % i == 0:
                total += i
        return total
    # Calculate the sum of divisors for both numbers
    sum_n1 = sum_of_divisors(n1)
    sum_n2 = sum_of_divisors(n2)
    # Compare the sums and return the result
    return sum_n1 == sum_n2
# Test cases
assert are_equivalent(36, 57) == False
assert are_equivalent(2, 4) == False
assert are_equivalent(23, 47) == True</t>
  </si>
  <si>
    <t>{'type': 'RuntimeError', 'message': 'AssertionError', 'stderr_tail': 'Traceback (most recent call last):\n  File "/tmp/tmpybaz_gxk/candidate_eval.py", line 34, in &lt;module&gt;\n    check(do_algebra)\n  File "/tmp/tmpybaz_gxk/candidate_eval.py", line 26, in check\n    assert candidate([\'+\', \'*\', \'-\'], [2, 3, 4, 5]) == 9\n           ^^^^^^^^^^^^^^^^^^^^^^^^^^^^^^^^^^^^^^^^^^^^^\nAssertionError\n', 'stdout_tail': ''}</t>
  </si>
  <si>
    <t xml:space="preserve">
def do_algebra(operator, operand):
    """
    Given two lists operator, and operand. The first list has basic algebra operations, and 
    the second list is a list of integers. Use the two given lists to build the algebric 
    expression and return the evaluation of this expression.
    The basic algebra operations:
    Addition ( + ) 
    Subtraction ( - ) 
    Multiplication ( * ) 
    Floor division ( // ) 
    Exponentiation ( ** ) 
    Example:
    operator['+', '*', '-']
    array = [2, 3, 4, 5]
    result = 2 + 3 * 4 - 5
    =&gt; result = 9
    Note:
        The length of operator list is equal to the length of operand list minus one.
        Operand is a list of of non-negative integers.
        Operator list has at least one operator, and operand list has at least two operands.
    """
</t>
  </si>
  <si>
    <t>```python
import operator as op
def do_algebra(operator, operand):
    ops = {'+': op.add, '-': op.sub, '*': op.mul, '//': op.floordiv, '**': op.pow}
    result = operand[0]
    for i in range(len(operator)):
        result = ops[operator[i]](result, operand[i + 1])
    return result
```</t>
  </si>
  <si>
    <t>import operator as op
def do_algebra(operator, operand):
    ops = {'+': op.add, '-': op.sub, '*': op.mul, '//': op.floordiv, '**': op.pow}
    result = operand[0]
    for i in range(len(operator)):
        result = ops[operator[i]](result, operand[i + 1])
    return result</t>
  </si>
  <si>
    <t>t=7|entropy=1.6388|tok='(n' ; t=86|entropy=1.2326|tok=' sum' ; t=37|entropy=1.2131|tok=' total' ; t=4|entropy=1.1746|tok=' are' ; t=75|entropy=1.0435|tok=' Calculate' ; t=15|entropy=1.0259|tok=' Helper' ; t=30|entropy=0.9234|tok=' sum' ; t=115|entropy=0.8987|tok=' and' ; t=14|entropy=0.8964|tok=' #' ; t=12|entropy=0.8078|tok='):\\n'</t>
  </si>
  <si>
    <t>t=7|margin=0.1250|tok='(n' ; t=75|margin=0.2812|tok=' Calculate' ; t=12|margin=0.3281|tok='):\\n' ; t=15|margin=0.3438|tok=' Helper' ; t=14|margin=0.3750|tok=' #' ; t=34|margin=0.4844|tok='(num' ; t=84|margin=0.7784|tok='\\n' ; t=112|margin=1.0000|tok=' Compare' ; t=8|margin=1.0781|tok='1' ; t=177|margin=1.2727|tok='```'</t>
  </si>
  <si>
    <t>{'type': 'RuntimeError', 'message': 'AssertionError', 'stderr_tail': 'Traceback (most recent call last):\n  File "/tmp/tmpdrc96por/candidate_eval.py", line 20, in &lt;module&gt;\n    assert are_equivalent(23, 47) == True\n           ^^^^^^^^^^^^^^^^^^^^^^^^^^^^^^\nAssertionError\n', 'stdout_tail': ''}</t>
  </si>
  <si>
    <t>mbpp_165</t>
  </si>
  <si>
    <t>Write a function to count the number of characters in a string that occur at the same position in the string as in the English alphabet (case insensitive).</t>
  </si>
  <si>
    <t xml:space="preserve">&lt;|im_start|&gt;system
You are an expert Python competitive programmer.&lt;|im_end|&gt;
&lt;|im_start|&gt;user
Solve the following Python programming task. Return only valid Python code. Do not use Markdown. Do not explain.Task:Write a function to count the number of characters in a string that occur at the same position in the string as in the English alphabet (case insensitive).Required tests include:assert count_char_position("xbcefg") == 2assert count_char_position("ABcED") == 3assert count_char_position("AbgdeF") == 5&lt;|im_end|&gt;
&lt;|im_start|&gt;assistant
</t>
  </si>
  <si>
    <t>```python
def count_char_position(s):
    # Initialize counter for matching positions
    match_count = 0
    # Iterate over each character in the string
    for i, char in enumerate(s):
        # Check if the character's position matches its alphabetical position
        if (ord(char.lower()) - ord('a')) % 26 == i:
            match_count += 1
    return match_count
# Test cases
assert count_char_position("xbcefg") == 2
assert count_char_position("ABcED") == 3
assert count_char_position("AbgdeF") == 5
```</t>
  </si>
  <si>
    <t>def count_char_position(s):
    # Initialize counter for matching positions
    match_count = 0
    # Iterate over each character in the string
    for i, char in enumerate(s):
        # Check if the character's position matches its alphabetical position
        if (ord(char.lower()) - ord('a')) % 26 == i:
            match_count += 1
    return match_count
# Test cases
assert count_char_position("xbcefg") == 2
assert count_char_position("ABcED") == 3
assert count_char_position("AbgdeF") == 5</t>
  </si>
  <si>
    <t>HumanEval/161</t>
  </si>
  <si>
    <t xml:space="preserve">
def solve(s):
    """You are given a string s.
    if s[i] is a letter, reverse its case from lower to upper or vise versa, 
    otherwise keep it as it is.
    If the string contains no letters, reverse the string.
    The function should return the resulted string.
    Examples
    solve("1234") = "4321"
    solve("ab") = "AB"
    solve("#a@C") = "#A@c"
    """
</t>
  </si>
  <si>
    <t>```python
def solve(s):
    has_letters = any(c.isalpha() for c in s)
    if has_letters:
        return ''.join(c.swapcase() if c.isalpha() else c for c in s)
    else:
        return s[::-1]
```</t>
  </si>
  <si>
    <t>def solve(s):
    has_letters = any(c.isalpha() for c in s)
    if has_letters:
        return ''.join(c.swapcase() if c.isalpha() else c for c in s)
    else:
        return s[::-1]</t>
  </si>
  <si>
    <t>t=18|entropy=2.7356|tok=' match' ; t=53|entropy=1.9258|tok=' alphabetical' ; t=10|entropy=1.6703|tok=' #' ; t=58|entropy=1.6079|tok=' (' ; t=11|entropy=1.5077|tok=' Initialize' ; t=12|entropy=1.4184|tok=' counter' ; t=7|entropy=1.2610|tok='(s' ; t=33|entropy=1.2375|tok='\\n' ; t=49|entropy=1.1452|tok="'s" ; t=59|entropy=1.0098|tok='ord'</t>
  </si>
  <si>
    <t>HumanEval/162</t>
  </si>
  <si>
    <t>t=53|margin=0.0440|tok=' alphabetical' ; t=28|margin=0.0497|tok=' each' ; t=49|margin=0.1406|tok="'s" ; t=30|margin=0.1406|tok=' in' ; t=59|margin=0.3281|tok='ord' ; t=12|margin=0.3509|tok=' counter' ; t=18|margin=0.5185|tok=' match' ; t=11|margin=0.6094|tok=' Initialize' ; t=13|margin=0.7315|tok=' for' ; t=68|margin=0.8310|tok=' %'</t>
  </si>
  <si>
    <t xml:space="preserve">
def string_to_md5(text):
    """
    Given a string 'text', return its md5 hash equivalent string.
    If 'text' is an empty string, return None.
    &gt;&gt;&gt; string_to_md5('Hello world') == '3e25960a79dbc69b674cd4ec67a72c62'
    """
</t>
  </si>
  <si>
    <t>import hashlib
def string_to_md5(text):
    if text == '':
        return None
    return hashlib.md5(text.encode()).hexdigest()</t>
  </si>
  <si>
    <t>mbpp_166</t>
  </si>
  <si>
    <t>Write a function that counts the number of pairs of integers in a list that xor to an even number.</t>
  </si>
  <si>
    <t xml:space="preserve">&lt;|im_start|&gt;system
You are an expert Python competitive programmer.&lt;|im_end|&gt;
&lt;|im_start|&gt;user
Solve the following Python programming task. Return only valid Python code. Do not use Markdown. Do not explain.Task:Write a function that counts the number of pairs of integers in a list that xor to an even number.Required tests include:assert find_even_pair([5, 4, 7, 2, 1]) == 4assert find_even_pair([7, 2, 8, 1, 0, 5, 11]) == 9assert find_even_pair([1, 2, 3]) == 1&lt;|im_end|&gt;
&lt;|im_start|&gt;assistant
</t>
  </si>
  <si>
    <t>```python
def find_even_pair(nums):
    count = 0
    n = len(nums)
    for i in range(n):
        for j in range(i + 1, n):
            if (nums[i] ^ nums[j]) % 2 == 0:
                count += 1
    return count
```</t>
  </si>
  <si>
    <t>def find_even_pair(nums):
    count = 0
    n = len(nums)
    for i in range(n):
        for j in range(i + 1, n):
            if (nums[i] ^ nums[j]) % 2 == 0:
                count += 1
    return count</t>
  </si>
  <si>
    <t>HumanEval/163</t>
  </si>
  <si>
    <t>{'type': 'RuntimeError', 'message': 'AssertionError: Test 1', 'stderr_tail': 'Traceback (most recent call last):\n  File "/tmp/tmp5jw5xayl/candidate_eval.py", line 31, in &lt;module&gt;\n    check(generate_integers)\n  File "/tmp/tmp5jw5xayl/candidate_eval.py", line 21, in check\n    assert candidate(2, 10) == [2, 4, 6, 8], "Test 1"\n           ^^^^^^^^^^^^^^^^^^^^^^^^^^^^^^^^\nAssertionError: Test 1\n', 'stdout_tail': ''}</t>
  </si>
  <si>
    <t xml:space="preserve">
def generate_integers(a, b):
    """
    Given two positive integers a and b, return the even digits between a
    and b, in ascending order.
    For example:
    generate_integers(2, 8) =&gt; [2, 4, 6, 8]
    generate_integers(8, 2) =&gt; [2, 4, 6, 8]
    generate_integers(10, 14) =&gt; []
    """
</t>
  </si>
  <si>
    <t>```python
def generate_integers(a, b):
    start = min(a, b)
    end = max(a, b)
    return [i for i in range(start, end + 1) if i % 2 == 0]
```</t>
  </si>
  <si>
    <t>def generate_integers(a, b):
    start = min(a, b)
    end = max(a, b)
    return [i for i in range(start, end + 1) if i % 2 == 0]</t>
  </si>
  <si>
    <t>t=10|entropy=1.7486|tok=' count' ; t=7|entropy=1.4814|tok='(nums' ; t=66|entropy=0.6854|tok='\\n' ; t=16|entropy=0.6382|tok=' n' ; t=0|entropy=0.6026|tok='```' ; t=27|entropy=0.4892|tok='):\\n' ; t=8|entropy=0.3710|tok='):\\n' ; t=21|entropy=0.3521|tok='   ' ; t=4|entropy=0.2606|tok=' find' ; t=67|entropy=0.1723|tok='```'</t>
  </si>
  <si>
    <t>t=66|margin=0.3267|tok='\\n' ; t=7|margin=0.3281|tok='(nums' ; t=16|margin=1.3750|tok=' n' ; t=0|margin=1.4531|tok='```' ; t=10|margin=1.5781|tok=' count' ; t=27|margin=1.7940|tok='):\\n' ; t=21|margin=2.0923|tok='   ' ; t=8|margin=2.5156|tok='):\\n' ; t=67|margin=3.1832|tok='```' ; t=4|margin=3.2812|tok=' find'</t>
  </si>
  <si>
    <t>AssertionError: Test 1</t>
  </si>
  <si>
    <t>mbpp_167</t>
  </si>
  <si>
    <t xml:space="preserve">Traceback (most recent call last):
  File "/tmp/tmpsn03_mnb/candidate_eval.py", line 12, in &lt;module&gt;
    assert next_power_of_2(5) == 8
           ^^^^^^^^^^^^^^^^^^^^^^^
AssertionError
</t>
  </si>
  <si>
    <t>Write a python function to find the smallest power of 2 greater than or equal to n.</t>
  </si>
  <si>
    <t xml:space="preserve">&lt;|im_start|&gt;system
You are an expert Python competitive programmer.&lt;|im_end|&gt;
&lt;|im_start|&gt;user
Solve the following Python programming task. Return only valid Python code. Do not use Markdown. Do not explain.Task:Write a python function to find the smallest power of 2 greater than or equal to n.Required tests include:assert next_power_of_2(0) == 1assert next_power_of_2(5) == 8assert next_power_of_2(17) == 32&lt;|im_end|&gt;
&lt;|im_start|&gt;assistant
</t>
  </si>
  <si>
    <t>```python
def next_power_of_2(n):
    # If n is less than or equal to 0, return 1 as the smallest power of 2
    if n &lt;= 0:
        return 1
    # Calculate the position of the highest set bit
    p = (n - 1).bit_length()
    # Return 2 raised to the power of (p + 1)
    return 1 &lt;&lt; (p + 1)
# Test cases
assert next_power_of_2(0) == 1
assert next_power_of_2(5) == 8
assert next_power_of_2(17) == 32
```</t>
  </si>
  <si>
    <t>def next_power_of_2(n):
    # If n is less than or equal to 0, return 1 as the smallest power of 2
    if n &lt;= 0:
        return 1
    # Calculate the position of the highest set bit
    p = (n - 1).bit_length()
    # Return 2 raised to the power of (p + 1)
    return 1 &lt;&lt; (p + 1)
# Test cases
assert next_power_of_2(0) == 1
assert next_power_of_2(5) == 8
assert next_power_of_2(17) == 32</t>
  </si>
  <si>
    <t>t=49|entropy=1.7164|tok=' Calculate' ; t=57|entropy=1.3614|tok='\\n' ; t=59|entropy=1.0005|tok=' p' ; t=51|entropy=0.9926|tok=' position' ; t=28|entropy=0.7842|tok=' the' ; t=27|entropy=0.7745|tok=' as' ; t=46|entropy=0.7140|tok='\\n' ; t=12|entropy=0.7104|tok=' #' ; t=22|entropy=0.7039|tok='0' ; t=54|entropy=0.6840|tok=' highest'</t>
  </si>
  <si>
    <t>t=22|margin=0.0142|tok='0' ; t=57|margin=0.1648|tok='\\n' ; t=46|margin=0.4418|tok='\\n' ; t=59|margin=0.5469|tok=' p' ; t=49|margin=0.6250|tok=' Calculate' ; t=55|margin=0.6250|tok=' set' ; t=54|margin=0.7812|tok=' highest' ; t=12|margin=0.9219|tok=' #' ; t=3|margin=1.2031|tok='def' ; t=89|margin=1.2074|tok='1'</t>
  </si>
  <si>
    <t>{'type': 'RuntimeError', 'message': 'AssertionError', 'stderr_tail': 'Traceback (most recent call last):\n  File "/tmp/tmpsn03_mnb/candidate_eval.py", line 12, in &lt;module&gt;\n    assert next_power_of_2(5) == 8\n           ^^^^^^^^^^^^^^^^^^^^^^^\nAssertionError\n', 'stdout_tail': ''}</t>
  </si>
  <si>
    <t>mbpp_168</t>
  </si>
  <si>
    <t>Write a function to count the number of occurrences of a number in a given list.</t>
  </si>
  <si>
    <t xml:space="preserve">&lt;|im_start|&gt;system
You are an expert Python competitive programmer.&lt;|im_end|&gt;
&lt;|im_start|&gt;user
Solve the following Python programming task. Return only valid Python code. Do not use Markdown. Do not explain.Task:Write a function to count the number of occurrences of a number in a given list.Required tests include:assert frequency([1,2,3], 4) == 0assert frequency([1,2,2,3,3,3,4], 3) == 3assert frequency([0,1,2,3,1,2], 1) == 2&lt;|im_end|&gt;
&lt;|im_start|&gt;assistant
</t>
  </si>
  <si>
    <t>```python
def frequency(lst, x):
    return lst.count(x)
```</t>
  </si>
  <si>
    <t>def frequency(lst, x):
    return lst.count(x)</t>
  </si>
  <si>
    <t>t=7|entropy=1.6922|tok=' x' ; t=5|entropy=1.5909|tok='(lst' ; t=0|entropy=0.7562|tok='```' ; t=10|entropy=0.7177|tok=' return' ; t=8|entropy=0.5582|tok='):\\n' ; t=14|entropy=0.2759|tok=')\\n' ; t=15|entropy=0.1824|tok='```' ; t=3|entropy=0.0481|tok='def' ; t=9|entropy=0.0386|tok='   ' ; t=6|entropy=0.0323|tok=','</t>
  </si>
  <si>
    <t>t=0|margin=0.5938|tok='```' ; t=7|margin=0.7344|tok=' x' ; t=10|margin=1.1406|tok=' return' ; t=5|margin=1.6250|tok='(lst' ; t=8|margin=1.8281|tok='):\\n' ; t=14|margin=2.4688|tok=')\\n' ; t=15|margin=3.2116|tok='```' ; t=3|margin=5.0156|tok='def' ; t=9|margin=5.1662|tok='   ' ; t=6|margin=7.0092|tok=','</t>
  </si>
  <si>
    <t>mbpp_170</t>
  </si>
  <si>
    <t>Write a function to find the sum of numbers in a list within a range specified by two indices.</t>
  </si>
  <si>
    <t xml:space="preserve">&lt;|im_start|&gt;system
You are an expert Python competitive programmer.&lt;|im_end|&gt;
&lt;|im_start|&gt;user
Solve the following Python programming task. Return only valid Python code. Do not use Markdown. Do not explain.Task:Write a function to find the sum of numbers in a list within a range specified by two indices.Required tests include:assert sum_range_list([2,1,5,6,8,3,4,9,10,11,8,12], 8, 10) == 29assert sum_range_list([2,1,5,6,8,3,4,9,10,11,8,12], 5, 7) == 16assert sum_range_list([2,1,5,6,8,3,4,9,10,11,8,12], 7, 10) == 38&lt;|im_end|&gt;
&lt;|im_start|&gt;assistant
</t>
  </si>
  <si>
    <t>```python
def sum_range_list(nums, l, r):
    # Calculate the sum of elements from index l to r (inclusive)
    return sum(nums[l:r+1])
```</t>
  </si>
  <si>
    <t>def sum_range_list(nums, l, r):
    # Calculate the sum of elements from index l to r (inclusive)
    return sum(nums[l:r+1])</t>
  </si>
  <si>
    <t>t=15|entropy=1.6938|tok=' Calculate' ; t=7|entropy=1.4548|tok='(nums' ; t=9|entropy=1.2239|tok=' l' ; t=14|entropy=1.2222|tok=' #' ; t=0|entropy=0.7429|tok='```' ; t=24|entropy=0.7018|tok=' r' ; t=20|entropy=0.6715|tok=' from' ; t=29|entropy=0.5688|tok=' return' ; t=36|entropy=0.5565|tok='])\\n' ; t=16|entropy=0.4539|tok=' the'</t>
  </si>
  <si>
    <t>t=24|margin=0.0284|tok=' r' ; t=14|margin=0.1719|tok=' #' ; t=7|margin=0.1875|tok='(nums' ; t=15|margin=0.4219|tok=' Calculate' ; t=0|margin=0.5156|tok='```' ; t=36|margin=1.2344|tok='])\\n' ; t=20|margin=1.2599|tok=' from' ; t=16|margin=1.6293|tok=' the' ; t=9|margin=1.6562|tok=' l' ; t=29|margin=1.9062|tok=' return'</t>
  </si>
  <si>
    <t>mbpp_171</t>
  </si>
  <si>
    <t>Write a function to find the perimeter of a regular pentagon from the length of its sides.</t>
  </si>
  <si>
    <t xml:space="preserve">&lt;|im_start|&gt;system
You are an expert Python competitive programmer.&lt;|im_end|&gt;
&lt;|im_start|&gt;user
Solve the following Python programming task. Return only valid Python code. Do not use Markdown. Do not explain.Task:Write a function to find the perimeter of a regular pentagon from the length of its sides.Required tests include:assert perimeter_pentagon(5) == 25assert perimeter_pentagon(10) == 50assert perimeter_pentagon(15) == 75&lt;|im_end|&gt;
&lt;|im_start|&gt;assistant
</t>
  </si>
  <si>
    <t>```python
def perimeter_pentagon(side_length):
    # A regular pentagon has 5 equal sides
    return 5 * side_length
# Test cases
assert perimeter_pentagon(5) == 25
assert perimeter_pentagon(10) == 50
assert perimeter_pentagon(15) == 75
```</t>
  </si>
  <si>
    <t>def perimeter_pentagon(side_length):
    # A regular pentagon has 5 equal sides
    return 5 * side_length
# Test cases
assert perimeter_pentagon(5) == 25
assert perimeter_pentagon(10) == 50
assert perimeter_pentagon(15) == 75</t>
  </si>
  <si>
    <t>t=13|entropy=0.8863|tok=' A' ; t=0|entropy=0.8036|tok='```' ; t=22|entropy=0.7008|tok='\\n' ; t=8|entropy=0.7006|tok='(side' ; t=30|entropy=0.6894|tok='\\n\\n' ; t=12|entropy=0.6525|tok=' #' ; t=9|entropy=0.6450|tok='_length' ; t=18|entropy=0.6349|tok=' ' ; t=20|entropy=0.4029|tok=' equal' ; t=24|entropy=0.3752|tok=' return'</t>
  </si>
  <si>
    <t>t=30|margin=0.2386|tok='\\n\\n' ; t=0|margin=0.2812|tok='```' ; t=22|margin=0.5469|tok='\\n' ; t=12|margin=0.8281|tok=' #' ; t=9|margin=1.0625|tok='_length' ; t=8|margin=1.4062|tok='(side' ; t=13|margin=1.5312|tok=' A' ; t=18|margin=1.7259|tok=' ' ; t=20|margin=1.8310|tok=' equal' ; t=14|margin=2.4006|tok=' regular'</t>
  </si>
  <si>
    <t>mbpp_172</t>
  </si>
  <si>
    <t>Write a function to count the number of occurence of the string 'std' in a given string.</t>
  </si>
  <si>
    <t xml:space="preserve">&lt;|im_start|&gt;system
You are an expert Python competitive programmer.&lt;|im_end|&gt;
&lt;|im_start|&gt;user
Solve the following Python programming task. Return only valid Python code. Do not use Markdown. Do not explain.Task:Write a function to count the number of occurence of the string 'std' in a given string.Required tests include:assert count_occurance("letstdlenstdporstd") == 3assert count_occurance("truststdsolensporsd") == 1assert count_occurance("makestdsostdworthit") == 2&lt;|im_end|&gt;
&lt;|im_start|&gt;assistant
</t>
  </si>
  <si>
    <t>```python
def count_occurance(s):
    return s.count('std')
```</t>
  </si>
  <si>
    <t>def count_occurance(s):
    return s.count('std')</t>
  </si>
  <si>
    <t>t=8|entropy=1.7729|tok='(s' ; t=11|entropy=1.1980|tok=' return' ; t=9|entropy=0.8785|tok='):\\n' ; t=0|entropy=0.7788|tok='```' ; t=16|entropy=0.6019|tok="')\\n" ; t=17|entropy=0.3677|tok='```' ; t=14|entropy=0.0856|tok="('" ; t=5|entropy=0.0745|tok='_oc' ; t=10|entropy=0.0370|tok='   ' ; t=15|entropy=0.0206|tok='std'</t>
  </si>
  <si>
    <t>t=9|margin=0.6719|tok='):\\n' ; t=0|margin=0.7656|tok='```' ; t=11|margin=0.9062|tok=' return' ; t=16|margin=0.9531|tok="')\\n" ; t=8|margin=1.2031|tok='(s' ; t=17|margin=2.9148|tok='```' ; t=14|margin=4.0710|tok="('" ; t=5|margin=4.3253|tok='_oc' ; t=10|margin=5.2699|tok='   ' ; t=3|margin=6.5938|tok='def'</t>
  </si>
  <si>
    <t>mbpp_222</t>
  </si>
  <si>
    <t>Write a function to check if all the elements in tuple have same data type or not.</t>
  </si>
  <si>
    <t xml:space="preserve">&lt;|im_start|&gt;system
You are an expert Python competitive programmer.&lt;|im_end|&gt;
&lt;|im_start|&gt;user
Solve the following Python programming task. Return only valid Python code. Do not use Markdown. Do not explain.Task:Write a function to check if all the elements in tuple have same data type or not.Required tests include:assert check_type((5, 6, 7, 3, 5, 6) ) == Trueassert check_type((1, 2, "4") ) == Falseassert check_type((3, 2, 1, 4, 5) ) == True&lt;|im_end|&gt;
&lt;|im_start|&gt;assistant
</t>
  </si>
  <si>
    <t>```python
def check_type(test_tup):
    res = all(isinstance(ele, type(test_tup[0])) for ele in test_tup)
    return (res)
# Test cases
assert check_type((5, 6, 7, 3, 5, 6)) == True
assert check_type((1, 2, "4")) == False
assert check_type((3, 2, 1, 4, 5)) == True
```</t>
  </si>
  <si>
    <t>def check_type(test_tup):
    res = all(isinstance(ele, type(test_tup[0])) for ele in test_tup)
    return (res)
# Test cases
assert check_type((5, 6, 7, 3, 5, 6)) == True
assert check_type((1, 2, "4")) == False
assert check_type((3, 2, 1, 4, 5)) == True</t>
  </si>
  <si>
    <t>t=13|entropy=1.7617|tok=' all' ; t=35|entropy=0.8076|tok=')\\n\\n' ; t=11|entropy=0.7653|tok=' res' ; t=0|entropy=0.7397|tok='```' ; t=6|entropy=0.7308|tok='(test' ; t=7|entropy=0.5745|tok='_t' ; t=15|entropy=0.4863|tok='(ele' ; t=18|entropy=0.2878|tok='(test' ; t=33|entropy=0.2283|tok=' (' ; t=9|entropy=0.1849|tok='):\\n'</t>
  </si>
  <si>
    <t>t=35|margin=0.1335|tok=')\\n\\n' ; t=11|margin=0.2031|tok=' res' ; t=13|margin=0.6875|tok=' all' ; t=0|margin=0.9844|tok='```' ; t=7|margin=1.8438|tok='_t' ; t=6|margin=2.0469|tok='(test' ; t=18|margin=2.5611|tok='(test' ; t=33|margin=2.7869|tok=' (' ; t=9|margin=3.2188|tok='):\\n' ; t=15|margin=3.7656|tok='(ele'</t>
  </si>
  <si>
    <t>mbpp_223</t>
  </si>
  <si>
    <t>Write a function that takes in a sorted array, its length (n), and an element and returns whether the element is the majority element in the given sorted array. (The majority element is the element that occurs more than n/2 times.)</t>
  </si>
  <si>
    <t xml:space="preserve">&lt;|im_start|&gt;system
You are an expert Python competitive programmer.&lt;|im_end|&gt;
&lt;|im_start|&gt;user
Solve the following Python programming task. Return only valid Python code. Do not use Markdown. Do not explain.Task:Write a function that takes in a sorted array, its length (n), and an element and returns whether the element is the majority element in the given sorted array. (The majority element is the element that occurs more than n/2 times.)Required tests include:assert is_majority([1, 2, 3, 3, 3, 3, 10], 7, 3) == Trueassert is_majority([1, 1, 2, 4, 4, 4, 6, 6], 8, 4) == Falseassert is_majority([1, 1, 1, 2, 2], 5, 1) == True&lt;|im_end|&gt;
&lt;|im_start|&gt;assistant
</t>
  </si>
  <si>
    <t>```python
def is_majority(arr, n, x):
    i = 0
    while i &lt; n:
        if arr[i] == x:
            break
        i += 1
    if i == n:
        return False
    if (i + n // 2) &lt; n and arr[i + n // 2] == x:
        return True
    return False
```</t>
  </si>
  <si>
    <t>def is_majority(arr, n, x):
    i = 0
    while i &lt; n:
        if arr[i] == x:
            break
        i += 1
    if i == n:
        return False
    if (i + n // 2) &lt; n and arr[i + n // 2] == x:
        return True
    return False</t>
  </si>
  <si>
    <t>t=14|entropy=1.5271|tok=' i' ; t=34|entropy=1.4706|tok=' break' ; t=16|entropy=1.3503|tok=' ' ; t=53|entropy=1.2033|tok=' if' ; t=4|entropy=1.0386|tok=' is' ; t=54|entropy=0.9292|tok=' (' ; t=41|entropy=0.8663|tok='\\n' ; t=45|entropy=0.8169|tok=' ==' ; t=83|entropy=0.6868|tok='\\n' ; t=20|entropy=0.5614|tok=' while'</t>
  </si>
  <si>
    <t>t=54|margin=0.2230|tok=' (' ; t=45|margin=0.3011|tok=' ==' ; t=83|margin=0.3168|tok='\\n' ; t=34|margin=0.4531|tok=' break' ; t=16|margin=0.4844|tok=' ' ; t=14|margin=0.5938|tok=' i' ; t=53|margin=0.9062|tok=' if' ; t=4|margin=1.1236|tok=' is' ; t=61|margin=1.2784|tok=')' ; t=41|margin=1.6080|tok='\\n'</t>
  </si>
  <si>
    <t>mbpp_224</t>
  </si>
  <si>
    <t>Write a python function to count the number of set bits (binary digits with value 1) in a given number.</t>
  </si>
  <si>
    <t xml:space="preserve">&lt;|im_start|&gt;system
You are an expert Python competitive programmer.&lt;|im_end|&gt;
&lt;|im_start|&gt;user
Solve the following Python programming task. Return only valid Python code. Do not use Markdown. Do not explain.Task:Write a python function to count the number of set bits (binary digits with value 1) in a given number.Required tests include:assert count_Set_Bits(2) == 1assert count_Set_Bits(4) == 1assert count_Set_Bits(6) == 2&lt;|im_end|&gt;
&lt;|im_start|&gt;assistant
</t>
  </si>
  <si>
    <t>```python
def count_Set_Bits(n):
    # Initialize count to zero
    count = 0
    # Loop until n becomes zero
    while n:
        # Increment count if the least significant bit is 1
        count += n &amp; 1
        # Right shift n by 1 to check the next bit
        n &gt;&gt;= 1
    return count
# Test cases
assert count_Set_Bits(2) == 1
assert count_Set_Bits(4) == 1
assert count_Set_Bits(6) == 2
```</t>
  </si>
  <si>
    <t>def count_Set_Bits(n):
    # Initialize count to zero
    count = 0
    # Loop until n becomes zero
    while n:
        # Increment count if the least significant bit is 1
        count += n &amp; 1
        # Right shift n by 1 to check the next bit
        n &gt;&gt;= 1
    return count
# Test cases
assert count_Set_Bits(2) == 1
assert count_Set_Bits(4) == 1
assert count_Set_Bits(6) == 2</t>
  </si>
  <si>
    <t>t=11|entropy=1.3618|tok=' #' ; t=12|entropy=1.1028|tok=' Initialize' ; t=14|entropy=0.9048|tok=' to' ; t=13|entropy=0.8854|tok=' count' ; t=15|entropy=0.8620|tok=' zero' ; t=18|entropy=0.8348|tok=' count' ; t=0|entropy=0.8149|tok='```' ; t=22|entropy=0.7709|tok='\\n    \\n' ; t=37|entropy=0.6908|tok=' Increment' ; t=9|entropy=0.6688|tok='):\\n'</t>
  </si>
  <si>
    <t>t=14|margin=0.0284|tok=' to' ; t=22|margin=0.2955|tok='\\n    \\n' ; t=15|margin=0.3778|tok=' zero' ; t=0|margin=0.6406|tok='```' ; t=9|margin=0.9062|tok='):\\n' ; t=41|margin=0.9062|tok=' least' ; t=37|margin=0.9375|tok=' Increment' ; t=33|margin=1.2358|tok=' n' ; t=11|margin=1.2969|tok=' #' ; t=12|margin=1.3750|tok=' Initialize'</t>
  </si>
  <si>
    <t>mbpp_226</t>
  </si>
  <si>
    <t>Write a python function to remove the characters which have odd index values of a given string.</t>
  </si>
  <si>
    <t xml:space="preserve">&lt;|im_start|&gt;system
You are an expert Python competitive programmer.&lt;|im_end|&gt;
&lt;|im_start|&gt;user
Solve the following Python programming task. Return only valid Python code. Do not use Markdown. Do not explain.Task:Write a python function to remove the characters which have odd index values of a given string.Required tests include:assert odd_values_string('abcdef') == 'ace'assert odd_values_string('python') == 'pto'assert odd_values_string('data') == 'dt'&lt;|im_end|&gt;
&lt;|im_start|&gt;assistant
</t>
  </si>
  <si>
    <t>```python
def odd_values_string(str1):
    result = ""
    for i in range(len(str1)):
        if i % 2 == 0:
            result += str1[i]
    return result
# Test cases
assert odd_values_string('abcdef') == 'ace'
assert odd_values_string('python') == 'pto'
assert odd_values_string('data') == 'dt'
```</t>
  </si>
  <si>
    <t>def odd_values_string(str1):
    result = ""
    for i in range(len(str1)):
        if i % 2 == 0:
            result += str1[i]
    return result
# Test cases
assert odd_values_string('abcdef') == 'ace'
assert odd_values_string('python') == 'pto'
assert odd_values_string('data') == 'dt'</t>
  </si>
  <si>
    <t>t=7|entropy=0.9334|tok='(str' ; t=13|entropy=0.8128|tok=' ""\\n' ; t=11|entropy=0.8116|tok=' result' ; t=0|entropy=0.7513|tok='```' ; t=8|entropy=0.7078|tok='1' ; t=43|entropy=0.4596|tok='\\n\\n' ; t=19|entropy=0.3969|tok='(len' ; t=10|entropy=0.3203|tok='   ' ; t=12|entropy=0.1989|tok=' =' ; t=9|entropy=0.1833|tok='):\\n'</t>
  </si>
  <si>
    <t>t=0|margin=0.8438|tok='```' ; t=13|margin=0.9219|tok=' ""\\n' ; t=8|margin=1.3125|tok='1' ; t=7|margin=1.3594|tok='(str' ; t=43|margin=1.6151|tok='\\n\\n' ; t=11|margin=1.8438|tok=' result' ; t=19|margin=1.8906|tok='(len' ; t=10|margin=2.2500|tok='   ' ; t=12|margin=3.0156|tok=' =' ; t=81|margin=3.4020|tok='```'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</si>
</sst>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8">
    <font>
      <sz val="10.0"/>
      <color rgb="FF000000"/>
      <name val="Arial"/>
      <scheme val="minor"/>
    </font>
    <font>
      <color theme="1"/>
      <name val="Arial"/>
      <scheme val="minor"/>
    </font>
    <font>
      <color theme="1"/>
      <name val="Arial"/>
    </font>
    <font>
      <sz val="11.0"/>
      <color rgb="FF1F1F1F"/>
      <name val="&quot;Google Sans&quot;"/>
    </font>
    <font>
      <b/>
      <color theme="1"/>
      <name val="Arial"/>
      <scheme val="minor"/>
    </font>
    <font>
      <color rgb="FF1F1F1F"/>
      <name val="&quot;Google Sans Mono&quot;"/>
    </font>
    <font>
      <b/>
      <color rgb="FF000000"/>
      <name val="Inherit"/>
    </font>
    <font>
      <color rgb="FF000000"/>
      <name val="Inheri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3" numFmtId="0" xfId="0" applyAlignment="1" applyFont="1">
      <alignment horizontal="left" readingOrder="0"/>
    </xf>
    <xf borderId="0" fillId="0" fontId="4" numFmtId="164" xfId="0" applyAlignment="1" applyFont="1" applyNumberFormat="1">
      <alignment readingOrder="0"/>
    </xf>
    <xf borderId="0" fillId="0" fontId="1" numFmtId="11" xfId="0" applyAlignment="1" applyFont="1" applyNumberFormat="1">
      <alignment readingOrder="0"/>
    </xf>
    <xf borderId="0" fillId="0" fontId="1" numFmtId="164" xfId="0" applyFont="1" applyNumberFormat="1"/>
    <xf borderId="0" fillId="0" fontId="1" numFmtId="164" xfId="0" applyAlignment="1" applyFont="1" applyNumberFormat="1">
      <alignment readingOrder="0"/>
    </xf>
    <xf borderId="0" fillId="0" fontId="2" numFmtId="0" xfId="0" applyAlignment="1" applyFont="1">
      <alignment horizontal="right" vertical="bottom"/>
    </xf>
    <xf borderId="0" fillId="0" fontId="5" numFmtId="0" xfId="0" applyAlignment="1" applyFont="1">
      <alignment horizontal="left"/>
    </xf>
    <xf borderId="0" fillId="0" fontId="2" numFmtId="0" xfId="0" applyAlignment="1" applyFont="1">
      <alignment horizontal="center" vertical="bottom"/>
    </xf>
    <xf borderId="0" fillId="0" fontId="2" numFmtId="11" xfId="0" applyAlignment="1" applyFont="1" applyNumberFormat="1">
      <alignment horizontal="right" vertical="bottom"/>
    </xf>
    <xf borderId="0" fillId="0" fontId="1" numFmtId="0" xfId="0" applyFont="1"/>
    <xf borderId="0" fillId="2" fontId="3" numFmtId="0" xfId="0" applyAlignment="1" applyFill="1" applyFont="1">
      <alignment readingOrder="0"/>
    </xf>
    <xf borderId="0" fillId="0" fontId="4" numFmtId="164" xfId="0" applyFont="1" applyNumberFormat="1"/>
    <xf borderId="0" fillId="0" fontId="5" numFmtId="0" xfId="0" applyAlignment="1" applyFont="1">
      <alignment horizontal="left" readingOrder="0"/>
    </xf>
    <xf borderId="0" fillId="0" fontId="3" numFmtId="0" xfId="0" applyAlignment="1" applyFont="1">
      <alignment horizontal="left"/>
    </xf>
    <xf borderId="0" fillId="2" fontId="6" numFmtId="0" xfId="0" applyAlignment="1" applyFill="1" applyFont="1">
      <alignment horizontal="right" readingOrder="0"/>
    </xf>
    <xf borderId="0" fillId="0" fontId="6" numFmtId="0" xfId="0" applyAlignment="1" applyFont="1">
      <alignment horizontal="right" readingOrder="0"/>
    </xf>
    <xf borderId="0" fillId="0" fontId="7"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14</v>
      </c>
      <c r="O1" s="1" t="s">
        <v>15</v>
      </c>
      <c r="P1" s="1" t="s">
        <v>16</v>
      </c>
      <c r="Q1" s="1" t="s">
        <v>17</v>
      </c>
      <c r="R1" s="1" t="s">
        <v>18</v>
      </c>
      <c r="S1" s="1" t="s">
        <v>19</v>
      </c>
      <c r="T1" s="1" t="s">
        <v>20</v>
      </c>
      <c r="U1" s="1" t="s">
        <v>21</v>
      </c>
      <c r="V1" s="1" t="s">
        <v>23</v>
      </c>
      <c r="W1" s="1" t="s">
        <v>25</v>
      </c>
      <c r="X1" s="1" t="s">
        <v>26</v>
      </c>
      <c r="Y1" s="1" t="s">
        <v>27</v>
      </c>
      <c r="Z1" s="1" t="s">
        <v>29</v>
      </c>
      <c r="AA1" s="1" t="s">
        <v>31</v>
      </c>
      <c r="AB1" s="1" t="s">
        <v>32</v>
      </c>
      <c r="AC1" s="1" t="s">
        <v>34</v>
      </c>
      <c r="AD1" s="1" t="s">
        <v>36</v>
      </c>
      <c r="AE1" s="1" t="s">
        <v>38</v>
      </c>
      <c r="AF1" s="1" t="s">
        <v>40</v>
      </c>
      <c r="AG1" s="1" t="s">
        <v>41</v>
      </c>
      <c r="AH1" s="1" t="s">
        <v>42</v>
      </c>
      <c r="AI1" s="1" t="s">
        <v>44</v>
      </c>
      <c r="AJ1" s="1" t="s">
        <v>45</v>
      </c>
      <c r="AK1" s="1" t="s">
        <v>46</v>
      </c>
      <c r="AL1" s="1" t="s">
        <v>47</v>
      </c>
      <c r="AM1" s="1" t="s">
        <v>48</v>
      </c>
      <c r="AN1" s="1" t="s">
        <v>49</v>
      </c>
      <c r="AO1" s="1" t="s">
        <v>50</v>
      </c>
      <c r="AP1" s="1" t="s">
        <v>51</v>
      </c>
      <c r="AQ1" s="1" t="s">
        <v>52</v>
      </c>
      <c r="AR1" s="1" t="s">
        <v>54</v>
      </c>
      <c r="AS1" s="1" t="s">
        <v>55</v>
      </c>
      <c r="AT1" s="1" t="s">
        <v>57</v>
      </c>
      <c r="AU1" s="1" t="s">
        <v>58</v>
      </c>
      <c r="AV1" s="1" t="s">
        <v>60</v>
      </c>
      <c r="AW1" s="1" t="s">
        <v>61</v>
      </c>
      <c r="AX1" s="1" t="s">
        <v>62</v>
      </c>
      <c r="AY1" s="1" t="s">
        <v>63</v>
      </c>
      <c r="AZ1" s="1" t="s">
        <v>64</v>
      </c>
      <c r="BA1" s="1" t="s">
        <v>65</v>
      </c>
      <c r="BB1" s="1" t="s">
        <v>66</v>
      </c>
      <c r="BC1" s="1" t="s">
        <v>67</v>
      </c>
      <c r="BD1" s="1" t="s">
        <v>68</v>
      </c>
    </row>
    <row r="2">
      <c r="A2" s="1" t="s">
        <v>69</v>
      </c>
      <c r="B2" s="1" t="s">
        <v>70</v>
      </c>
      <c r="C2" s="1">
        <v>0.0</v>
      </c>
      <c r="D2" s="1" t="s">
        <v>71</v>
      </c>
      <c r="E2" s="1" t="b">
        <v>1</v>
      </c>
      <c r="F2" s="1" t="b">
        <v>0</v>
      </c>
      <c r="G2" s="1" t="s">
        <v>74</v>
      </c>
      <c r="H2" s="1" t="s">
        <v>76</v>
      </c>
      <c r="I2" s="1" t="s">
        <v>77</v>
      </c>
      <c r="J2" s="1" t="s">
        <v>79</v>
      </c>
      <c r="K2" s="1">
        <v>68.0</v>
      </c>
      <c r="L2" s="1">
        <v>6.84941926800002</v>
      </c>
      <c r="M2" s="1">
        <v>0.038944983037864</v>
      </c>
      <c r="N2" s="1">
        <v>0.947244882583618</v>
      </c>
      <c r="O2" s="1">
        <v>10.9311084466822</v>
      </c>
      <c r="P2" s="1">
        <v>1.15625</v>
      </c>
      <c r="S2" s="1">
        <v>68.0</v>
      </c>
      <c r="T2" s="1">
        <v>0.0389449830378643</v>
      </c>
      <c r="U2" s="1">
        <v>0.15151540321744</v>
      </c>
      <c r="V2" s="5">
        <v>1.37576046199683E-6</v>
      </c>
      <c r="W2" s="1">
        <v>0.947244882583618</v>
      </c>
      <c r="X2" s="1">
        <v>0.947243506823156</v>
      </c>
      <c r="Y2" s="1">
        <v>0.035994839668274</v>
      </c>
      <c r="Z2" s="1">
        <v>0.193366863578557</v>
      </c>
      <c r="AA2" s="1">
        <v>0.792670600414275</v>
      </c>
      <c r="AB2" s="1">
        <v>10.9311084466822</v>
      </c>
      <c r="AC2" s="1">
        <v>3.67434749293531</v>
      </c>
      <c r="AD2" s="1">
        <v>1.15625</v>
      </c>
      <c r="AE2" s="1">
        <v>1.8053125</v>
      </c>
      <c r="AF2" s="1">
        <v>3.12443199157714</v>
      </c>
      <c r="AG2" s="1">
        <v>5.24985904693603</v>
      </c>
      <c r="AH2" s="1">
        <v>2.0</v>
      </c>
      <c r="AI2" s="1">
        <v>0.0</v>
      </c>
      <c r="AJ2" s="1">
        <v>0.0</v>
      </c>
      <c r="AK2" s="1">
        <v>0.0</v>
      </c>
      <c r="AL2" s="1">
        <v>0.0294117647058823</v>
      </c>
      <c r="AM2" s="1">
        <v>0.0</v>
      </c>
      <c r="AN2" s="1">
        <v>0.0</v>
      </c>
      <c r="AO2" s="1">
        <v>0.0</v>
      </c>
      <c r="AP2" s="1">
        <v>0.0</v>
      </c>
      <c r="AQ2" s="1">
        <v>0.0</v>
      </c>
      <c r="AR2" s="1">
        <v>0.0</v>
      </c>
      <c r="AS2" s="1">
        <v>0.0599606224171742</v>
      </c>
      <c r="AT2" s="1">
        <v>0.946950900601223</v>
      </c>
      <c r="AU2" s="1">
        <v>0.197517018524927</v>
      </c>
      <c r="AV2" s="1">
        <v>1.0</v>
      </c>
      <c r="AW2" s="1">
        <v>0.0</v>
      </c>
      <c r="AX2" s="1">
        <v>0.0</v>
      </c>
      <c r="AY2" s="1">
        <v>0.0</v>
      </c>
      <c r="AZ2" s="1">
        <v>0.0</v>
      </c>
      <c r="BA2" s="1">
        <v>8.0</v>
      </c>
      <c r="BB2" s="1">
        <v>277.0</v>
      </c>
      <c r="BC2" s="1">
        <v>291.0</v>
      </c>
      <c r="BD2" s="1" t="s">
        <v>108</v>
      </c>
    </row>
    <row r="3">
      <c r="A3" s="1" t="s">
        <v>110</v>
      </c>
      <c r="B3" s="1" t="s">
        <v>70</v>
      </c>
      <c r="C3" s="1">
        <v>0.0</v>
      </c>
      <c r="D3" s="1" t="s">
        <v>71</v>
      </c>
      <c r="E3" s="1" t="b">
        <v>1</v>
      </c>
      <c r="F3" s="1" t="b">
        <v>0</v>
      </c>
      <c r="G3" s="1" t="s">
        <v>74</v>
      </c>
      <c r="H3" s="1" t="s">
        <v>113</v>
      </c>
      <c r="I3" s="1" t="s">
        <v>116</v>
      </c>
      <c r="J3" s="1" t="s">
        <v>118</v>
      </c>
      <c r="K3" s="1">
        <v>111.0</v>
      </c>
      <c r="L3" s="1">
        <v>7.44490918600013</v>
      </c>
      <c r="M3" s="1">
        <v>0.064491988123902</v>
      </c>
      <c r="N3" s="1">
        <v>0.906893968582153</v>
      </c>
      <c r="O3" s="1">
        <v>10.2776096361177</v>
      </c>
      <c r="P3" s="1">
        <v>0.127840042114257</v>
      </c>
      <c r="S3" s="1">
        <v>111.0</v>
      </c>
      <c r="T3" s="1">
        <v>0.0644919881239022</v>
      </c>
      <c r="U3" s="1">
        <v>0.190707044913896</v>
      </c>
      <c r="V3" s="5">
        <v>1.27661280657775E-7</v>
      </c>
      <c r="W3" s="1">
        <v>0.906893968582153</v>
      </c>
      <c r="X3" s="1">
        <v>0.906893840920872</v>
      </c>
      <c r="Y3" s="1">
        <v>0.089895874261856</v>
      </c>
      <c r="Z3" s="1">
        <v>0.550392866134643</v>
      </c>
      <c r="AA3" s="1">
        <v>0.896739774942398</v>
      </c>
      <c r="AB3" s="1">
        <v>10.2776096361177</v>
      </c>
      <c r="AC3" s="1">
        <v>4.28628371258246</v>
      </c>
      <c r="AD3" s="1">
        <v>0.127840042114257</v>
      </c>
      <c r="AE3" s="1">
        <v>0.289914894104003</v>
      </c>
      <c r="AF3" s="1">
        <v>1.84375</v>
      </c>
      <c r="AG3" s="1">
        <v>4.1448860168457</v>
      </c>
      <c r="AH3" s="1">
        <v>6.0</v>
      </c>
      <c r="AI3" s="1">
        <v>0.0</v>
      </c>
      <c r="AJ3" s="1">
        <v>0.0</v>
      </c>
      <c r="AK3" s="1">
        <v>0.0</v>
      </c>
      <c r="AL3" s="1">
        <v>0.054054054054054</v>
      </c>
      <c r="AM3" s="1">
        <v>0.0</v>
      </c>
      <c r="AN3" s="1">
        <v>0.0</v>
      </c>
      <c r="AO3" s="1">
        <v>0.0</v>
      </c>
      <c r="AP3" s="1">
        <v>0.0</v>
      </c>
      <c r="AQ3" s="1">
        <v>1.0</v>
      </c>
      <c r="AR3" s="1">
        <v>2.0</v>
      </c>
      <c r="AS3" s="1">
        <v>0.113866506536767</v>
      </c>
      <c r="AT3" s="1">
        <v>0.904675452504307</v>
      </c>
      <c r="AU3" s="1">
        <v>0.265280902120286</v>
      </c>
      <c r="AV3" s="1">
        <v>1.0</v>
      </c>
      <c r="AW3" s="1">
        <v>0.0</v>
      </c>
      <c r="AX3" s="1">
        <v>0.0</v>
      </c>
      <c r="AY3" s="1">
        <v>0.0</v>
      </c>
      <c r="AZ3" s="1">
        <v>0.0</v>
      </c>
      <c r="BA3" s="1">
        <v>19.0</v>
      </c>
      <c r="BB3" s="1">
        <v>493.0</v>
      </c>
      <c r="BC3" s="1">
        <v>507.0</v>
      </c>
      <c r="BD3" s="1" t="s">
        <v>108</v>
      </c>
    </row>
    <row r="4">
      <c r="A4" s="1" t="s">
        <v>123</v>
      </c>
      <c r="B4" s="1" t="s">
        <v>70</v>
      </c>
      <c r="C4" s="1">
        <v>0.0</v>
      </c>
      <c r="D4" s="1" t="s">
        <v>71</v>
      </c>
      <c r="E4" s="1" t="b">
        <v>1</v>
      </c>
      <c r="F4" s="1" t="b">
        <v>0</v>
      </c>
      <c r="G4" s="1" t="s">
        <v>74</v>
      </c>
      <c r="H4" s="1" t="s">
        <v>124</v>
      </c>
      <c r="I4" s="1" t="s">
        <v>125</v>
      </c>
      <c r="J4" s="1" t="s">
        <v>127</v>
      </c>
      <c r="K4" s="1">
        <v>22.0</v>
      </c>
      <c r="L4" s="1">
        <v>1.47436417200015</v>
      </c>
      <c r="M4" s="1">
        <v>0.065736959596589</v>
      </c>
      <c r="N4" s="1">
        <v>0.72922670841217</v>
      </c>
      <c r="O4" s="1">
        <v>8.34762451865456</v>
      </c>
      <c r="P4" s="1">
        <v>1.4772720336914</v>
      </c>
      <c r="S4" s="1">
        <v>22.0</v>
      </c>
      <c r="T4" s="1">
        <v>0.0657369595965891</v>
      </c>
      <c r="U4" s="1">
        <v>0.176482871788043</v>
      </c>
      <c r="V4" s="5">
        <v>3.06660404021386E-5</v>
      </c>
      <c r="W4" s="1">
        <v>0.72922670841217</v>
      </c>
      <c r="X4" s="1">
        <v>0.729196042371768</v>
      </c>
      <c r="Y4" s="1">
        <v>0.121008543297648</v>
      </c>
      <c r="Z4" s="1">
        <v>0.428283295035362</v>
      </c>
      <c r="AA4" s="1">
        <v>0.669317929446697</v>
      </c>
      <c r="AB4" s="1">
        <v>8.34762451865456</v>
      </c>
      <c r="AC4" s="1">
        <v>3.37856209443555</v>
      </c>
      <c r="AD4" s="1">
        <v>1.4772720336914</v>
      </c>
      <c r="AE4" s="1">
        <v>1.69234331130981</v>
      </c>
      <c r="AF4" s="1">
        <v>2.56250047683715</v>
      </c>
      <c r="AG4" s="1">
        <v>3.87102241516113</v>
      </c>
      <c r="AH4" s="1">
        <v>1.0</v>
      </c>
      <c r="AI4" s="1">
        <v>0.0</v>
      </c>
      <c r="AJ4" s="1">
        <v>0.0</v>
      </c>
      <c r="AK4" s="1">
        <v>0.0</v>
      </c>
      <c r="AL4" s="1">
        <v>0.0454545454545454</v>
      </c>
      <c r="AM4" s="1">
        <v>0.0</v>
      </c>
      <c r="AN4" s="1">
        <v>0.0</v>
      </c>
      <c r="AO4" s="1">
        <v>0.0</v>
      </c>
      <c r="AP4" s="1">
        <v>0.0</v>
      </c>
      <c r="AQ4" s="1">
        <v>0.0</v>
      </c>
      <c r="AR4" s="1">
        <v>0.0</v>
      </c>
      <c r="AS4" s="1">
        <v>0.0944602376683698</v>
      </c>
      <c r="AT4" s="1">
        <v>0.727036378113552</v>
      </c>
      <c r="AU4" s="1">
        <v>0.209519353987818</v>
      </c>
      <c r="AV4" s="1">
        <v>1.0</v>
      </c>
      <c r="AW4" s="1">
        <v>0.0</v>
      </c>
      <c r="AX4" s="1">
        <v>0.0</v>
      </c>
      <c r="AY4" s="1">
        <v>0.0</v>
      </c>
      <c r="AZ4" s="1">
        <v>0.0</v>
      </c>
      <c r="BA4" s="1">
        <v>2.0</v>
      </c>
      <c r="BB4" s="1">
        <v>76.0</v>
      </c>
      <c r="BC4" s="1">
        <v>90.0</v>
      </c>
      <c r="BD4" s="1" t="s">
        <v>108</v>
      </c>
    </row>
    <row r="5">
      <c r="A5" s="1" t="s">
        <v>132</v>
      </c>
      <c r="B5" s="1" t="s">
        <v>70</v>
      </c>
      <c r="C5" s="1">
        <v>0.0</v>
      </c>
      <c r="D5" s="1" t="s">
        <v>71</v>
      </c>
      <c r="E5" s="1" t="b">
        <v>1</v>
      </c>
      <c r="F5" s="1" t="b">
        <v>0</v>
      </c>
      <c r="G5" s="1" t="s">
        <v>74</v>
      </c>
      <c r="H5" s="1" t="s">
        <v>133</v>
      </c>
      <c r="I5" s="1" t="s">
        <v>134</v>
      </c>
      <c r="J5" s="1" t="s">
        <v>135</v>
      </c>
      <c r="K5" s="1">
        <v>54.0</v>
      </c>
      <c r="L5" s="1">
        <v>3.63864149100004</v>
      </c>
      <c r="M5" s="1">
        <v>0.037913217092721</v>
      </c>
      <c r="N5" s="1">
        <v>0.544403791427612</v>
      </c>
      <c r="O5" s="1">
        <v>10.4951473518654</v>
      </c>
      <c r="P5" s="1">
        <v>1.78693199157714</v>
      </c>
      <c r="S5" s="1">
        <v>54.0</v>
      </c>
      <c r="T5" s="1">
        <v>0.037913217092721</v>
      </c>
      <c r="U5" s="1">
        <v>0.116256097020041</v>
      </c>
      <c r="V5" s="5">
        <v>5.8322393670096E-7</v>
      </c>
      <c r="W5" s="1">
        <v>0.544403791427612</v>
      </c>
      <c r="X5" s="1">
        <v>0.544403208203675</v>
      </c>
      <c r="Y5" s="1">
        <v>0.0606564704328775</v>
      </c>
      <c r="Z5" s="1">
        <v>0.373883570730685</v>
      </c>
      <c r="AA5" s="1">
        <v>0.479881758093833</v>
      </c>
      <c r="AB5" s="1">
        <v>10.4951473518654</v>
      </c>
      <c r="AC5" s="1">
        <v>3.68429766390979</v>
      </c>
      <c r="AD5" s="1">
        <v>1.78693199157714</v>
      </c>
      <c r="AE5" s="1">
        <v>1.7884372138977</v>
      </c>
      <c r="AF5" s="1">
        <v>2.07578125</v>
      </c>
      <c r="AG5" s="1">
        <v>4.8455976486206</v>
      </c>
      <c r="AH5" s="1">
        <v>1.0</v>
      </c>
      <c r="AI5" s="1">
        <v>0.0</v>
      </c>
      <c r="AJ5" s="1">
        <v>0.0</v>
      </c>
      <c r="AK5" s="1">
        <v>0.0</v>
      </c>
      <c r="AL5" s="1">
        <v>0.0185185185185185</v>
      </c>
      <c r="AM5" s="1">
        <v>0.0</v>
      </c>
      <c r="AN5" s="1">
        <v>0.0</v>
      </c>
      <c r="AO5" s="1">
        <v>0.0</v>
      </c>
      <c r="AP5" s="1">
        <v>0.0</v>
      </c>
      <c r="AQ5" s="1">
        <v>0.0</v>
      </c>
      <c r="AR5" s="1">
        <v>0.0</v>
      </c>
      <c r="AS5" s="1">
        <v>0.0611937945104213</v>
      </c>
      <c r="AT5" s="1">
        <v>0.541892181383445</v>
      </c>
      <c r="AU5" s="1">
        <v>0.149256086677489</v>
      </c>
      <c r="AV5" s="1">
        <v>1.0</v>
      </c>
      <c r="AW5" s="1">
        <v>0.0</v>
      </c>
      <c r="AX5" s="1">
        <v>0.0</v>
      </c>
      <c r="AY5" s="1">
        <v>0.0</v>
      </c>
      <c r="AZ5" s="1">
        <v>0.0</v>
      </c>
      <c r="BA5" s="1">
        <v>9.0</v>
      </c>
      <c r="BB5" s="1">
        <v>214.0</v>
      </c>
      <c r="BC5" s="1">
        <v>228.0</v>
      </c>
      <c r="BD5" s="1" t="s">
        <v>108</v>
      </c>
    </row>
    <row r="6">
      <c r="A6" s="1" t="s">
        <v>137</v>
      </c>
      <c r="B6" s="1" t="s">
        <v>70</v>
      </c>
      <c r="C6" s="1">
        <v>0.0</v>
      </c>
      <c r="D6" s="1" t="s">
        <v>71</v>
      </c>
      <c r="E6" s="1" t="b">
        <v>1</v>
      </c>
      <c r="F6" s="1" t="b">
        <v>0</v>
      </c>
      <c r="G6" s="1" t="s">
        <v>74</v>
      </c>
      <c r="H6" s="1" t="s">
        <v>138</v>
      </c>
      <c r="I6" s="1" t="s">
        <v>139</v>
      </c>
      <c r="J6" s="1" t="s">
        <v>140</v>
      </c>
      <c r="K6" s="1">
        <v>50.0</v>
      </c>
      <c r="L6" s="1">
        <v>3.40438065699981</v>
      </c>
      <c r="M6" s="1">
        <v>0.080597075605892</v>
      </c>
      <c r="N6" s="1">
        <v>1.05921554565429</v>
      </c>
      <c r="O6" s="1">
        <v>9.32802610397339</v>
      </c>
      <c r="P6" s="1">
        <v>0.184658050537109</v>
      </c>
      <c r="S6" s="1">
        <v>50.0</v>
      </c>
      <c r="T6" s="1">
        <v>0.0805970756058923</v>
      </c>
      <c r="U6" s="1">
        <v>0.23705055702675</v>
      </c>
      <c r="V6" s="5">
        <v>8.97791233001044E-6</v>
      </c>
      <c r="W6" s="1">
        <v>1.05921554565429</v>
      </c>
      <c r="X6" s="1">
        <v>1.05920656774196</v>
      </c>
      <c r="Y6" s="1">
        <v>0.0979002729058266</v>
      </c>
      <c r="Z6" s="1">
        <v>0.677735686302184</v>
      </c>
      <c r="AA6" s="1">
        <v>1.02520416557788</v>
      </c>
      <c r="AB6" s="1">
        <v>9.32802610397339</v>
      </c>
      <c r="AC6" s="1">
        <v>3.99654905451217</v>
      </c>
      <c r="AD6" s="1">
        <v>0.184658050537109</v>
      </c>
      <c r="AE6" s="1">
        <v>0.530581855773925</v>
      </c>
      <c r="AF6" s="1">
        <v>1.12599439620971</v>
      </c>
      <c r="AG6" s="1">
        <v>4.49204483032226</v>
      </c>
      <c r="AH6" s="1">
        <v>4.0</v>
      </c>
      <c r="AI6" s="1">
        <v>1.0</v>
      </c>
      <c r="AJ6" s="1">
        <v>0.0</v>
      </c>
      <c r="AK6" s="1">
        <v>0.0</v>
      </c>
      <c r="AL6" s="1">
        <v>0.08</v>
      </c>
      <c r="AM6" s="1">
        <v>0.02</v>
      </c>
      <c r="AN6" s="1">
        <v>0.0</v>
      </c>
      <c r="AO6" s="1">
        <v>0.0</v>
      </c>
      <c r="AP6" s="1">
        <v>0.0</v>
      </c>
      <c r="AQ6" s="1">
        <v>1.0</v>
      </c>
      <c r="AR6" s="1">
        <v>1.0</v>
      </c>
      <c r="AS6" s="1">
        <v>0.133196761624387</v>
      </c>
      <c r="AT6" s="1">
        <v>1.05849260702962</v>
      </c>
      <c r="AU6" s="1">
        <v>0.324517562414684</v>
      </c>
      <c r="AV6" s="1">
        <v>1.0</v>
      </c>
      <c r="AW6" s="1">
        <v>1.0</v>
      </c>
      <c r="AX6" s="1">
        <v>0.0</v>
      </c>
      <c r="AY6" s="1">
        <v>0.0</v>
      </c>
      <c r="AZ6" s="1">
        <v>1.0</v>
      </c>
      <c r="BA6" s="1">
        <v>5.0</v>
      </c>
      <c r="BB6" s="1">
        <v>185.0</v>
      </c>
      <c r="BC6" s="1">
        <v>199.0</v>
      </c>
      <c r="BD6" s="1" t="s">
        <v>108</v>
      </c>
    </row>
    <row r="7">
      <c r="A7" s="1" t="s">
        <v>143</v>
      </c>
      <c r="B7" s="1" t="s">
        <v>70</v>
      </c>
      <c r="C7" s="1">
        <v>0.0</v>
      </c>
      <c r="D7" s="1" t="s">
        <v>71</v>
      </c>
      <c r="E7" s="1" t="b">
        <v>1</v>
      </c>
      <c r="F7" s="1" t="b">
        <v>0</v>
      </c>
      <c r="G7" s="1" t="s">
        <v>74</v>
      </c>
      <c r="H7" s="1" t="s">
        <v>145</v>
      </c>
      <c r="I7" s="1" t="s">
        <v>146</v>
      </c>
      <c r="J7" s="1" t="s">
        <v>148</v>
      </c>
      <c r="K7" s="1">
        <v>65.0</v>
      </c>
      <c r="L7" s="1">
        <v>4.32821412299995</v>
      </c>
      <c r="M7" s="1">
        <v>0.076676901383353</v>
      </c>
      <c r="N7" s="1">
        <v>0.90023785829544</v>
      </c>
      <c r="O7" s="1">
        <v>9.60189057863675</v>
      </c>
      <c r="P7" s="1">
        <v>0.015625</v>
      </c>
      <c r="S7" s="1">
        <v>65.0</v>
      </c>
      <c r="T7" s="1">
        <v>0.0766769013833534</v>
      </c>
      <c r="U7" s="1">
        <v>0.198959192778061</v>
      </c>
      <c r="V7" s="5">
        <v>1.42141470860224E-6</v>
      </c>
      <c r="W7" s="1">
        <v>0.90023785829544</v>
      </c>
      <c r="X7" s="1">
        <v>0.900236436880732</v>
      </c>
      <c r="Y7" s="1">
        <v>0.210747826099395</v>
      </c>
      <c r="Z7" s="1">
        <v>0.573953282833099</v>
      </c>
      <c r="AA7" s="1">
        <v>0.831141674518585</v>
      </c>
      <c r="AB7" s="1">
        <v>9.60189057863675</v>
      </c>
      <c r="AC7" s="1">
        <v>4.30854449564894</v>
      </c>
      <c r="AD7" s="1">
        <v>0.015625</v>
      </c>
      <c r="AE7" s="1">
        <v>0.28289794921875</v>
      </c>
      <c r="AF7" s="1">
        <v>1.25511474609375</v>
      </c>
      <c r="AG7" s="1">
        <v>3.14090881347656</v>
      </c>
      <c r="AH7" s="1">
        <v>6.0</v>
      </c>
      <c r="AI7" s="1">
        <v>0.0</v>
      </c>
      <c r="AJ7" s="1">
        <v>0.0</v>
      </c>
      <c r="AK7" s="1">
        <v>0.0</v>
      </c>
      <c r="AL7" s="1">
        <v>0.0923076923076923</v>
      </c>
      <c r="AM7" s="1">
        <v>0.0</v>
      </c>
      <c r="AN7" s="1">
        <v>0.0</v>
      </c>
      <c r="AO7" s="1">
        <v>1.0</v>
      </c>
      <c r="AP7" s="1">
        <v>1.0</v>
      </c>
      <c r="AQ7" s="1">
        <v>1.0</v>
      </c>
      <c r="AR7" s="1">
        <v>2.0</v>
      </c>
      <c r="AS7" s="1">
        <v>0.113309885899013</v>
      </c>
      <c r="AT7" s="1">
        <v>0.899748784955591</v>
      </c>
      <c r="AU7" s="1">
        <v>0.254329587623809</v>
      </c>
      <c r="AV7" s="1">
        <v>2.0</v>
      </c>
      <c r="AW7" s="1">
        <v>0.0</v>
      </c>
      <c r="AX7" s="1">
        <v>0.0</v>
      </c>
      <c r="AY7" s="1">
        <v>0.0</v>
      </c>
      <c r="AZ7" s="1">
        <v>0.0</v>
      </c>
      <c r="BA7" s="1">
        <v>9.0</v>
      </c>
      <c r="BB7" s="1">
        <v>259.0</v>
      </c>
      <c r="BC7" s="1">
        <v>273.0</v>
      </c>
      <c r="BD7" s="1" t="s">
        <v>108</v>
      </c>
    </row>
    <row r="8">
      <c r="A8" s="1" t="s">
        <v>153</v>
      </c>
      <c r="B8" s="1" t="s">
        <v>70</v>
      </c>
      <c r="C8" s="1">
        <v>0.0</v>
      </c>
      <c r="D8" s="1" t="s">
        <v>71</v>
      </c>
      <c r="E8" s="1" t="b">
        <v>1</v>
      </c>
      <c r="F8" s="1" t="b">
        <v>0</v>
      </c>
      <c r="G8" s="1" t="s">
        <v>74</v>
      </c>
      <c r="H8" s="1" t="s">
        <v>154</v>
      </c>
      <c r="I8" s="1" t="s">
        <v>155</v>
      </c>
      <c r="J8" s="1" t="s">
        <v>157</v>
      </c>
      <c r="K8" s="1">
        <v>96.0</v>
      </c>
      <c r="L8" s="1">
        <v>6.46616573200003</v>
      </c>
      <c r="M8" s="1">
        <v>0.067659937090473</v>
      </c>
      <c r="N8" s="1">
        <v>1.63617849349975</v>
      </c>
      <c r="O8" s="1">
        <v>10.351111570994</v>
      </c>
      <c r="P8" s="1">
        <v>0.015625</v>
      </c>
      <c r="S8" s="1">
        <v>96.0</v>
      </c>
      <c r="T8" s="1">
        <v>0.0676599370904735</v>
      </c>
      <c r="U8" s="1">
        <v>0.221971287112397</v>
      </c>
      <c r="V8" s="5">
        <v>7.74698548866581E-7</v>
      </c>
      <c r="W8" s="1">
        <v>1.63617849349975</v>
      </c>
      <c r="X8" s="1">
        <v>1.6361777188012</v>
      </c>
      <c r="Y8" s="1">
        <v>0.195141531527042</v>
      </c>
      <c r="Z8" s="1">
        <v>0.500822655856609</v>
      </c>
      <c r="AA8" s="1">
        <v>0.904493406414983</v>
      </c>
      <c r="AB8" s="1">
        <v>10.351111570994</v>
      </c>
      <c r="AC8" s="1">
        <v>4.24666235717137</v>
      </c>
      <c r="AD8" s="1">
        <v>0.015625</v>
      </c>
      <c r="AE8" s="1">
        <v>0.2828125</v>
      </c>
      <c r="AF8" s="1">
        <v>1.41512775421142</v>
      </c>
      <c r="AG8" s="1">
        <v>3.03835201263427</v>
      </c>
      <c r="AH8" s="1">
        <v>5.0</v>
      </c>
      <c r="AI8" s="1">
        <v>1.0</v>
      </c>
      <c r="AJ8" s="1">
        <v>1.0</v>
      </c>
      <c r="AK8" s="1">
        <v>0.0</v>
      </c>
      <c r="AL8" s="1">
        <v>0.0520833333333333</v>
      </c>
      <c r="AM8" s="1">
        <v>0.0104166666666666</v>
      </c>
      <c r="AN8" s="1">
        <v>0.0104166666666666</v>
      </c>
      <c r="AO8" s="1">
        <v>1.0</v>
      </c>
      <c r="AP8" s="1">
        <v>1.0</v>
      </c>
      <c r="AQ8" s="1">
        <v>1.0</v>
      </c>
      <c r="AR8" s="1">
        <v>2.0</v>
      </c>
      <c r="AS8" s="1">
        <v>0.104683135273069</v>
      </c>
      <c r="AT8" s="1">
        <v>1.63603856053669</v>
      </c>
      <c r="AU8" s="1">
        <v>0.297960326029388</v>
      </c>
      <c r="AV8" s="1">
        <v>1.0</v>
      </c>
      <c r="AW8" s="1">
        <v>1.0</v>
      </c>
      <c r="AX8" s="1">
        <v>1.0</v>
      </c>
      <c r="AY8" s="1">
        <v>0.0</v>
      </c>
      <c r="AZ8" s="1">
        <v>1.0</v>
      </c>
      <c r="BA8" s="1">
        <v>14.0</v>
      </c>
      <c r="BB8" s="1">
        <v>406.0</v>
      </c>
      <c r="BC8" s="1">
        <v>420.0</v>
      </c>
      <c r="BD8" s="1" t="s">
        <v>108</v>
      </c>
    </row>
    <row r="9">
      <c r="A9" s="1" t="s">
        <v>160</v>
      </c>
      <c r="B9" s="1" t="s">
        <v>70</v>
      </c>
      <c r="C9" s="1">
        <v>0.0</v>
      </c>
      <c r="D9" s="1" t="s">
        <v>71</v>
      </c>
      <c r="E9" s="1" t="b">
        <v>1</v>
      </c>
      <c r="F9" s="1" t="b">
        <v>0</v>
      </c>
      <c r="G9" s="1" t="s">
        <v>74</v>
      </c>
      <c r="H9" s="1" t="s">
        <v>161</v>
      </c>
      <c r="I9" s="1" t="s">
        <v>163</v>
      </c>
      <c r="J9" s="1" t="s">
        <v>164</v>
      </c>
      <c r="K9" s="1">
        <v>41.0</v>
      </c>
      <c r="L9" s="1">
        <v>2.73626526599991</v>
      </c>
      <c r="M9" s="1">
        <v>0.064012489967553</v>
      </c>
      <c r="N9" s="1">
        <v>0.748720347881317</v>
      </c>
      <c r="O9" s="1">
        <v>9.63568857239514</v>
      </c>
      <c r="P9" s="1">
        <v>1.3522720336914</v>
      </c>
      <c r="S9" s="1">
        <v>41.0</v>
      </c>
      <c r="T9" s="1">
        <v>0.0640124899675534</v>
      </c>
      <c r="U9" s="1">
        <v>0.171500692551119</v>
      </c>
      <c r="V9" s="5">
        <v>7.72358725953381E-6</v>
      </c>
      <c r="W9" s="1">
        <v>0.748720347881317</v>
      </c>
      <c r="X9" s="1">
        <v>0.748712624294057</v>
      </c>
      <c r="Y9" s="1">
        <v>0.266764819622039</v>
      </c>
      <c r="Z9" s="1">
        <v>0.517855525016784</v>
      </c>
      <c r="AA9" s="1">
        <v>0.656901681423187</v>
      </c>
      <c r="AB9" s="1">
        <v>9.63568857239514</v>
      </c>
      <c r="AC9" s="1">
        <v>3.74163070555853</v>
      </c>
      <c r="AD9" s="1">
        <v>1.3522720336914</v>
      </c>
      <c r="AE9" s="1">
        <v>1.47272644042968</v>
      </c>
      <c r="AF9" s="1">
        <v>2.14488792419433</v>
      </c>
      <c r="AG9" s="1">
        <v>2.546875</v>
      </c>
      <c r="AH9" s="1">
        <v>3.0</v>
      </c>
      <c r="AI9" s="1">
        <v>0.0</v>
      </c>
      <c r="AJ9" s="1">
        <v>0.0</v>
      </c>
      <c r="AK9" s="1">
        <v>0.0</v>
      </c>
      <c r="AL9" s="1">
        <v>0.073170731707317</v>
      </c>
      <c r="AM9" s="1">
        <v>0.0</v>
      </c>
      <c r="AN9" s="1">
        <v>0.0</v>
      </c>
      <c r="AO9" s="1">
        <v>0.0</v>
      </c>
      <c r="AP9" s="1">
        <v>0.0</v>
      </c>
      <c r="AQ9" s="1">
        <v>0.0</v>
      </c>
      <c r="AR9" s="1">
        <v>0.0</v>
      </c>
      <c r="AS9" s="1">
        <v>0.0913023008493837</v>
      </c>
      <c r="AT9" s="1">
        <v>0.746456157648935</v>
      </c>
      <c r="AU9" s="1">
        <v>0.215832019425622</v>
      </c>
      <c r="AV9" s="1">
        <v>1.0</v>
      </c>
      <c r="AW9" s="1">
        <v>0.0</v>
      </c>
      <c r="AX9" s="1">
        <v>0.0</v>
      </c>
      <c r="AY9" s="1">
        <v>0.0</v>
      </c>
      <c r="AZ9" s="1">
        <v>0.0</v>
      </c>
      <c r="BA9" s="1">
        <v>4.0</v>
      </c>
      <c r="BB9" s="1">
        <v>148.0</v>
      </c>
      <c r="BC9" s="1">
        <v>162.0</v>
      </c>
      <c r="BD9" s="1" t="s">
        <v>108</v>
      </c>
    </row>
    <row r="10">
      <c r="A10" s="1" t="s">
        <v>169</v>
      </c>
      <c r="B10" s="1" t="s">
        <v>70</v>
      </c>
      <c r="C10" s="1">
        <v>0.0</v>
      </c>
      <c r="D10" s="1" t="s">
        <v>71</v>
      </c>
      <c r="E10" s="1" t="b">
        <v>1</v>
      </c>
      <c r="F10" s="1" t="b">
        <v>0</v>
      </c>
      <c r="G10" s="1" t="s">
        <v>74</v>
      </c>
      <c r="H10" s="1" t="s">
        <v>170</v>
      </c>
      <c r="I10" s="1" t="s">
        <v>172</v>
      </c>
      <c r="J10" s="1" t="s">
        <v>173</v>
      </c>
      <c r="K10" s="1">
        <v>75.0</v>
      </c>
      <c r="L10" s="1">
        <v>5.04178517199989</v>
      </c>
      <c r="M10" s="1">
        <v>0.076868743030903</v>
      </c>
      <c r="N10" s="1">
        <v>1.15711832046508</v>
      </c>
      <c r="O10" s="1">
        <v>9.59090956370035</v>
      </c>
      <c r="P10" s="1">
        <v>0.796875</v>
      </c>
      <c r="S10" s="1">
        <v>75.0</v>
      </c>
      <c r="T10" s="1">
        <v>0.0768687430309031</v>
      </c>
      <c r="U10" s="1">
        <v>0.205168278811478</v>
      </c>
      <c r="V10" s="5">
        <v>3.26294980368402E-6</v>
      </c>
      <c r="W10" s="1">
        <v>1.15711832046508</v>
      </c>
      <c r="X10" s="1">
        <v>1.15711505751528</v>
      </c>
      <c r="Y10" s="1">
        <v>0.212946271896362</v>
      </c>
      <c r="Z10" s="1">
        <v>0.506691274046897</v>
      </c>
      <c r="AA10" s="1">
        <v>0.995323772430421</v>
      </c>
      <c r="AB10" s="1">
        <v>9.59090956370035</v>
      </c>
      <c r="AC10" s="1">
        <v>4.19871454731023</v>
      </c>
      <c r="AD10" s="1">
        <v>0.796875</v>
      </c>
      <c r="AE10" s="1">
        <v>0.81789695739746</v>
      </c>
      <c r="AF10" s="1">
        <v>1.59232883453369</v>
      </c>
      <c r="AG10" s="1">
        <v>3.09517097473144</v>
      </c>
      <c r="AH10" s="1">
        <v>4.0</v>
      </c>
      <c r="AI10" s="1">
        <v>1.0</v>
      </c>
      <c r="AJ10" s="1">
        <v>0.0</v>
      </c>
      <c r="AK10" s="1">
        <v>0.0</v>
      </c>
      <c r="AL10" s="1">
        <v>0.0533333333333333</v>
      </c>
      <c r="AM10" s="1">
        <v>0.0133333333333333</v>
      </c>
      <c r="AN10" s="1">
        <v>0.0</v>
      </c>
      <c r="AO10" s="1">
        <v>0.0</v>
      </c>
      <c r="AP10" s="1">
        <v>0.0</v>
      </c>
      <c r="AQ10" s="1">
        <v>0.0</v>
      </c>
      <c r="AR10" s="1">
        <v>0.0</v>
      </c>
      <c r="AS10" s="1">
        <v>0.131797801790987</v>
      </c>
      <c r="AT10" s="1">
        <v>1.15275528561323</v>
      </c>
      <c r="AU10" s="1">
        <v>0.279572439553267</v>
      </c>
      <c r="AV10" s="1">
        <v>1.0</v>
      </c>
      <c r="AW10" s="1">
        <v>1.0</v>
      </c>
      <c r="AX10" s="1">
        <v>0.0</v>
      </c>
      <c r="AY10" s="1">
        <v>0.0</v>
      </c>
      <c r="AZ10" s="1">
        <v>1.0</v>
      </c>
      <c r="BA10" s="1">
        <v>12.0</v>
      </c>
      <c r="BB10" s="1">
        <v>287.0</v>
      </c>
      <c r="BC10" s="1">
        <v>301.0</v>
      </c>
      <c r="BD10" s="1" t="s">
        <v>108</v>
      </c>
    </row>
    <row r="11">
      <c r="A11" s="1" t="s">
        <v>179</v>
      </c>
      <c r="B11" s="1" t="s">
        <v>70</v>
      </c>
      <c r="C11" s="1">
        <v>0.0</v>
      </c>
      <c r="D11" s="1" t="s">
        <v>71</v>
      </c>
      <c r="E11" s="1" t="b">
        <v>1</v>
      </c>
      <c r="F11" s="1" t="b">
        <v>0</v>
      </c>
      <c r="G11" s="1" t="s">
        <v>74</v>
      </c>
      <c r="H11" s="1" t="s">
        <v>181</v>
      </c>
      <c r="I11" s="1" t="s">
        <v>183</v>
      </c>
      <c r="J11" s="1" t="s">
        <v>185</v>
      </c>
      <c r="K11" s="1">
        <v>72.0</v>
      </c>
      <c r="L11" s="1">
        <v>4.82607124299988</v>
      </c>
      <c r="M11" s="1">
        <v>0.129147945962535</v>
      </c>
      <c r="N11" s="1">
        <v>1.35692882537841</v>
      </c>
      <c r="O11" s="1">
        <v>9.23163321283128</v>
      </c>
      <c r="P11" s="1">
        <v>0.223011016845703</v>
      </c>
      <c r="S11" s="1">
        <v>72.0</v>
      </c>
      <c r="T11" s="1">
        <v>0.129147945962535</v>
      </c>
      <c r="U11" s="1">
        <v>0.285134201465886</v>
      </c>
      <c r="V11" s="5">
        <v>5.77100490772863E-6</v>
      </c>
      <c r="W11" s="1">
        <v>1.35692882537841</v>
      </c>
      <c r="X11" s="1">
        <v>1.35692305437351</v>
      </c>
      <c r="Y11" s="1">
        <v>0.62040456533432</v>
      </c>
      <c r="Z11" s="1">
        <v>0.745487847924232</v>
      </c>
      <c r="AA11" s="1">
        <v>1.09939668536186</v>
      </c>
      <c r="AB11" s="1">
        <v>9.23163321283128</v>
      </c>
      <c r="AC11" s="1">
        <v>4.82556196772028</v>
      </c>
      <c r="AD11" s="1">
        <v>0.223011016845703</v>
      </c>
      <c r="AE11" s="1">
        <v>0.253266944885253</v>
      </c>
      <c r="AF11" s="1">
        <v>0.588849353790283</v>
      </c>
      <c r="AG11" s="1">
        <v>0.967329025268554</v>
      </c>
      <c r="AH11" s="1">
        <v>10.0</v>
      </c>
      <c r="AI11" s="1">
        <v>1.0</v>
      </c>
      <c r="AJ11" s="1">
        <v>0.0</v>
      </c>
      <c r="AK11" s="1">
        <v>0.0</v>
      </c>
      <c r="AL11" s="1">
        <v>0.138888888888888</v>
      </c>
      <c r="AM11" s="1">
        <v>0.0138888888888888</v>
      </c>
      <c r="AN11" s="1">
        <v>0.0</v>
      </c>
      <c r="AO11" s="1">
        <v>0.0</v>
      </c>
      <c r="AP11" s="1">
        <v>0.0</v>
      </c>
      <c r="AQ11" s="1">
        <v>1.0</v>
      </c>
      <c r="AR11" s="1">
        <v>3.0</v>
      </c>
      <c r="AS11" s="1">
        <v>0.232621224929894</v>
      </c>
      <c r="AT11" s="1">
        <v>1.35534169815946</v>
      </c>
      <c r="AU11" s="1">
        <v>0.417655915175522</v>
      </c>
      <c r="AV11" s="1">
        <v>1.0</v>
      </c>
      <c r="AW11" s="1">
        <v>1.0</v>
      </c>
      <c r="AX11" s="1">
        <v>0.0</v>
      </c>
      <c r="AY11" s="1">
        <v>0.0</v>
      </c>
      <c r="AZ11" s="1">
        <v>1.0</v>
      </c>
      <c r="BA11" s="1">
        <v>13.0</v>
      </c>
      <c r="BB11" s="1">
        <v>304.0</v>
      </c>
      <c r="BC11" s="1">
        <v>318.0</v>
      </c>
      <c r="BD11" s="1" t="s">
        <v>108</v>
      </c>
    </row>
    <row r="12">
      <c r="A12" s="1" t="s">
        <v>189</v>
      </c>
      <c r="B12" s="1" t="s">
        <v>70</v>
      </c>
      <c r="C12" s="1">
        <v>0.0</v>
      </c>
      <c r="D12" s="1" t="s">
        <v>71</v>
      </c>
      <c r="E12" s="1" t="b">
        <v>0</v>
      </c>
      <c r="F12" s="1" t="b">
        <v>1</v>
      </c>
      <c r="G12" s="1" t="s">
        <v>190</v>
      </c>
      <c r="H12" s="1" t="s">
        <v>192</v>
      </c>
      <c r="I12" s="1" t="s">
        <v>194</v>
      </c>
      <c r="J12" s="1" t="s">
        <v>195</v>
      </c>
      <c r="K12" s="1">
        <v>155.0</v>
      </c>
      <c r="L12" s="1">
        <v>10.442713507</v>
      </c>
      <c r="M12" s="1">
        <v>0.0629506634621</v>
      </c>
      <c r="N12" s="1">
        <v>1.35022938251495</v>
      </c>
      <c r="O12" s="1">
        <v>9.36409518949447</v>
      </c>
      <c r="P12" s="1">
        <v>0.782670974731445</v>
      </c>
      <c r="Q12" s="1" t="s">
        <v>198</v>
      </c>
      <c r="R12" s="1" t="s">
        <v>199</v>
      </c>
      <c r="S12" s="1">
        <v>155.0</v>
      </c>
      <c r="T12" s="1">
        <v>0.0629506634621007</v>
      </c>
      <c r="U12" s="1">
        <v>0.197472656646337</v>
      </c>
      <c r="V12" s="5">
        <v>1.3598123587144E-5</v>
      </c>
      <c r="W12" s="1">
        <v>1.35022938251495</v>
      </c>
      <c r="X12" s="1">
        <v>1.35021578439136</v>
      </c>
      <c r="Y12" s="1">
        <v>0.117808245122432</v>
      </c>
      <c r="Z12" s="1">
        <v>0.510419744253158</v>
      </c>
      <c r="AA12" s="1">
        <v>0.942736554145814</v>
      </c>
      <c r="AB12" s="1">
        <v>9.36409518949447</v>
      </c>
      <c r="AC12" s="1">
        <v>3.44382788600675</v>
      </c>
      <c r="AD12" s="1">
        <v>0.782670974731445</v>
      </c>
      <c r="AE12" s="1">
        <v>1.11252864837646</v>
      </c>
      <c r="AF12" s="1">
        <v>1.75255584716796</v>
      </c>
      <c r="AG12" s="1">
        <v>4.06704597473144</v>
      </c>
      <c r="AH12" s="1">
        <v>9.0</v>
      </c>
      <c r="AI12" s="1">
        <v>2.0</v>
      </c>
      <c r="AJ12" s="1">
        <v>0.0</v>
      </c>
      <c r="AK12" s="1">
        <v>0.0</v>
      </c>
      <c r="AL12" s="1">
        <v>0.0580645161290322</v>
      </c>
      <c r="AM12" s="1">
        <v>0.0129032258064516</v>
      </c>
      <c r="AN12" s="1">
        <v>0.0</v>
      </c>
      <c r="AO12" s="1">
        <v>0.0</v>
      </c>
      <c r="AP12" s="1">
        <v>0.0</v>
      </c>
      <c r="AQ12" s="1">
        <v>0.0</v>
      </c>
      <c r="AR12" s="1">
        <v>0.0</v>
      </c>
      <c r="AS12" s="1">
        <v>0.105923877203273</v>
      </c>
      <c r="AT12" s="1">
        <v>1.34422619827091</v>
      </c>
      <c r="AU12" s="1">
        <v>0.271773350081798</v>
      </c>
      <c r="AV12" s="1">
        <v>1.0</v>
      </c>
      <c r="AW12" s="1">
        <v>1.0</v>
      </c>
      <c r="AX12" s="1">
        <v>0.0</v>
      </c>
      <c r="AY12" s="1">
        <v>0.0</v>
      </c>
      <c r="AZ12" s="1">
        <v>1.0</v>
      </c>
      <c r="BA12" s="1">
        <v>17.0</v>
      </c>
      <c r="BB12" s="1">
        <v>603.0</v>
      </c>
      <c r="BC12" s="1">
        <v>617.0</v>
      </c>
      <c r="BD12" s="1" t="s">
        <v>204</v>
      </c>
    </row>
    <row r="13">
      <c r="A13" s="1" t="s">
        <v>205</v>
      </c>
      <c r="B13" s="1" t="s">
        <v>70</v>
      </c>
      <c r="C13" s="1">
        <v>0.0</v>
      </c>
      <c r="D13" s="1" t="s">
        <v>71</v>
      </c>
      <c r="E13" s="1" t="b">
        <v>1</v>
      </c>
      <c r="F13" s="1" t="b">
        <v>0</v>
      </c>
      <c r="G13" s="1" t="s">
        <v>74</v>
      </c>
      <c r="H13" s="1" t="s">
        <v>206</v>
      </c>
      <c r="I13" s="1" t="s">
        <v>207</v>
      </c>
      <c r="J13" s="1" t="s">
        <v>208</v>
      </c>
      <c r="K13" s="1">
        <v>103.0</v>
      </c>
      <c r="L13" s="1">
        <v>6.80134317800002</v>
      </c>
      <c r="M13" s="1">
        <v>0.059633229419278</v>
      </c>
      <c r="N13" s="1">
        <v>1.10922312736511</v>
      </c>
      <c r="O13" s="1">
        <v>10.0713128765809</v>
      </c>
      <c r="P13" s="1">
        <v>0.255681991577148</v>
      </c>
      <c r="S13" s="1">
        <v>103.0</v>
      </c>
      <c r="T13" s="1">
        <v>0.059633229419278</v>
      </c>
      <c r="U13" s="1">
        <v>0.192940619279138</v>
      </c>
      <c r="V13" s="5">
        <v>3.88260696126963E-6</v>
      </c>
      <c r="W13" s="1">
        <v>1.10922312736511</v>
      </c>
      <c r="X13" s="1">
        <v>1.10921924475815</v>
      </c>
      <c r="Y13" s="1">
        <v>0.118769669532775</v>
      </c>
      <c r="Z13" s="1">
        <v>0.56860640645027</v>
      </c>
      <c r="AA13" s="1">
        <v>0.845082182884216</v>
      </c>
      <c r="AB13" s="1">
        <v>10.0713128765809</v>
      </c>
      <c r="AC13" s="1">
        <v>3.68952837027855</v>
      </c>
      <c r="AD13" s="1">
        <v>0.255681991577148</v>
      </c>
      <c r="AE13" s="1">
        <v>0.750425987243652</v>
      </c>
      <c r="AF13" s="1">
        <v>1.73096523284912</v>
      </c>
      <c r="AG13" s="1">
        <v>4.70369338989257</v>
      </c>
      <c r="AH13" s="1">
        <v>6.0</v>
      </c>
      <c r="AI13" s="1">
        <v>1.0</v>
      </c>
      <c r="AJ13" s="1">
        <v>0.0</v>
      </c>
      <c r="AK13" s="1">
        <v>0.0</v>
      </c>
      <c r="AL13" s="1">
        <v>0.058252427184466</v>
      </c>
      <c r="AM13" s="1">
        <v>0.00970873786407766</v>
      </c>
      <c r="AN13" s="1">
        <v>0.0</v>
      </c>
      <c r="AO13" s="1">
        <v>0.0</v>
      </c>
      <c r="AP13" s="1">
        <v>0.0</v>
      </c>
      <c r="AQ13" s="1">
        <v>0.0</v>
      </c>
      <c r="AR13" s="1">
        <v>1.0</v>
      </c>
      <c r="AS13" s="1">
        <v>0.0919898467206496</v>
      </c>
      <c r="AT13" s="1">
        <v>1.10639161546714</v>
      </c>
      <c r="AU13" s="1">
        <v>0.248026517731873</v>
      </c>
      <c r="AV13" s="1">
        <v>1.0</v>
      </c>
      <c r="AW13" s="1">
        <v>1.0</v>
      </c>
      <c r="AX13" s="1">
        <v>0.0</v>
      </c>
      <c r="AY13" s="1">
        <v>0.0</v>
      </c>
      <c r="AZ13" s="1">
        <v>1.0</v>
      </c>
      <c r="BA13" s="1">
        <v>9.0</v>
      </c>
      <c r="BB13" s="1">
        <v>320.0</v>
      </c>
      <c r="BC13" s="1">
        <v>334.0</v>
      </c>
      <c r="BD13" s="1" t="s">
        <v>108</v>
      </c>
    </row>
    <row r="14">
      <c r="A14" s="1" t="s">
        <v>213</v>
      </c>
      <c r="B14" s="1" t="s">
        <v>70</v>
      </c>
      <c r="C14" s="1">
        <v>0.0</v>
      </c>
      <c r="D14" s="1" t="s">
        <v>71</v>
      </c>
      <c r="E14" s="1" t="b">
        <v>1</v>
      </c>
      <c r="F14" s="1" t="b">
        <v>0</v>
      </c>
      <c r="G14" s="1" t="s">
        <v>74</v>
      </c>
      <c r="H14" s="1" t="s">
        <v>216</v>
      </c>
      <c r="I14" s="1" t="s">
        <v>218</v>
      </c>
      <c r="J14" s="1" t="s">
        <v>219</v>
      </c>
      <c r="K14" s="1">
        <v>40.0</v>
      </c>
      <c r="L14" s="1">
        <v>2.70869164999999</v>
      </c>
      <c r="M14" s="1">
        <v>0.056988134606285</v>
      </c>
      <c r="N14" s="1">
        <v>0.5076624751091</v>
      </c>
      <c r="O14" s="1">
        <v>8.67038402557373</v>
      </c>
      <c r="P14" s="1">
        <v>1.82244300842285</v>
      </c>
      <c r="S14" s="1">
        <v>40.0</v>
      </c>
      <c r="T14" s="1">
        <v>0.0569881346062857</v>
      </c>
      <c r="U14" s="1">
        <v>0.124582329032129</v>
      </c>
      <c r="V14" s="5">
        <v>8.80030984262703E-6</v>
      </c>
      <c r="W14" s="1">
        <v>0.5076624751091</v>
      </c>
      <c r="X14" s="1">
        <v>0.507653674799257</v>
      </c>
      <c r="Y14" s="1">
        <v>0.18898668885231</v>
      </c>
      <c r="Z14" s="1">
        <v>0.395035333931446</v>
      </c>
      <c r="AA14" s="1">
        <v>0.469546352922916</v>
      </c>
      <c r="AB14" s="1">
        <v>8.67038402557373</v>
      </c>
      <c r="AC14" s="1">
        <v>3.6428546792617</v>
      </c>
      <c r="AD14" s="1">
        <v>1.82244300842285</v>
      </c>
      <c r="AE14" s="1">
        <v>1.87063882827758</v>
      </c>
      <c r="AF14" s="1">
        <v>2.70575132369995</v>
      </c>
      <c r="AG14" s="1">
        <v>3.19105129241943</v>
      </c>
      <c r="AH14" s="1">
        <v>1.0</v>
      </c>
      <c r="AI14" s="1">
        <v>0.0</v>
      </c>
      <c r="AJ14" s="1">
        <v>0.0</v>
      </c>
      <c r="AK14" s="1">
        <v>0.0</v>
      </c>
      <c r="AL14" s="1">
        <v>0.025</v>
      </c>
      <c r="AM14" s="1">
        <v>0.0</v>
      </c>
      <c r="AN14" s="1">
        <v>0.0</v>
      </c>
      <c r="AO14" s="1">
        <v>0.0</v>
      </c>
      <c r="AP14" s="1">
        <v>0.0</v>
      </c>
      <c r="AQ14" s="1">
        <v>0.0</v>
      </c>
      <c r="AR14" s="1">
        <v>0.0</v>
      </c>
      <c r="AS14" s="1">
        <v>0.0988430497839614</v>
      </c>
      <c r="AT14" s="1">
        <v>0.50727003722568</v>
      </c>
      <c r="AU14" s="1">
        <v>0.180424137627318</v>
      </c>
      <c r="AV14" s="1">
        <v>1.0</v>
      </c>
      <c r="AW14" s="1">
        <v>0.0</v>
      </c>
      <c r="AX14" s="1">
        <v>0.0</v>
      </c>
      <c r="AY14" s="1">
        <v>0.0</v>
      </c>
      <c r="AZ14" s="1">
        <v>0.0</v>
      </c>
      <c r="BA14" s="1">
        <v>6.0</v>
      </c>
      <c r="BB14" s="1">
        <v>157.0</v>
      </c>
      <c r="BC14" s="1">
        <v>171.0</v>
      </c>
      <c r="BD14" s="1" t="s">
        <v>108</v>
      </c>
    </row>
    <row r="15">
      <c r="A15" s="1" t="s">
        <v>221</v>
      </c>
      <c r="B15" s="1" t="s">
        <v>70</v>
      </c>
      <c r="C15" s="1">
        <v>0.0</v>
      </c>
      <c r="D15" s="1" t="s">
        <v>71</v>
      </c>
      <c r="E15" s="1" t="b">
        <v>1</v>
      </c>
      <c r="F15" s="1" t="b">
        <v>0</v>
      </c>
      <c r="G15" s="1" t="s">
        <v>74</v>
      </c>
      <c r="H15" s="1" t="s">
        <v>223</v>
      </c>
      <c r="I15" s="1" t="s">
        <v>224</v>
      </c>
      <c r="J15" s="1" t="s">
        <v>225</v>
      </c>
      <c r="K15" s="1">
        <v>43.0</v>
      </c>
      <c r="L15" s="1">
        <v>2.83600169600003</v>
      </c>
      <c r="M15" s="1">
        <v>0.077366586778727</v>
      </c>
      <c r="N15" s="1">
        <v>1.06366634368896</v>
      </c>
      <c r="O15" s="1">
        <v>9.40856285982353</v>
      </c>
      <c r="P15" s="1">
        <v>0.595170974731445</v>
      </c>
      <c r="S15" s="1">
        <v>43.0</v>
      </c>
      <c r="T15" s="1">
        <v>0.0773665867787279</v>
      </c>
      <c r="U15" s="1">
        <v>0.235914145324093</v>
      </c>
      <c r="V15" s="5">
        <v>1.51371227730123E-6</v>
      </c>
      <c r="W15" s="1">
        <v>1.06366634368896</v>
      </c>
      <c r="X15" s="1">
        <v>1.06366482997668</v>
      </c>
      <c r="Y15" s="1">
        <v>0.127377399802208</v>
      </c>
      <c r="Z15" s="1">
        <v>0.597719661891459</v>
      </c>
      <c r="AA15" s="1">
        <v>1.03132801175117</v>
      </c>
      <c r="AB15" s="1">
        <v>9.40856285982353</v>
      </c>
      <c r="AC15" s="1">
        <v>4.00222425061336</v>
      </c>
      <c r="AD15" s="1">
        <v>0.595170974731445</v>
      </c>
      <c r="AE15" s="1">
        <v>0.660199165344238</v>
      </c>
      <c r="AF15" s="1">
        <v>1.76846523284912</v>
      </c>
      <c r="AG15" s="1">
        <v>3.57073860168457</v>
      </c>
      <c r="AH15" s="1">
        <v>3.0</v>
      </c>
      <c r="AI15" s="1">
        <v>1.0</v>
      </c>
      <c r="AJ15" s="1">
        <v>0.0</v>
      </c>
      <c r="AK15" s="1">
        <v>0.0</v>
      </c>
      <c r="AL15" s="1">
        <v>0.0697674418604651</v>
      </c>
      <c r="AM15" s="1">
        <v>0.0232558139534883</v>
      </c>
      <c r="AN15" s="1">
        <v>0.0</v>
      </c>
      <c r="AO15" s="1">
        <v>0.0</v>
      </c>
      <c r="AP15" s="1">
        <v>0.0</v>
      </c>
      <c r="AQ15" s="1">
        <v>0.0</v>
      </c>
      <c r="AR15" s="1">
        <v>0.0</v>
      </c>
      <c r="AS15" s="1">
        <v>0.122371553242947</v>
      </c>
      <c r="AT15" s="1">
        <v>1.04614643380045</v>
      </c>
      <c r="AU15" s="1">
        <v>0.308057293920909</v>
      </c>
      <c r="AV15" s="1">
        <v>1.0</v>
      </c>
      <c r="AW15" s="1">
        <v>1.0</v>
      </c>
      <c r="AX15" s="1">
        <v>0.0</v>
      </c>
      <c r="AY15" s="1">
        <v>0.0</v>
      </c>
      <c r="AZ15" s="1">
        <v>1.0</v>
      </c>
      <c r="BA15" s="1">
        <v>4.0</v>
      </c>
      <c r="BB15" s="1">
        <v>106.0</v>
      </c>
      <c r="BC15" s="1">
        <v>120.0</v>
      </c>
      <c r="BD15" s="1" t="s">
        <v>108</v>
      </c>
    </row>
    <row r="16">
      <c r="A16" s="1" t="s">
        <v>229</v>
      </c>
      <c r="B16" s="1" t="s">
        <v>70</v>
      </c>
      <c r="C16" s="1">
        <v>0.0</v>
      </c>
      <c r="D16" s="1" t="s">
        <v>71</v>
      </c>
      <c r="E16" s="1" t="b">
        <v>1</v>
      </c>
      <c r="F16" s="1" t="b">
        <v>0</v>
      </c>
      <c r="G16" s="1" t="s">
        <v>74</v>
      </c>
      <c r="H16" s="1" t="s">
        <v>231</v>
      </c>
      <c r="I16" s="1" t="s">
        <v>232</v>
      </c>
      <c r="J16" s="1" t="s">
        <v>233</v>
      </c>
      <c r="K16" s="1">
        <v>43.0</v>
      </c>
      <c r="L16" s="1">
        <v>2.83656077900013</v>
      </c>
      <c r="M16" s="1">
        <v>0.071679214082298</v>
      </c>
      <c r="N16" s="1">
        <v>0.885734319686889</v>
      </c>
      <c r="O16" s="1">
        <v>10.1925876306933</v>
      </c>
      <c r="P16" s="1">
        <v>0.106533050537109</v>
      </c>
      <c r="S16" s="1">
        <v>43.0</v>
      </c>
      <c r="T16" s="1">
        <v>0.0716792140822989</v>
      </c>
      <c r="U16" s="1">
        <v>0.201688677094304</v>
      </c>
      <c r="V16" s="5">
        <v>8.07956268999987E-7</v>
      </c>
      <c r="W16" s="1">
        <v>0.885734319686889</v>
      </c>
      <c r="X16" s="1">
        <v>0.88573351173062</v>
      </c>
      <c r="Y16" s="1">
        <v>0.149616649746895</v>
      </c>
      <c r="Z16" s="1">
        <v>0.660939255356788</v>
      </c>
      <c r="AA16" s="1">
        <v>0.811681314706802</v>
      </c>
      <c r="AB16" s="1">
        <v>10.1925876306933</v>
      </c>
      <c r="AC16" s="1">
        <v>4.68152193742613</v>
      </c>
      <c r="AD16" s="1">
        <v>0.106533050537109</v>
      </c>
      <c r="AE16" s="1">
        <v>0.156647415161132</v>
      </c>
      <c r="AF16" s="1">
        <v>1.01889209747314</v>
      </c>
      <c r="AG16" s="1">
        <v>3.56079559326171</v>
      </c>
      <c r="AH16" s="1">
        <v>3.0</v>
      </c>
      <c r="AI16" s="1">
        <v>0.0</v>
      </c>
      <c r="AJ16" s="1">
        <v>0.0</v>
      </c>
      <c r="AK16" s="1">
        <v>0.0</v>
      </c>
      <c r="AL16" s="1">
        <v>0.0697674418604651</v>
      </c>
      <c r="AM16" s="1">
        <v>0.0</v>
      </c>
      <c r="AN16" s="1">
        <v>0.0</v>
      </c>
      <c r="AO16" s="1">
        <v>0.0</v>
      </c>
      <c r="AP16" s="1">
        <v>0.0</v>
      </c>
      <c r="AQ16" s="1">
        <v>2.0</v>
      </c>
      <c r="AR16" s="1">
        <v>2.0</v>
      </c>
      <c r="AS16" s="1">
        <v>0.105856448410206</v>
      </c>
      <c r="AT16" s="1">
        <v>0.883198966970667</v>
      </c>
      <c r="AU16" s="1">
        <v>0.246954928670327</v>
      </c>
      <c r="AV16" s="1">
        <v>1.0</v>
      </c>
      <c r="AW16" s="1">
        <v>0.0</v>
      </c>
      <c r="AX16" s="1">
        <v>0.0</v>
      </c>
      <c r="AY16" s="1">
        <v>0.0</v>
      </c>
      <c r="AZ16" s="1">
        <v>0.0</v>
      </c>
      <c r="BA16" s="1">
        <v>4.0</v>
      </c>
      <c r="BB16" s="1">
        <v>127.0</v>
      </c>
      <c r="BC16" s="1">
        <v>142.0</v>
      </c>
      <c r="BD16" s="1" t="s">
        <v>108</v>
      </c>
    </row>
    <row r="17">
      <c r="A17" s="1" t="s">
        <v>239</v>
      </c>
      <c r="B17" s="1" t="s">
        <v>70</v>
      </c>
      <c r="C17" s="1">
        <v>0.0</v>
      </c>
      <c r="D17" s="1" t="s">
        <v>71</v>
      </c>
      <c r="E17" s="1" t="b">
        <v>1</v>
      </c>
      <c r="F17" s="1" t="b">
        <v>0</v>
      </c>
      <c r="G17" s="1" t="s">
        <v>74</v>
      </c>
      <c r="H17" s="1" t="s">
        <v>240</v>
      </c>
      <c r="I17" s="1" t="s">
        <v>241</v>
      </c>
      <c r="J17" s="1" t="s">
        <v>242</v>
      </c>
      <c r="K17" s="1">
        <v>32.0</v>
      </c>
      <c r="L17" s="1">
        <v>2.11275566600011</v>
      </c>
      <c r="M17" s="1">
        <v>0.067144940868047</v>
      </c>
      <c r="N17" s="1">
        <v>0.657255470752716</v>
      </c>
      <c r="O17" s="1">
        <v>10.0125401616096</v>
      </c>
      <c r="P17" s="1">
        <v>1.56818199157714</v>
      </c>
      <c r="S17" s="1">
        <v>32.0</v>
      </c>
      <c r="T17" s="1">
        <v>0.0671449408680473</v>
      </c>
      <c r="U17" s="1">
        <v>0.158852943290513</v>
      </c>
      <c r="V17" s="5">
        <v>1.15879083750769E-6</v>
      </c>
      <c r="W17" s="1">
        <v>0.657255470752716</v>
      </c>
      <c r="X17" s="1">
        <v>0.657254311961878</v>
      </c>
      <c r="Y17" s="1">
        <v>0.248011828958988</v>
      </c>
      <c r="Z17" s="1">
        <v>0.437293896079063</v>
      </c>
      <c r="AA17" s="1">
        <v>0.596535129547119</v>
      </c>
      <c r="AB17" s="1">
        <v>10.0125401616096</v>
      </c>
      <c r="AC17" s="1">
        <v>4.74773623592445</v>
      </c>
      <c r="AD17" s="1">
        <v>1.56818199157714</v>
      </c>
      <c r="AE17" s="1">
        <v>1.64700290679931</v>
      </c>
      <c r="AF17" s="1">
        <v>1.89509963989257</v>
      </c>
      <c r="AG17" s="1">
        <v>2.66875</v>
      </c>
      <c r="AH17" s="1">
        <v>1.0</v>
      </c>
      <c r="AI17" s="1">
        <v>0.0</v>
      </c>
      <c r="AJ17" s="1">
        <v>0.0</v>
      </c>
      <c r="AK17" s="1">
        <v>0.0</v>
      </c>
      <c r="AL17" s="1">
        <v>0.03125</v>
      </c>
      <c r="AM17" s="1">
        <v>0.0</v>
      </c>
      <c r="AN17" s="1">
        <v>0.0</v>
      </c>
      <c r="AO17" s="1">
        <v>0.0</v>
      </c>
      <c r="AP17" s="1">
        <v>0.0</v>
      </c>
      <c r="AQ17" s="1">
        <v>0.0</v>
      </c>
      <c r="AR17" s="1">
        <v>0.0</v>
      </c>
      <c r="AS17" s="1">
        <v>0.109948623905438</v>
      </c>
      <c r="AT17" s="1">
        <v>0.654187491629272</v>
      </c>
      <c r="AU17" s="1">
        <v>0.206301204950899</v>
      </c>
      <c r="AV17" s="1">
        <v>1.0</v>
      </c>
      <c r="AW17" s="1">
        <v>0.0</v>
      </c>
      <c r="AX17" s="1">
        <v>0.0</v>
      </c>
      <c r="AY17" s="1">
        <v>0.0</v>
      </c>
      <c r="AZ17" s="1">
        <v>0.0</v>
      </c>
      <c r="BA17" s="1">
        <v>2.0</v>
      </c>
      <c r="BB17" s="1">
        <v>85.0</v>
      </c>
      <c r="BC17" s="1">
        <v>99.0</v>
      </c>
      <c r="BD17" s="1" t="s">
        <v>108</v>
      </c>
    </row>
    <row r="18">
      <c r="A18" s="1" t="s">
        <v>248</v>
      </c>
      <c r="B18" s="1" t="s">
        <v>70</v>
      </c>
      <c r="C18" s="1">
        <v>0.0</v>
      </c>
      <c r="D18" s="1" t="s">
        <v>71</v>
      </c>
      <c r="E18" s="1" t="b">
        <v>1</v>
      </c>
      <c r="F18" s="1" t="b">
        <v>0</v>
      </c>
      <c r="G18" s="1" t="s">
        <v>74</v>
      </c>
      <c r="H18" s="1" t="s">
        <v>253</v>
      </c>
      <c r="I18" s="1" t="s">
        <v>255</v>
      </c>
      <c r="J18" s="1" t="s">
        <v>256</v>
      </c>
      <c r="K18" s="1">
        <v>24.0</v>
      </c>
      <c r="L18" s="1">
        <v>1.59322223599997</v>
      </c>
      <c r="M18" s="1">
        <v>0.09021881386343</v>
      </c>
      <c r="N18" s="1">
        <v>0.618962228298187</v>
      </c>
      <c r="O18" s="1">
        <v>7.95025499661763</v>
      </c>
      <c r="P18" s="1">
        <v>1.60653495788574</v>
      </c>
      <c r="S18" s="1">
        <v>24.0</v>
      </c>
      <c r="T18" s="1">
        <v>0.0902188138634301</v>
      </c>
      <c r="U18" s="1">
        <v>0.186107244159802</v>
      </c>
      <c r="V18" s="5">
        <v>2.91605756501667E-5</v>
      </c>
      <c r="W18" s="1">
        <v>0.618962228298187</v>
      </c>
      <c r="X18" s="1">
        <v>0.618933067722537</v>
      </c>
      <c r="Y18" s="1">
        <v>0.435980981588363</v>
      </c>
      <c r="Z18" s="1">
        <v>0.486777679622173</v>
      </c>
      <c r="AA18" s="1">
        <v>0.589831849634647</v>
      </c>
      <c r="AB18" s="1">
        <v>7.95025499661763</v>
      </c>
      <c r="AC18" s="1">
        <v>3.62546449186793</v>
      </c>
      <c r="AD18" s="1">
        <v>1.60653495788574</v>
      </c>
      <c r="AE18" s="1">
        <v>1.69801195144653</v>
      </c>
      <c r="AF18" s="1">
        <v>2.11740045547485</v>
      </c>
      <c r="AG18" s="1">
        <v>2.98693313598632</v>
      </c>
      <c r="AH18" s="1">
        <v>1.0</v>
      </c>
      <c r="AI18" s="1">
        <v>0.0</v>
      </c>
      <c r="AJ18" s="1">
        <v>0.0</v>
      </c>
      <c r="AK18" s="1">
        <v>0.0</v>
      </c>
      <c r="AL18" s="1">
        <v>0.0416666666666666</v>
      </c>
      <c r="AM18" s="1">
        <v>0.0</v>
      </c>
      <c r="AN18" s="1">
        <v>0.0</v>
      </c>
      <c r="AO18" s="1">
        <v>0.0</v>
      </c>
      <c r="AP18" s="1">
        <v>0.0</v>
      </c>
      <c r="AQ18" s="1">
        <v>0.0</v>
      </c>
      <c r="AR18" s="1">
        <v>0.0</v>
      </c>
      <c r="AS18" s="1">
        <v>0.149589981130228</v>
      </c>
      <c r="AT18" s="1">
        <v>0.616018306929618</v>
      </c>
      <c r="AU18" s="1">
        <v>0.255967559428634</v>
      </c>
      <c r="AV18" s="1">
        <v>1.0</v>
      </c>
      <c r="AW18" s="1">
        <v>0.0</v>
      </c>
      <c r="AX18" s="1">
        <v>0.0</v>
      </c>
      <c r="AY18" s="1">
        <v>0.0</v>
      </c>
      <c r="AZ18" s="1">
        <v>0.0</v>
      </c>
      <c r="BA18" s="1">
        <v>2.0</v>
      </c>
      <c r="BB18" s="1">
        <v>86.0</v>
      </c>
      <c r="BC18" s="1">
        <v>100.0</v>
      </c>
      <c r="BD18" s="1" t="s">
        <v>108</v>
      </c>
    </row>
    <row r="19">
      <c r="A19" s="1" t="s">
        <v>259</v>
      </c>
      <c r="B19" s="1" t="s">
        <v>70</v>
      </c>
      <c r="C19" s="1">
        <v>0.0</v>
      </c>
      <c r="D19" s="1" t="s">
        <v>71</v>
      </c>
      <c r="E19" s="1" t="b">
        <v>1</v>
      </c>
      <c r="F19" s="1" t="b">
        <v>0</v>
      </c>
      <c r="G19" s="1" t="s">
        <v>74</v>
      </c>
      <c r="H19" s="1" t="s">
        <v>260</v>
      </c>
      <c r="I19" s="1" t="s">
        <v>262</v>
      </c>
      <c r="J19" s="1" t="s">
        <v>264</v>
      </c>
      <c r="K19" s="1">
        <v>208.0</v>
      </c>
      <c r="L19" s="1">
        <v>14.1365341119999</v>
      </c>
      <c r="M19" s="1">
        <v>0.049633345089686</v>
      </c>
      <c r="N19" s="1">
        <v>1.97970187664031</v>
      </c>
      <c r="O19" s="1">
        <v>10.7003837273671</v>
      </c>
      <c r="P19" s="1">
        <v>0.12784194946289</v>
      </c>
      <c r="S19" s="1">
        <v>208.0</v>
      </c>
      <c r="T19" s="1">
        <v>0.0496333450896862</v>
      </c>
      <c r="U19" s="1">
        <v>0.215968015899271</v>
      </c>
      <c r="V19" s="5">
        <v>1.08752292362623E-5</v>
      </c>
      <c r="W19" s="1">
        <v>1.97970187664031</v>
      </c>
      <c r="X19" s="1">
        <v>1.97969100141108</v>
      </c>
      <c r="Y19" s="1">
        <v>0.0314608477056027</v>
      </c>
      <c r="Z19" s="1">
        <v>0.34241217523813</v>
      </c>
      <c r="AA19" s="1">
        <v>0.723322585225105</v>
      </c>
      <c r="AB19" s="1">
        <v>10.7003837273671</v>
      </c>
      <c r="AC19" s="1">
        <v>3.40045199598698</v>
      </c>
      <c r="AD19" s="1">
        <v>0.12784194946289</v>
      </c>
      <c r="AE19" s="1">
        <v>0.555824718475341</v>
      </c>
      <c r="AF19" s="1">
        <v>2.67656269073486</v>
      </c>
      <c r="AG19" s="1">
        <v>5.84801082611084</v>
      </c>
      <c r="AH19" s="1">
        <v>6.0</v>
      </c>
      <c r="AI19" s="1">
        <v>2.0</v>
      </c>
      <c r="AJ19" s="1">
        <v>2.0</v>
      </c>
      <c r="AK19" s="1">
        <v>0.0</v>
      </c>
      <c r="AL19" s="1">
        <v>0.0288461538461538</v>
      </c>
      <c r="AM19" s="1">
        <v>0.00961538461538461</v>
      </c>
      <c r="AN19" s="1">
        <v>0.00961538461538461</v>
      </c>
      <c r="AO19" s="1">
        <v>0.0</v>
      </c>
      <c r="AP19" s="1">
        <v>0.0</v>
      </c>
      <c r="AQ19" s="1">
        <v>1.0</v>
      </c>
      <c r="AR19" s="1">
        <v>3.0</v>
      </c>
      <c r="AS19" s="1">
        <v>0.078958554263079</v>
      </c>
      <c r="AT19" s="1">
        <v>1.88214169442653</v>
      </c>
      <c r="AU19" s="1">
        <v>0.26786943255034</v>
      </c>
      <c r="AV19" s="1">
        <v>2.0</v>
      </c>
      <c r="AW19" s="1">
        <v>1.0</v>
      </c>
      <c r="AX19" s="1">
        <v>1.0</v>
      </c>
      <c r="AY19" s="1">
        <v>0.0</v>
      </c>
      <c r="AZ19" s="1">
        <v>1.0</v>
      </c>
      <c r="BA19" s="1">
        <v>17.0</v>
      </c>
      <c r="BB19" s="1">
        <v>636.0</v>
      </c>
      <c r="BC19" s="1">
        <v>650.0</v>
      </c>
      <c r="BD19" s="1" t="s">
        <v>108</v>
      </c>
    </row>
    <row r="20">
      <c r="A20" s="1" t="s">
        <v>271</v>
      </c>
      <c r="B20" s="1" t="s">
        <v>70</v>
      </c>
      <c r="C20" s="1">
        <v>0.0</v>
      </c>
      <c r="D20" s="1" t="s">
        <v>71</v>
      </c>
      <c r="E20" s="1" t="b">
        <v>1</v>
      </c>
      <c r="F20" s="1" t="b">
        <v>0</v>
      </c>
      <c r="G20" s="1" t="s">
        <v>74</v>
      </c>
      <c r="H20" s="1" t="s">
        <v>272</v>
      </c>
      <c r="I20" s="1" t="s">
        <v>273</v>
      </c>
      <c r="J20" s="1" t="s">
        <v>274</v>
      </c>
      <c r="K20" s="1">
        <v>72.0</v>
      </c>
      <c r="L20" s="1">
        <v>4.7681452730003</v>
      </c>
      <c r="M20" s="1">
        <v>0.068504350099628</v>
      </c>
      <c r="N20" s="1">
        <v>0.711942136287689</v>
      </c>
      <c r="O20" s="1">
        <v>9.64974992805057</v>
      </c>
      <c r="P20" s="1">
        <v>0.326705932617187</v>
      </c>
      <c r="S20" s="1">
        <v>72.0</v>
      </c>
      <c r="T20" s="1">
        <v>0.0685043500996284</v>
      </c>
      <c r="U20" s="1">
        <v>0.169726789258169</v>
      </c>
      <c r="V20" s="5">
        <v>2.97750716526934E-7</v>
      </c>
      <c r="W20" s="1">
        <v>0.711942136287689</v>
      </c>
      <c r="X20" s="1">
        <v>0.711941838536972</v>
      </c>
      <c r="Y20" s="1">
        <v>0.31978745162487</v>
      </c>
      <c r="Z20" s="1">
        <v>0.451480269432068</v>
      </c>
      <c r="AA20" s="1">
        <v>0.69570811510086</v>
      </c>
      <c r="AB20" s="1">
        <v>9.64974992805057</v>
      </c>
      <c r="AC20" s="1">
        <v>4.30814550882892</v>
      </c>
      <c r="AD20" s="1">
        <v>0.326705932617187</v>
      </c>
      <c r="AE20" s="1">
        <v>0.793650970458984</v>
      </c>
      <c r="AF20" s="1">
        <v>2.09872074127197</v>
      </c>
      <c r="AG20" s="1">
        <v>2.53678970336914</v>
      </c>
      <c r="AH20" s="1">
        <v>3.0</v>
      </c>
      <c r="AI20" s="1">
        <v>0.0</v>
      </c>
      <c r="AJ20" s="1">
        <v>0.0</v>
      </c>
      <c r="AK20" s="1">
        <v>0.0</v>
      </c>
      <c r="AL20" s="1">
        <v>0.0416666666666666</v>
      </c>
      <c r="AM20" s="1">
        <v>0.0</v>
      </c>
      <c r="AN20" s="1">
        <v>0.0</v>
      </c>
      <c r="AO20" s="1">
        <v>0.0</v>
      </c>
      <c r="AP20" s="1">
        <v>0.0</v>
      </c>
      <c r="AQ20" s="1">
        <v>0.0</v>
      </c>
      <c r="AR20" s="1">
        <v>1.0</v>
      </c>
      <c r="AS20" s="1">
        <v>0.128851059099364</v>
      </c>
      <c r="AT20" s="1">
        <v>0.711871629726374</v>
      </c>
      <c r="AU20" s="1">
        <v>0.250817306099091</v>
      </c>
      <c r="AV20" s="1">
        <v>1.0</v>
      </c>
      <c r="AW20" s="1">
        <v>0.0</v>
      </c>
      <c r="AX20" s="1">
        <v>0.0</v>
      </c>
      <c r="AY20" s="1">
        <v>0.0</v>
      </c>
      <c r="AZ20" s="1">
        <v>0.0</v>
      </c>
      <c r="BA20" s="1">
        <v>10.0</v>
      </c>
      <c r="BB20" s="1">
        <v>242.0</v>
      </c>
      <c r="BC20" s="1">
        <v>256.0</v>
      </c>
      <c r="BD20" s="1" t="s">
        <v>108</v>
      </c>
    </row>
    <row r="21">
      <c r="A21" s="1" t="s">
        <v>279</v>
      </c>
      <c r="B21" s="1" t="s">
        <v>70</v>
      </c>
      <c r="C21" s="1">
        <v>0.0</v>
      </c>
      <c r="D21" s="1" t="s">
        <v>71</v>
      </c>
      <c r="E21" s="1" t="b">
        <v>1</v>
      </c>
      <c r="F21" s="1" t="b">
        <v>0</v>
      </c>
      <c r="G21" s="1" t="s">
        <v>74</v>
      </c>
      <c r="H21" s="1" t="s">
        <v>283</v>
      </c>
      <c r="I21" s="1" t="s">
        <v>284</v>
      </c>
      <c r="J21" s="1" t="s">
        <v>285</v>
      </c>
      <c r="K21" s="1">
        <v>113.0</v>
      </c>
      <c r="L21" s="1">
        <v>7.55904563600006</v>
      </c>
      <c r="M21" s="1">
        <v>0.086025932899589</v>
      </c>
      <c r="N21" s="1">
        <v>0.917214334011077</v>
      </c>
      <c r="O21" s="1">
        <v>9.92261711053088</v>
      </c>
      <c r="P21" s="1">
        <v>0.17471694946289</v>
      </c>
      <c r="S21" s="1">
        <v>113.0</v>
      </c>
      <c r="T21" s="1">
        <v>0.0860259328995895</v>
      </c>
      <c r="U21" s="1">
        <v>0.212393673559874</v>
      </c>
      <c r="V21" s="5">
        <v>3.30031014073028E-7</v>
      </c>
      <c r="W21" s="1">
        <v>0.917214334011077</v>
      </c>
      <c r="X21" s="1">
        <v>0.917214003980063</v>
      </c>
      <c r="Y21" s="1">
        <v>0.419205647706985</v>
      </c>
      <c r="Z21" s="1">
        <v>0.655981123447418</v>
      </c>
      <c r="AA21" s="1">
        <v>0.834614660739898</v>
      </c>
      <c r="AB21" s="1">
        <v>9.92261711053088</v>
      </c>
      <c r="AC21" s="1">
        <v>4.53762464455152</v>
      </c>
      <c r="AD21" s="1">
        <v>0.17471694946289</v>
      </c>
      <c r="AE21" s="1">
        <v>0.468126068115234</v>
      </c>
      <c r="AF21" s="1">
        <v>1.57642135620117</v>
      </c>
      <c r="AG21" s="1">
        <v>2.828125</v>
      </c>
      <c r="AH21" s="1">
        <v>11.0</v>
      </c>
      <c r="AI21" s="1">
        <v>0.0</v>
      </c>
      <c r="AJ21" s="1">
        <v>0.0</v>
      </c>
      <c r="AK21" s="1">
        <v>0.0</v>
      </c>
      <c r="AL21" s="1">
        <v>0.0973451327433628</v>
      </c>
      <c r="AM21" s="1">
        <v>0.0</v>
      </c>
      <c r="AN21" s="1">
        <v>0.0</v>
      </c>
      <c r="AO21" s="1">
        <v>0.0</v>
      </c>
      <c r="AP21" s="1">
        <v>0.0</v>
      </c>
      <c r="AQ21" s="1">
        <v>1.0</v>
      </c>
      <c r="AR21" s="1">
        <v>2.0</v>
      </c>
      <c r="AS21" s="1">
        <v>0.116095960763953</v>
      </c>
      <c r="AT21" s="1">
        <v>0.914071057923138</v>
      </c>
      <c r="AU21" s="1">
        <v>0.252771634198708</v>
      </c>
      <c r="AV21" s="1">
        <v>2.0</v>
      </c>
      <c r="AW21" s="1">
        <v>0.0</v>
      </c>
      <c r="AX21" s="1">
        <v>0.0</v>
      </c>
      <c r="AY21" s="1">
        <v>0.0</v>
      </c>
      <c r="AZ21" s="1">
        <v>0.0</v>
      </c>
      <c r="BA21" s="1">
        <v>9.0</v>
      </c>
      <c r="BB21" s="1">
        <v>311.0</v>
      </c>
      <c r="BC21" s="1">
        <v>325.0</v>
      </c>
      <c r="BD21" s="1" t="s">
        <v>108</v>
      </c>
    </row>
    <row r="22">
      <c r="A22" s="1" t="s">
        <v>289</v>
      </c>
      <c r="B22" s="1" t="s">
        <v>70</v>
      </c>
      <c r="C22" s="1">
        <v>0.0</v>
      </c>
      <c r="D22" s="1" t="s">
        <v>71</v>
      </c>
      <c r="E22" s="1" t="b">
        <v>1</v>
      </c>
      <c r="F22" s="1" t="b">
        <v>0</v>
      </c>
      <c r="G22" s="1" t="s">
        <v>74</v>
      </c>
      <c r="H22" s="1" t="s">
        <v>291</v>
      </c>
      <c r="I22" s="1" t="s">
        <v>293</v>
      </c>
      <c r="J22" s="1" t="s">
        <v>296</v>
      </c>
      <c r="K22" s="1">
        <v>115.0</v>
      </c>
      <c r="L22" s="1">
        <v>7.7917848269999</v>
      </c>
      <c r="M22" s="1">
        <v>0.072555259505497</v>
      </c>
      <c r="N22" s="1">
        <v>1.63750147819519</v>
      </c>
      <c r="O22" s="1">
        <v>10.0908478529556</v>
      </c>
      <c r="P22" s="1">
        <v>0.034090042114257</v>
      </c>
      <c r="S22" s="1">
        <v>115.0</v>
      </c>
      <c r="T22" s="1">
        <v>0.0725552595054978</v>
      </c>
      <c r="U22" s="1">
        <v>0.241421573924749</v>
      </c>
      <c r="V22" s="5">
        <v>7.52824007577146E-7</v>
      </c>
      <c r="W22" s="1">
        <v>1.63750147819519</v>
      </c>
      <c r="X22" s="1">
        <v>1.63750072537118</v>
      </c>
      <c r="Y22" s="1">
        <v>0.185259729623794</v>
      </c>
      <c r="Z22" s="1">
        <v>0.478874000906943</v>
      </c>
      <c r="AA22" s="1">
        <v>1.21107441425323</v>
      </c>
      <c r="AB22" s="1">
        <v>10.0908478529556</v>
      </c>
      <c r="AC22" s="1">
        <v>4.10737175705279</v>
      </c>
      <c r="AD22" s="1">
        <v>0.0340900421142578</v>
      </c>
      <c r="AE22" s="1">
        <v>0.104772453308105</v>
      </c>
      <c r="AF22" s="1">
        <v>2.06988639831543</v>
      </c>
      <c r="AG22" s="1">
        <v>3.565625</v>
      </c>
      <c r="AH22" s="1">
        <v>6.0</v>
      </c>
      <c r="AI22" s="1">
        <v>2.0</v>
      </c>
      <c r="AJ22" s="1">
        <v>1.0</v>
      </c>
      <c r="AK22" s="1">
        <v>0.0</v>
      </c>
      <c r="AL22" s="1">
        <v>0.0521739130434782</v>
      </c>
      <c r="AM22" s="1">
        <v>0.017391304347826</v>
      </c>
      <c r="AN22" s="1">
        <v>0.00869565217391304</v>
      </c>
      <c r="AO22" s="1">
        <v>1.0</v>
      </c>
      <c r="AP22" s="1">
        <v>2.0</v>
      </c>
      <c r="AQ22" s="1">
        <v>3.0</v>
      </c>
      <c r="AR22" s="1">
        <v>3.0</v>
      </c>
      <c r="AS22" s="1">
        <v>0.105561241135658</v>
      </c>
      <c r="AT22" s="1">
        <v>1.63426605006679</v>
      </c>
      <c r="AU22" s="1">
        <v>0.284167800318631</v>
      </c>
      <c r="AV22" s="1">
        <v>3.0</v>
      </c>
      <c r="AW22" s="1">
        <v>1.0</v>
      </c>
      <c r="AX22" s="1">
        <v>1.0</v>
      </c>
      <c r="AY22" s="1">
        <v>0.0</v>
      </c>
      <c r="AZ22" s="1">
        <v>1.0</v>
      </c>
      <c r="BA22" s="1">
        <v>14.0</v>
      </c>
      <c r="BB22" s="1">
        <v>464.0</v>
      </c>
      <c r="BC22" s="1">
        <v>478.0</v>
      </c>
      <c r="BD22" s="1" t="s">
        <v>108</v>
      </c>
    </row>
    <row r="23">
      <c r="A23" s="1" t="s">
        <v>299</v>
      </c>
      <c r="B23" s="1" t="s">
        <v>70</v>
      </c>
      <c r="C23" s="1">
        <v>0.0</v>
      </c>
      <c r="D23" s="1" t="s">
        <v>71</v>
      </c>
      <c r="E23" s="1" t="b">
        <v>1</v>
      </c>
      <c r="F23" s="1" t="b">
        <v>0</v>
      </c>
      <c r="G23" s="1" t="s">
        <v>74</v>
      </c>
      <c r="H23" s="1" t="s">
        <v>301</v>
      </c>
      <c r="I23" s="1" t="s">
        <v>303</v>
      </c>
      <c r="J23" s="1" t="s">
        <v>305</v>
      </c>
      <c r="K23" s="1">
        <v>64.0</v>
      </c>
      <c r="L23" s="1">
        <v>4.31718884699967</v>
      </c>
      <c r="M23" s="1">
        <v>0.054877831763478</v>
      </c>
      <c r="N23" s="1">
        <v>0.865638017654419</v>
      </c>
      <c r="O23" s="1">
        <v>9.83040058612823</v>
      </c>
      <c r="P23" s="1">
        <v>0.59375</v>
      </c>
      <c r="S23" s="1">
        <v>64.0</v>
      </c>
      <c r="T23" s="1">
        <v>0.0548778317634788</v>
      </c>
      <c r="U23" s="1">
        <v>0.150264293816892</v>
      </c>
      <c r="V23" s="5">
        <v>1.41669863751303E-6</v>
      </c>
      <c r="W23" s="1">
        <v>0.865638017654419</v>
      </c>
      <c r="X23" s="1">
        <v>0.865636600955781</v>
      </c>
      <c r="Y23" s="1">
        <v>0.182638418674469</v>
      </c>
      <c r="Z23" s="1">
        <v>0.339681351184844</v>
      </c>
      <c r="AA23" s="1">
        <v>0.714257767200469</v>
      </c>
      <c r="AB23" s="1">
        <v>9.83040058612823</v>
      </c>
      <c r="AC23" s="1">
        <v>4.10701884861142</v>
      </c>
      <c r="AD23" s="1">
        <v>0.59375</v>
      </c>
      <c r="AE23" s="1">
        <v>0.74140625</v>
      </c>
      <c r="AF23" s="1">
        <v>2.18444643020629</v>
      </c>
      <c r="AG23" s="1">
        <v>3.821875</v>
      </c>
      <c r="AH23" s="1">
        <v>2.0</v>
      </c>
      <c r="AI23" s="1">
        <v>0.0</v>
      </c>
      <c r="AJ23" s="1">
        <v>0.0</v>
      </c>
      <c r="AK23" s="1">
        <v>0.0</v>
      </c>
      <c r="AL23" s="1">
        <v>0.03125</v>
      </c>
      <c r="AM23" s="1">
        <v>0.0</v>
      </c>
      <c r="AN23" s="1">
        <v>0.0</v>
      </c>
      <c r="AO23" s="1">
        <v>0.0</v>
      </c>
      <c r="AP23" s="1">
        <v>0.0</v>
      </c>
      <c r="AQ23" s="1">
        <v>0.0</v>
      </c>
      <c r="AR23" s="1">
        <v>0.0</v>
      </c>
      <c r="AS23" s="1">
        <v>0.0782471942728996</v>
      </c>
      <c r="AT23" s="1">
        <v>0.863306999206543</v>
      </c>
      <c r="AU23" s="1">
        <v>0.176174760930045</v>
      </c>
      <c r="AV23" s="1">
        <v>1.0</v>
      </c>
      <c r="AW23" s="1">
        <v>0.0</v>
      </c>
      <c r="AX23" s="1">
        <v>0.0</v>
      </c>
      <c r="AY23" s="1">
        <v>0.0</v>
      </c>
      <c r="AZ23" s="1">
        <v>0.0</v>
      </c>
      <c r="BA23" s="1">
        <v>7.0</v>
      </c>
      <c r="BB23" s="1">
        <v>226.0</v>
      </c>
      <c r="BC23" s="1">
        <v>240.0</v>
      </c>
      <c r="BD23" s="1" t="s">
        <v>108</v>
      </c>
    </row>
    <row r="24">
      <c r="A24" s="1" t="s">
        <v>308</v>
      </c>
      <c r="B24" s="1" t="s">
        <v>70</v>
      </c>
      <c r="C24" s="1">
        <v>0.0</v>
      </c>
      <c r="D24" s="1" t="s">
        <v>71</v>
      </c>
      <c r="E24" s="1" t="b">
        <v>1</v>
      </c>
      <c r="F24" s="1" t="b">
        <v>0</v>
      </c>
      <c r="G24" s="1" t="s">
        <v>74</v>
      </c>
      <c r="H24" s="1" t="s">
        <v>309</v>
      </c>
      <c r="I24" s="1" t="s">
        <v>310</v>
      </c>
      <c r="J24" s="1" t="s">
        <v>311</v>
      </c>
      <c r="K24" s="1">
        <v>39.0</v>
      </c>
      <c r="L24" s="1">
        <v>2.59907355900031</v>
      </c>
      <c r="M24" s="1">
        <v>0.079726461508996</v>
      </c>
      <c r="N24" s="1">
        <v>1.01339757442474</v>
      </c>
      <c r="O24" s="1">
        <v>9.80989637130346</v>
      </c>
      <c r="P24" s="1">
        <v>1.015625</v>
      </c>
      <c r="S24" s="1">
        <v>39.0</v>
      </c>
      <c r="T24" s="1">
        <v>0.0797264615089961</v>
      </c>
      <c r="U24" s="1">
        <v>0.21293486708218</v>
      </c>
      <c r="V24" s="5">
        <v>4.23407163907541E-6</v>
      </c>
      <c r="W24" s="1">
        <v>1.01339757442474</v>
      </c>
      <c r="X24" s="1">
        <v>1.0133933403531</v>
      </c>
      <c r="Y24" s="1">
        <v>0.370390725135803</v>
      </c>
      <c r="Z24" s="1">
        <v>0.471431225538254</v>
      </c>
      <c r="AA24" s="1">
        <v>0.879163742065428</v>
      </c>
      <c r="AB24" s="1">
        <v>9.80989637130346</v>
      </c>
      <c r="AC24" s="1">
        <v>4.30895470662248</v>
      </c>
      <c r="AD24" s="1">
        <v>1.015625</v>
      </c>
      <c r="AE24" s="1">
        <v>1.26715915679931</v>
      </c>
      <c r="AF24" s="1">
        <v>1.99460182189941</v>
      </c>
      <c r="AG24" s="1">
        <v>2.1741470336914</v>
      </c>
      <c r="AH24" s="1">
        <v>2.0</v>
      </c>
      <c r="AI24" s="1">
        <v>1.0</v>
      </c>
      <c r="AJ24" s="1">
        <v>0.0</v>
      </c>
      <c r="AK24" s="1">
        <v>0.0</v>
      </c>
      <c r="AL24" s="1">
        <v>0.0512820512820512</v>
      </c>
      <c r="AM24" s="1">
        <v>0.0256410256410256</v>
      </c>
      <c r="AN24" s="1">
        <v>0.0</v>
      </c>
      <c r="AO24" s="1">
        <v>0.0</v>
      </c>
      <c r="AP24" s="1">
        <v>0.0</v>
      </c>
      <c r="AQ24" s="1">
        <v>0.0</v>
      </c>
      <c r="AR24" s="1">
        <v>0.0</v>
      </c>
      <c r="AS24" s="1">
        <v>0.14100311695493</v>
      </c>
      <c r="AT24" s="1">
        <v>1.01330155784671</v>
      </c>
      <c r="AU24" s="1">
        <v>0.300459436898549</v>
      </c>
      <c r="AV24" s="1">
        <v>1.0</v>
      </c>
      <c r="AW24" s="1">
        <v>1.0</v>
      </c>
      <c r="AX24" s="1">
        <v>0.0</v>
      </c>
      <c r="AY24" s="1">
        <v>0.0</v>
      </c>
      <c r="AZ24" s="1">
        <v>1.0</v>
      </c>
      <c r="BA24" s="1">
        <v>4.0</v>
      </c>
      <c r="BB24" s="1">
        <v>147.0</v>
      </c>
      <c r="BC24" s="1">
        <v>161.0</v>
      </c>
      <c r="BD24" s="1" t="s">
        <v>108</v>
      </c>
    </row>
    <row r="25">
      <c r="A25" s="1" t="s">
        <v>320</v>
      </c>
      <c r="B25" s="1" t="s">
        <v>70</v>
      </c>
      <c r="C25" s="1">
        <v>0.0</v>
      </c>
      <c r="D25" s="1" t="s">
        <v>71</v>
      </c>
      <c r="E25" s="1" t="b">
        <v>1</v>
      </c>
      <c r="F25" s="1" t="b">
        <v>0</v>
      </c>
      <c r="G25" s="1" t="s">
        <v>74</v>
      </c>
      <c r="H25" s="1" t="s">
        <v>321</v>
      </c>
      <c r="I25" s="1" t="s">
        <v>322</v>
      </c>
      <c r="J25" s="1" t="s">
        <v>323</v>
      </c>
      <c r="K25" s="1">
        <v>19.0</v>
      </c>
      <c r="L25" s="1">
        <v>1.26792956100007</v>
      </c>
      <c r="M25" s="1">
        <v>0.097564254634275</v>
      </c>
      <c r="N25" s="1">
        <v>0.801829993724823</v>
      </c>
      <c r="O25" s="1">
        <v>7.92965065805535</v>
      </c>
      <c r="P25" s="1">
        <v>0.028409957885742</v>
      </c>
      <c r="S25" s="1">
        <v>19.0</v>
      </c>
      <c r="T25" s="1">
        <v>0.0975642546342753</v>
      </c>
      <c r="U25" s="1">
        <v>0.226282077078269</v>
      </c>
      <c r="V25" s="5">
        <v>3.14424178213812E-5</v>
      </c>
      <c r="W25" s="1">
        <v>0.801829993724823</v>
      </c>
      <c r="X25" s="1">
        <v>0.801798551307001</v>
      </c>
      <c r="Y25" s="1">
        <v>0.304457414150237</v>
      </c>
      <c r="Z25" s="1">
        <v>0.646104049682616</v>
      </c>
      <c r="AA25" s="1">
        <v>0.770684804916381</v>
      </c>
      <c r="AB25" s="1">
        <v>7.92965065805535</v>
      </c>
      <c r="AC25" s="1">
        <v>3.93485643442316</v>
      </c>
      <c r="AD25" s="1">
        <v>0.0284099578857421</v>
      </c>
      <c r="AE25" s="1">
        <v>0.432642631530761</v>
      </c>
      <c r="AF25" s="1">
        <v>2.04957332611083</v>
      </c>
      <c r="AG25" s="1">
        <v>2.69460296630859</v>
      </c>
      <c r="AH25" s="1">
        <v>2.0</v>
      </c>
      <c r="AI25" s="1">
        <v>0.0</v>
      </c>
      <c r="AJ25" s="1">
        <v>0.0</v>
      </c>
      <c r="AK25" s="1">
        <v>0.0</v>
      </c>
      <c r="AL25" s="1">
        <v>0.105263157894736</v>
      </c>
      <c r="AM25" s="1">
        <v>0.0</v>
      </c>
      <c r="AN25" s="1">
        <v>0.0</v>
      </c>
      <c r="AO25" s="1">
        <v>1.0</v>
      </c>
      <c r="AP25" s="1">
        <v>1.0</v>
      </c>
      <c r="AQ25" s="1">
        <v>1.0</v>
      </c>
      <c r="AR25" s="1">
        <v>1.0</v>
      </c>
      <c r="AS25" s="1">
        <v>0.162429823215966</v>
      </c>
      <c r="AT25" s="1">
        <v>0.797076614573597</v>
      </c>
      <c r="AU25" s="1">
        <v>0.310918154192478</v>
      </c>
      <c r="AV25" s="1">
        <v>1.0</v>
      </c>
      <c r="AW25" s="1">
        <v>0.0</v>
      </c>
      <c r="AX25" s="1">
        <v>0.0</v>
      </c>
      <c r="AY25" s="1">
        <v>0.0</v>
      </c>
      <c r="AZ25" s="1">
        <v>0.0</v>
      </c>
      <c r="BA25" s="1">
        <v>2.0</v>
      </c>
      <c r="BB25" s="1">
        <v>54.0</v>
      </c>
      <c r="BC25" s="1">
        <v>68.0</v>
      </c>
      <c r="BD25" s="1" t="s">
        <v>108</v>
      </c>
    </row>
    <row r="26">
      <c r="A26" s="1" t="s">
        <v>331</v>
      </c>
      <c r="B26" s="1" t="s">
        <v>70</v>
      </c>
      <c r="C26" s="1">
        <v>0.0</v>
      </c>
      <c r="D26" s="1" t="s">
        <v>71</v>
      </c>
      <c r="E26" s="1" t="b">
        <v>1</v>
      </c>
      <c r="F26" s="1" t="b">
        <v>0</v>
      </c>
      <c r="G26" s="1" t="s">
        <v>74</v>
      </c>
      <c r="H26" s="1" t="s">
        <v>332</v>
      </c>
      <c r="I26" s="1" t="s">
        <v>333</v>
      </c>
      <c r="J26" s="1" t="s">
        <v>334</v>
      </c>
      <c r="K26" s="1">
        <v>49.0</v>
      </c>
      <c r="L26" s="1">
        <v>3.22808426799974</v>
      </c>
      <c r="M26" s="1">
        <v>0.083044393352027</v>
      </c>
      <c r="N26" s="1">
        <v>1.09122550487518</v>
      </c>
      <c r="O26" s="1">
        <v>9.6786153559782</v>
      </c>
      <c r="P26" s="1">
        <v>0.397727966308593</v>
      </c>
      <c r="S26" s="1">
        <v>49.0</v>
      </c>
      <c r="T26" s="1">
        <v>0.0830443933520274</v>
      </c>
      <c r="U26" s="1">
        <v>0.222542403679984</v>
      </c>
      <c r="V26" s="5">
        <v>2.81632605947379E-6</v>
      </c>
      <c r="W26" s="1">
        <v>1.09122550487518</v>
      </c>
      <c r="X26" s="1">
        <v>1.09122268854912</v>
      </c>
      <c r="Y26" s="1">
        <v>0.267018473148346</v>
      </c>
      <c r="Z26" s="1">
        <v>0.60140264034271</v>
      </c>
      <c r="AA26" s="1">
        <v>0.945614628791807</v>
      </c>
      <c r="AB26" s="1">
        <v>9.6786153559782</v>
      </c>
      <c r="AC26" s="1">
        <v>4.44201232519424</v>
      </c>
      <c r="AD26" s="1">
        <v>0.397727966308593</v>
      </c>
      <c r="AE26" s="1">
        <v>0.604318542480468</v>
      </c>
      <c r="AF26" s="1">
        <v>1.47045516967773</v>
      </c>
      <c r="AG26" s="1">
        <v>3.45909080505371</v>
      </c>
      <c r="AH26" s="1">
        <v>3.0</v>
      </c>
      <c r="AI26" s="1">
        <v>1.0</v>
      </c>
      <c r="AJ26" s="1">
        <v>0.0</v>
      </c>
      <c r="AK26" s="1">
        <v>0.0</v>
      </c>
      <c r="AL26" s="1">
        <v>0.0612244897959183</v>
      </c>
      <c r="AM26" s="1">
        <v>0.0204081632653061</v>
      </c>
      <c r="AN26" s="1">
        <v>0.0</v>
      </c>
      <c r="AO26" s="1">
        <v>0.0</v>
      </c>
      <c r="AP26" s="1">
        <v>0.0</v>
      </c>
      <c r="AQ26" s="1">
        <v>0.0</v>
      </c>
      <c r="AR26" s="1">
        <v>1.0</v>
      </c>
      <c r="AS26" s="1">
        <v>0.143390798963812</v>
      </c>
      <c r="AT26" s="1">
        <v>1.08922513551078</v>
      </c>
      <c r="AU26" s="1">
        <v>0.309198660969773</v>
      </c>
      <c r="AV26" s="1">
        <v>1.0</v>
      </c>
      <c r="AW26" s="1">
        <v>1.0</v>
      </c>
      <c r="AX26" s="1">
        <v>0.0</v>
      </c>
      <c r="AY26" s="1">
        <v>0.0</v>
      </c>
      <c r="AZ26" s="1">
        <v>1.0</v>
      </c>
      <c r="BA26" s="1">
        <v>5.0</v>
      </c>
      <c r="BB26" s="1">
        <v>124.0</v>
      </c>
      <c r="BC26" s="1">
        <v>138.0</v>
      </c>
      <c r="BD26" s="1" t="s">
        <v>108</v>
      </c>
    </row>
    <row r="27">
      <c r="A27" s="1" t="s">
        <v>344</v>
      </c>
      <c r="B27" s="1" t="s">
        <v>70</v>
      </c>
      <c r="C27" s="1">
        <v>0.0</v>
      </c>
      <c r="D27" s="1" t="s">
        <v>71</v>
      </c>
      <c r="E27" s="1" t="b">
        <v>1</v>
      </c>
      <c r="F27" s="1" t="b">
        <v>0</v>
      </c>
      <c r="G27" s="1" t="s">
        <v>74</v>
      </c>
      <c r="H27" s="1" t="s">
        <v>345</v>
      </c>
      <c r="I27" s="1" t="s">
        <v>346</v>
      </c>
      <c r="J27" s="1" t="s">
        <v>347</v>
      </c>
      <c r="K27" s="1">
        <v>93.0</v>
      </c>
      <c r="L27" s="1">
        <v>6.25240253999982</v>
      </c>
      <c r="M27" s="1">
        <v>0.091157488828821</v>
      </c>
      <c r="N27" s="1">
        <v>0.95336765050888</v>
      </c>
      <c r="O27" s="1">
        <v>9.61159006754557</v>
      </c>
      <c r="P27" s="1">
        <v>0.34375</v>
      </c>
      <c r="S27" s="1">
        <v>93.0</v>
      </c>
      <c r="T27" s="1">
        <v>0.0911574888288216</v>
      </c>
      <c r="U27" s="1">
        <v>0.213941577529785</v>
      </c>
      <c r="V27" s="5">
        <v>3.17608026989546E-7</v>
      </c>
      <c r="W27" s="1">
        <v>0.95336765050888</v>
      </c>
      <c r="X27" s="1">
        <v>0.953367332900853</v>
      </c>
      <c r="Y27" s="1">
        <v>0.39071323275566</v>
      </c>
      <c r="Z27" s="1">
        <v>0.620518708229064</v>
      </c>
      <c r="AA27" s="1">
        <v>0.880479001998901</v>
      </c>
      <c r="AB27" s="1">
        <v>9.61159006754557</v>
      </c>
      <c r="AC27" s="1">
        <v>4.61425035080593</v>
      </c>
      <c r="AD27" s="1">
        <v>0.34375</v>
      </c>
      <c r="AE27" s="1">
        <v>0.406477432250976</v>
      </c>
      <c r="AF27" s="1">
        <v>1.36477241516113</v>
      </c>
      <c r="AG27" s="1">
        <v>2.11107940673828</v>
      </c>
      <c r="AH27" s="1">
        <v>6.0</v>
      </c>
      <c r="AI27" s="1">
        <v>0.0</v>
      </c>
      <c r="AJ27" s="1">
        <v>0.0</v>
      </c>
      <c r="AK27" s="1">
        <v>0.0</v>
      </c>
      <c r="AL27" s="1">
        <v>0.064516129032258</v>
      </c>
      <c r="AM27" s="1">
        <v>0.0</v>
      </c>
      <c r="AN27" s="1">
        <v>0.0</v>
      </c>
      <c r="AO27" s="1">
        <v>0.0</v>
      </c>
      <c r="AP27" s="1">
        <v>0.0</v>
      </c>
      <c r="AQ27" s="1">
        <v>0.0</v>
      </c>
      <c r="AR27" s="1">
        <v>2.0</v>
      </c>
      <c r="AS27" s="1">
        <v>0.128000352578115</v>
      </c>
      <c r="AT27" s="1">
        <v>0.953209052910096</v>
      </c>
      <c r="AU27" s="1">
        <v>0.264056062550599</v>
      </c>
      <c r="AV27" s="1">
        <v>2.0</v>
      </c>
      <c r="AW27" s="1">
        <v>0.0</v>
      </c>
      <c r="AX27" s="1">
        <v>0.0</v>
      </c>
      <c r="AY27" s="1">
        <v>0.0</v>
      </c>
      <c r="AZ27" s="1">
        <v>0.0</v>
      </c>
      <c r="BA27" s="1">
        <v>15.0</v>
      </c>
      <c r="BB27" s="1">
        <v>359.0</v>
      </c>
      <c r="BC27" s="1">
        <v>373.0</v>
      </c>
      <c r="BD27" s="1" t="s">
        <v>108</v>
      </c>
    </row>
    <row r="28">
      <c r="A28" s="1" t="s">
        <v>355</v>
      </c>
      <c r="B28" s="1" t="s">
        <v>70</v>
      </c>
      <c r="C28" s="1">
        <v>0.0</v>
      </c>
      <c r="D28" s="1" t="s">
        <v>71</v>
      </c>
      <c r="E28" s="1" t="b">
        <v>0</v>
      </c>
      <c r="F28" s="1" t="b">
        <v>1</v>
      </c>
      <c r="G28" s="1" t="s">
        <v>356</v>
      </c>
      <c r="H28" s="1" t="s">
        <v>357</v>
      </c>
      <c r="I28" s="1" t="s">
        <v>358</v>
      </c>
      <c r="J28" s="1" t="s">
        <v>359</v>
      </c>
      <c r="K28" s="1">
        <v>58.0</v>
      </c>
      <c r="L28" s="1">
        <v>3.84939204400006</v>
      </c>
      <c r="M28" s="1">
        <v>0.095749479152283</v>
      </c>
      <c r="N28" s="1">
        <v>0.850079715251922</v>
      </c>
      <c r="O28" s="1">
        <v>9.00413930827173</v>
      </c>
      <c r="P28" s="1">
        <v>0.0625</v>
      </c>
      <c r="Q28" s="1" t="s">
        <v>198</v>
      </c>
      <c r="R28" s="1" t="s">
        <v>247</v>
      </c>
      <c r="S28" s="1">
        <v>58.0</v>
      </c>
      <c r="T28" s="1">
        <v>0.0957494791522831</v>
      </c>
      <c r="U28" s="1">
        <v>0.211423177126605</v>
      </c>
      <c r="V28" s="5">
        <v>1.10308983494178E-5</v>
      </c>
      <c r="W28" s="1">
        <v>0.850079715251922</v>
      </c>
      <c r="X28" s="1">
        <v>0.850068684353573</v>
      </c>
      <c r="Y28" s="1">
        <v>0.44484965801239</v>
      </c>
      <c r="Z28" s="1">
        <v>0.667291218042373</v>
      </c>
      <c r="AA28" s="1">
        <v>0.749492844939231</v>
      </c>
      <c r="AB28" s="1">
        <v>9.00413930827173</v>
      </c>
      <c r="AC28" s="1">
        <v>4.54787715166491</v>
      </c>
      <c r="AD28" s="1">
        <v>0.0625</v>
      </c>
      <c r="AE28" s="1">
        <v>0.28515625</v>
      </c>
      <c r="AF28" s="1">
        <v>0.86235818862915</v>
      </c>
      <c r="AG28" s="1">
        <v>1.92556934356689</v>
      </c>
      <c r="AH28" s="1">
        <v>6.0</v>
      </c>
      <c r="AI28" s="1">
        <v>0.0</v>
      </c>
      <c r="AJ28" s="1">
        <v>0.0</v>
      </c>
      <c r="AK28" s="1">
        <v>0.0</v>
      </c>
      <c r="AL28" s="1">
        <v>0.103448275862068</v>
      </c>
      <c r="AM28" s="1">
        <v>0.0</v>
      </c>
      <c r="AN28" s="1">
        <v>0.0</v>
      </c>
      <c r="AO28" s="1">
        <v>0.0</v>
      </c>
      <c r="AP28" s="1">
        <v>1.0</v>
      </c>
      <c r="AQ28" s="1">
        <v>1.0</v>
      </c>
      <c r="AR28" s="1">
        <v>2.0</v>
      </c>
      <c r="AS28" s="1">
        <v>0.142723443879093</v>
      </c>
      <c r="AT28" s="1">
        <v>0.847394115291535</v>
      </c>
      <c r="AU28" s="1">
        <v>0.274827848250177</v>
      </c>
      <c r="AV28" s="1">
        <v>2.0</v>
      </c>
      <c r="AW28" s="1">
        <v>0.0</v>
      </c>
      <c r="AX28" s="1">
        <v>0.0</v>
      </c>
      <c r="AY28" s="1">
        <v>0.0</v>
      </c>
      <c r="AZ28" s="1">
        <v>0.0</v>
      </c>
      <c r="BA28" s="1">
        <v>10.0</v>
      </c>
      <c r="BB28" s="1">
        <v>252.0</v>
      </c>
      <c r="BC28" s="1">
        <v>266.0</v>
      </c>
      <c r="BD28" s="1" t="s">
        <v>204</v>
      </c>
    </row>
    <row r="29">
      <c r="A29" s="1" t="s">
        <v>367</v>
      </c>
      <c r="B29" s="1" t="s">
        <v>70</v>
      </c>
      <c r="C29" s="1">
        <v>0.0</v>
      </c>
      <c r="D29" s="1" t="s">
        <v>71</v>
      </c>
      <c r="E29" s="1" t="b">
        <v>1</v>
      </c>
      <c r="F29" s="1" t="b">
        <v>0</v>
      </c>
      <c r="G29" s="1" t="s">
        <v>74</v>
      </c>
      <c r="H29" s="1" t="s">
        <v>369</v>
      </c>
      <c r="I29" s="1" t="s">
        <v>371</v>
      </c>
      <c r="J29" s="1" t="s">
        <v>372</v>
      </c>
      <c r="K29" s="1">
        <v>36.0</v>
      </c>
      <c r="L29" s="1">
        <v>2.37511374200039</v>
      </c>
      <c r="M29" s="1">
        <v>0.122699432238277</v>
      </c>
      <c r="N29" s="1">
        <v>0.854564845561981</v>
      </c>
      <c r="O29" s="1">
        <v>9.14443291558159</v>
      </c>
      <c r="P29" s="1">
        <v>0.28125</v>
      </c>
      <c r="S29" s="1">
        <v>36.0</v>
      </c>
      <c r="T29" s="1">
        <v>0.122699432238277</v>
      </c>
      <c r="U29" s="1">
        <v>0.261026331300545</v>
      </c>
      <c r="V29" s="5">
        <v>1.42180942930281E-6</v>
      </c>
      <c r="W29" s="1">
        <v>0.854564845561981</v>
      </c>
      <c r="X29" s="1">
        <v>0.854563423752551</v>
      </c>
      <c r="Y29" s="1">
        <v>0.643634110689163</v>
      </c>
      <c r="Z29" s="1">
        <v>0.72063161432743</v>
      </c>
      <c r="AA29" s="1">
        <v>0.809611338376998</v>
      </c>
      <c r="AB29" s="1">
        <v>9.14443291558159</v>
      </c>
      <c r="AC29" s="1">
        <v>4.86067517103424</v>
      </c>
      <c r="AD29" s="1">
        <v>0.28125</v>
      </c>
      <c r="AE29" s="1">
        <v>0.283736038208007</v>
      </c>
      <c r="AF29" s="1">
        <v>0.676137447357177</v>
      </c>
      <c r="AG29" s="1">
        <v>1.10440254211425</v>
      </c>
      <c r="AH29" s="1">
        <v>6.0</v>
      </c>
      <c r="AI29" s="1">
        <v>0.0</v>
      </c>
      <c r="AJ29" s="1">
        <v>0.0</v>
      </c>
      <c r="AK29" s="1">
        <v>0.0</v>
      </c>
      <c r="AL29" s="1">
        <v>0.166666666666666</v>
      </c>
      <c r="AM29" s="1">
        <v>0.0</v>
      </c>
      <c r="AN29" s="1">
        <v>0.0</v>
      </c>
      <c r="AO29" s="1">
        <v>0.0</v>
      </c>
      <c r="AP29" s="1">
        <v>0.0</v>
      </c>
      <c r="AQ29" s="1">
        <v>0.0</v>
      </c>
      <c r="AR29" s="1">
        <v>2.0</v>
      </c>
      <c r="AS29" s="1">
        <v>0.177473388802692</v>
      </c>
      <c r="AT29" s="1">
        <v>0.850964292883873</v>
      </c>
      <c r="AU29" s="1">
        <v>0.337254687679096</v>
      </c>
      <c r="AV29" s="1">
        <v>2.0</v>
      </c>
      <c r="AW29" s="1">
        <v>0.0</v>
      </c>
      <c r="AX29" s="1">
        <v>0.0</v>
      </c>
      <c r="AY29" s="1">
        <v>0.0</v>
      </c>
      <c r="AZ29" s="1">
        <v>0.0</v>
      </c>
      <c r="BA29" s="1">
        <v>2.0</v>
      </c>
      <c r="BB29" s="1">
        <v>100.0</v>
      </c>
      <c r="BC29" s="1">
        <v>114.0</v>
      </c>
      <c r="BD29" s="1" t="s">
        <v>108</v>
      </c>
    </row>
    <row r="30">
      <c r="A30" s="1" t="s">
        <v>378</v>
      </c>
      <c r="B30" s="1" t="s">
        <v>70</v>
      </c>
      <c r="C30" s="1">
        <v>0.0</v>
      </c>
      <c r="D30" s="1" t="s">
        <v>71</v>
      </c>
      <c r="E30" s="1" t="b">
        <v>1</v>
      </c>
      <c r="F30" s="1" t="b">
        <v>0</v>
      </c>
      <c r="G30" s="1" t="s">
        <v>74</v>
      </c>
      <c r="H30" s="1" t="s">
        <v>380</v>
      </c>
      <c r="I30" s="1" t="s">
        <v>382</v>
      </c>
      <c r="J30" s="1" t="s">
        <v>383</v>
      </c>
      <c r="K30" s="1">
        <v>26.0</v>
      </c>
      <c r="L30" s="1">
        <v>1.72589713600018</v>
      </c>
      <c r="M30" s="1">
        <v>0.110785470967619</v>
      </c>
      <c r="N30" s="1">
        <v>0.679988920688629</v>
      </c>
      <c r="O30" s="1">
        <v>8.37628423250638</v>
      </c>
      <c r="P30" s="1">
        <v>0.517044067382812</v>
      </c>
      <c r="S30" s="1">
        <v>26.0</v>
      </c>
      <c r="T30" s="1">
        <v>0.110785470967619</v>
      </c>
      <c r="U30" s="1">
        <v>0.224536055244128</v>
      </c>
      <c r="V30" s="5">
        <v>2.15735453821253E-5</v>
      </c>
      <c r="W30" s="1">
        <v>0.679988920688629</v>
      </c>
      <c r="X30" s="1">
        <v>0.679967347143247</v>
      </c>
      <c r="Y30" s="1">
        <v>0.496476516127586</v>
      </c>
      <c r="Z30" s="1">
        <v>0.647476091980934</v>
      </c>
      <c r="AA30" s="1">
        <v>0.67767958343029</v>
      </c>
      <c r="AB30" s="1">
        <v>8.37628423250638</v>
      </c>
      <c r="AC30" s="1">
        <v>4.23474387673605</v>
      </c>
      <c r="AD30" s="1">
        <v>0.517044067382812</v>
      </c>
      <c r="AE30" s="1">
        <v>0.657669067382812</v>
      </c>
      <c r="AF30" s="1">
        <v>1.2198143005371</v>
      </c>
      <c r="AG30" s="1">
        <v>1.86292648315429</v>
      </c>
      <c r="AH30" s="1">
        <v>3.0</v>
      </c>
      <c r="AI30" s="1">
        <v>0.0</v>
      </c>
      <c r="AJ30" s="1">
        <v>0.0</v>
      </c>
      <c r="AK30" s="1">
        <v>0.0</v>
      </c>
      <c r="AL30" s="1">
        <v>0.115384615384615</v>
      </c>
      <c r="AM30" s="1">
        <v>0.0</v>
      </c>
      <c r="AN30" s="1">
        <v>0.0</v>
      </c>
      <c r="AO30" s="1">
        <v>0.0</v>
      </c>
      <c r="AP30" s="1">
        <v>0.0</v>
      </c>
      <c r="AQ30" s="1">
        <v>0.0</v>
      </c>
      <c r="AR30" s="1">
        <v>0.0</v>
      </c>
      <c r="AS30" s="1">
        <v>0.162529002786614</v>
      </c>
      <c r="AT30" s="1">
        <v>0.677479879697784</v>
      </c>
      <c r="AU30" s="1">
        <v>0.287752397267369</v>
      </c>
      <c r="AV30" s="1">
        <v>1.0</v>
      </c>
      <c r="AW30" s="1">
        <v>0.0</v>
      </c>
      <c r="AX30" s="1">
        <v>0.0</v>
      </c>
      <c r="AY30" s="1">
        <v>0.0</v>
      </c>
      <c r="AZ30" s="1">
        <v>0.0</v>
      </c>
      <c r="BA30" s="1">
        <v>4.0</v>
      </c>
      <c r="BB30" s="1">
        <v>96.0</v>
      </c>
      <c r="BC30" s="1">
        <v>110.0</v>
      </c>
      <c r="BD30" s="1" t="s">
        <v>108</v>
      </c>
    </row>
    <row r="31">
      <c r="A31" s="1" t="s">
        <v>390</v>
      </c>
      <c r="B31" s="1" t="s">
        <v>70</v>
      </c>
      <c r="C31" s="1">
        <v>0.0</v>
      </c>
      <c r="D31" s="1" t="s">
        <v>71</v>
      </c>
      <c r="E31" s="1" t="b">
        <v>1</v>
      </c>
      <c r="F31" s="1" t="b">
        <v>0</v>
      </c>
      <c r="G31" s="1" t="s">
        <v>74</v>
      </c>
      <c r="H31" s="1" t="s">
        <v>391</v>
      </c>
      <c r="I31" s="1" t="s">
        <v>392</v>
      </c>
      <c r="J31" s="1" t="s">
        <v>393</v>
      </c>
      <c r="K31" s="1">
        <v>40.0</v>
      </c>
      <c r="L31" s="1">
        <v>2.66627863600024</v>
      </c>
      <c r="M31" s="1">
        <v>0.06378890263328</v>
      </c>
      <c r="N31" s="1">
        <v>0.575573086738586</v>
      </c>
      <c r="O31" s="1">
        <v>9.77258565425872</v>
      </c>
      <c r="P31" s="1">
        <v>1.3096580505371</v>
      </c>
      <c r="S31" s="1">
        <v>40.0</v>
      </c>
      <c r="T31" s="1">
        <v>0.06378890263328</v>
      </c>
      <c r="U31" s="1">
        <v>0.162762656340091</v>
      </c>
      <c r="V31" s="5">
        <v>3.8453531487903E-6</v>
      </c>
      <c r="W31" s="1">
        <v>0.575573086738586</v>
      </c>
      <c r="X31" s="1">
        <v>0.575569241385437</v>
      </c>
      <c r="Y31" s="1">
        <v>0.34097828567028</v>
      </c>
      <c r="Z31" s="1">
        <v>0.495506505668163</v>
      </c>
      <c r="AA31" s="1">
        <v>0.55665655195713</v>
      </c>
      <c r="AB31" s="1">
        <v>9.77258565425872</v>
      </c>
      <c r="AC31" s="1">
        <v>3.94803255270101</v>
      </c>
      <c r="AD31" s="1">
        <v>1.3096580505371</v>
      </c>
      <c r="AE31" s="1">
        <v>1.51463031768798</v>
      </c>
      <c r="AF31" s="1">
        <v>2.05113639831542</v>
      </c>
      <c r="AG31" s="1">
        <v>2.31803970336914</v>
      </c>
      <c r="AH31" s="1">
        <v>2.0</v>
      </c>
      <c r="AI31" s="1">
        <v>0.0</v>
      </c>
      <c r="AJ31" s="1">
        <v>0.0</v>
      </c>
      <c r="AK31" s="1">
        <v>0.0</v>
      </c>
      <c r="AL31" s="1">
        <v>0.05</v>
      </c>
      <c r="AM31" s="1">
        <v>0.0</v>
      </c>
      <c r="AN31" s="1">
        <v>0.0</v>
      </c>
      <c r="AO31" s="1">
        <v>0.0</v>
      </c>
      <c r="AP31" s="1">
        <v>0.0</v>
      </c>
      <c r="AQ31" s="1">
        <v>0.0</v>
      </c>
      <c r="AR31" s="1">
        <v>0.0</v>
      </c>
      <c r="AS31" s="1">
        <v>0.0854558643439957</v>
      </c>
      <c r="AT31" s="1">
        <v>0.572952931979671</v>
      </c>
      <c r="AU31" s="1">
        <v>0.193792538595154</v>
      </c>
      <c r="AV31" s="1">
        <v>1.0</v>
      </c>
      <c r="AW31" s="1">
        <v>0.0</v>
      </c>
      <c r="AX31" s="1">
        <v>0.0</v>
      </c>
      <c r="AY31" s="1">
        <v>0.0</v>
      </c>
      <c r="AZ31" s="1">
        <v>0.0</v>
      </c>
      <c r="BA31" s="1">
        <v>4.0</v>
      </c>
      <c r="BB31" s="1">
        <v>148.0</v>
      </c>
      <c r="BC31" s="1">
        <v>162.0</v>
      </c>
      <c r="BD31" s="1" t="s">
        <v>108</v>
      </c>
    </row>
    <row r="32">
      <c r="A32" s="1" t="s">
        <v>402</v>
      </c>
      <c r="B32" s="1" t="s">
        <v>70</v>
      </c>
      <c r="C32" s="1">
        <v>0.0</v>
      </c>
      <c r="D32" s="1" t="s">
        <v>71</v>
      </c>
      <c r="E32" s="1" t="b">
        <v>1</v>
      </c>
      <c r="F32" s="1" t="b">
        <v>0</v>
      </c>
      <c r="G32" s="1" t="s">
        <v>74</v>
      </c>
      <c r="H32" s="1" t="s">
        <v>403</v>
      </c>
      <c r="I32" s="1" t="s">
        <v>404</v>
      </c>
      <c r="J32" s="1" t="s">
        <v>405</v>
      </c>
      <c r="K32" s="1">
        <v>26.0</v>
      </c>
      <c r="L32" s="1">
        <v>1.7924185249999</v>
      </c>
      <c r="M32" s="1">
        <v>0.08807022032383</v>
      </c>
      <c r="N32" s="1">
        <v>0.75417536497116</v>
      </c>
      <c r="O32" s="1">
        <v>9.13800316590529</v>
      </c>
      <c r="P32" s="1">
        <v>1.31107902526855</v>
      </c>
      <c r="S32" s="1">
        <v>26.0</v>
      </c>
      <c r="T32" s="1">
        <v>0.0880702203238308</v>
      </c>
      <c r="U32" s="1">
        <v>0.193653504667771</v>
      </c>
      <c r="V32" s="5">
        <v>3.09909773932304E-6</v>
      </c>
      <c r="W32" s="1">
        <v>0.75417536497116</v>
      </c>
      <c r="X32" s="1">
        <v>0.754172265873421</v>
      </c>
      <c r="Y32" s="1">
        <v>0.397080600261688</v>
      </c>
      <c r="Z32" s="1">
        <v>0.468418464064598</v>
      </c>
      <c r="AA32" s="1">
        <v>0.688256427645683</v>
      </c>
      <c r="AB32" s="1">
        <v>9.13800316590529</v>
      </c>
      <c r="AC32" s="1">
        <v>4.88032212547403</v>
      </c>
      <c r="AD32" s="1">
        <v>1.31107902526855</v>
      </c>
      <c r="AE32" s="1">
        <v>1.35546875</v>
      </c>
      <c r="AF32" s="1">
        <v>1.65198993682861</v>
      </c>
      <c r="AG32" s="1">
        <v>2.21164798736572</v>
      </c>
      <c r="AH32" s="1">
        <v>1.0</v>
      </c>
      <c r="AI32" s="1">
        <v>0.0</v>
      </c>
      <c r="AJ32" s="1">
        <v>0.0</v>
      </c>
      <c r="AK32" s="1">
        <v>0.0</v>
      </c>
      <c r="AL32" s="1">
        <v>0.0384615384615384</v>
      </c>
      <c r="AM32" s="1">
        <v>0.0</v>
      </c>
      <c r="AN32" s="1">
        <v>0.0</v>
      </c>
      <c r="AO32" s="1">
        <v>0.0</v>
      </c>
      <c r="AP32" s="1">
        <v>0.0</v>
      </c>
      <c r="AQ32" s="1">
        <v>0.0</v>
      </c>
      <c r="AR32" s="1">
        <v>0.0</v>
      </c>
      <c r="AS32" s="1">
        <v>0.145864811544161</v>
      </c>
      <c r="AT32" s="1">
        <v>0.751505007501691</v>
      </c>
      <c r="AU32" s="1">
        <v>0.257331671326572</v>
      </c>
      <c r="AV32" s="1">
        <v>1.0</v>
      </c>
      <c r="AW32" s="1">
        <v>0.0</v>
      </c>
      <c r="AX32" s="1">
        <v>0.0</v>
      </c>
      <c r="AY32" s="1">
        <v>0.0</v>
      </c>
      <c r="AZ32" s="1">
        <v>0.0</v>
      </c>
      <c r="BA32" s="1">
        <v>2.0</v>
      </c>
      <c r="BB32" s="1">
        <v>61.0</v>
      </c>
      <c r="BC32" s="1">
        <v>75.0</v>
      </c>
      <c r="BD32" s="1" t="s">
        <v>108</v>
      </c>
    </row>
    <row r="33">
      <c r="A33" s="1" t="s">
        <v>413</v>
      </c>
      <c r="B33" s="1" t="s">
        <v>70</v>
      </c>
      <c r="C33" s="1">
        <v>0.0</v>
      </c>
      <c r="D33" s="1" t="s">
        <v>71</v>
      </c>
      <c r="E33" s="1" t="b">
        <v>1</v>
      </c>
      <c r="F33" s="1" t="b">
        <v>0</v>
      </c>
      <c r="G33" s="1" t="s">
        <v>74</v>
      </c>
      <c r="H33" s="1" t="s">
        <v>414</v>
      </c>
      <c r="I33" s="1" t="s">
        <v>415</v>
      </c>
      <c r="J33" s="1" t="s">
        <v>416</v>
      </c>
      <c r="K33" s="1">
        <v>85.0</v>
      </c>
      <c r="L33" s="1">
        <v>5.68827567100015</v>
      </c>
      <c r="M33" s="1">
        <v>0.048263938217969</v>
      </c>
      <c r="N33" s="1">
        <v>0.811927080154419</v>
      </c>
      <c r="O33" s="1">
        <v>10.6666950338027</v>
      </c>
      <c r="P33" s="1">
        <v>0.008523941040039</v>
      </c>
      <c r="S33" s="1">
        <v>85.0</v>
      </c>
      <c r="T33" s="1">
        <v>0.0482639382179694</v>
      </c>
      <c r="U33" s="1">
        <v>0.162325126739664</v>
      </c>
      <c r="V33" s="5">
        <v>2.13955729577719E-7</v>
      </c>
      <c r="W33" s="1">
        <v>0.811927080154419</v>
      </c>
      <c r="X33" s="1">
        <v>0.811926866198689</v>
      </c>
      <c r="Y33" s="1">
        <v>0.0774086773395539</v>
      </c>
      <c r="Z33" s="1">
        <v>0.423870220780371</v>
      </c>
      <c r="AA33" s="1">
        <v>0.788550426959991</v>
      </c>
      <c r="AB33" s="1">
        <v>10.6666950338027</v>
      </c>
      <c r="AC33" s="1">
        <v>4.12999881319972</v>
      </c>
      <c r="AD33" s="1">
        <v>0.00852394104003906</v>
      </c>
      <c r="AE33" s="1">
        <v>0.0801138305664062</v>
      </c>
      <c r="AF33" s="1">
        <v>2.50028381347656</v>
      </c>
      <c r="AG33" s="1">
        <v>4.2125</v>
      </c>
      <c r="AH33" s="1">
        <v>4.0</v>
      </c>
      <c r="AI33" s="1">
        <v>0.0</v>
      </c>
      <c r="AJ33" s="1">
        <v>0.0</v>
      </c>
      <c r="AK33" s="1">
        <v>0.0</v>
      </c>
      <c r="AL33" s="1">
        <v>0.0470588235294117</v>
      </c>
      <c r="AM33" s="1">
        <v>0.0</v>
      </c>
      <c r="AN33" s="1">
        <v>0.0</v>
      </c>
      <c r="AO33" s="1">
        <v>1.0</v>
      </c>
      <c r="AP33" s="1">
        <v>2.0</v>
      </c>
      <c r="AQ33" s="1">
        <v>2.0</v>
      </c>
      <c r="AR33" s="1">
        <v>3.0</v>
      </c>
      <c r="AS33" s="1">
        <v>0.088079250246574</v>
      </c>
      <c r="AT33" s="1">
        <v>0.811019820277579</v>
      </c>
      <c r="AU33" s="1">
        <v>0.229598477205359</v>
      </c>
      <c r="AV33" s="1">
        <v>1.0</v>
      </c>
      <c r="AW33" s="1">
        <v>0.0</v>
      </c>
      <c r="AX33" s="1">
        <v>0.0</v>
      </c>
      <c r="AY33" s="1">
        <v>0.0</v>
      </c>
      <c r="AZ33" s="1">
        <v>0.0</v>
      </c>
      <c r="BA33" s="1">
        <v>11.0</v>
      </c>
      <c r="BB33" s="1">
        <v>234.0</v>
      </c>
      <c r="BC33" s="1">
        <v>248.0</v>
      </c>
      <c r="BD33" s="1" t="s">
        <v>108</v>
      </c>
    </row>
    <row r="34">
      <c r="A34" s="1" t="s">
        <v>424</v>
      </c>
      <c r="B34" s="1" t="s">
        <v>70</v>
      </c>
      <c r="C34" s="1">
        <v>0.0</v>
      </c>
      <c r="D34" s="1" t="s">
        <v>71</v>
      </c>
      <c r="E34" s="1" t="b">
        <v>0</v>
      </c>
      <c r="F34" s="1" t="b">
        <v>1</v>
      </c>
      <c r="G34" s="1" t="s">
        <v>425</v>
      </c>
      <c r="H34" s="1" t="s">
        <v>426</v>
      </c>
      <c r="I34" s="1" t="s">
        <v>427</v>
      </c>
      <c r="J34" s="1" t="s">
        <v>429</v>
      </c>
      <c r="K34" s="1">
        <v>362.0</v>
      </c>
      <c r="L34" s="1">
        <v>25.2838276940001</v>
      </c>
      <c r="M34" s="1">
        <v>0.083161052384777</v>
      </c>
      <c r="N34" s="1">
        <v>2.33697795867919</v>
      </c>
      <c r="O34" s="1">
        <v>9.49893524897032</v>
      </c>
      <c r="P34" s="1">
        <v>0.071022033691406</v>
      </c>
      <c r="Q34" s="1" t="s">
        <v>198</v>
      </c>
      <c r="R34" s="1" t="s">
        <v>432</v>
      </c>
      <c r="S34" s="1">
        <v>362.0</v>
      </c>
      <c r="T34" s="1">
        <v>0.0831610523847775</v>
      </c>
      <c r="U34" s="1">
        <v>0.261808875777276</v>
      </c>
      <c r="V34" s="5">
        <v>7.04143712937366E-6</v>
      </c>
      <c r="W34" s="1">
        <v>2.33697795867919</v>
      </c>
      <c r="X34" s="1">
        <v>2.33697091724207</v>
      </c>
      <c r="Y34" s="1">
        <v>0.230888757109642</v>
      </c>
      <c r="Z34" s="1">
        <v>0.561614295840262</v>
      </c>
      <c r="AA34" s="1">
        <v>1.16843299627303</v>
      </c>
      <c r="AB34" s="1">
        <v>9.49893524897032</v>
      </c>
      <c r="AC34" s="1">
        <v>3.76983515906288</v>
      </c>
      <c r="AD34" s="1">
        <v>0.0710220336914062</v>
      </c>
      <c r="AE34" s="1">
        <v>0.27190444946289</v>
      </c>
      <c r="AF34" s="1">
        <v>1.75965909957885</v>
      </c>
      <c r="AG34" s="1">
        <v>2.96235904693603</v>
      </c>
      <c r="AH34" s="1">
        <v>20.0</v>
      </c>
      <c r="AI34" s="1">
        <v>6.0</v>
      </c>
      <c r="AJ34" s="1">
        <v>3.0</v>
      </c>
      <c r="AK34" s="1">
        <v>2.0</v>
      </c>
      <c r="AL34" s="1">
        <v>0.0552486187845303</v>
      </c>
      <c r="AM34" s="1">
        <v>0.0165745856353591</v>
      </c>
      <c r="AN34" s="1">
        <v>0.00828729281767955</v>
      </c>
      <c r="AO34" s="1">
        <v>0.0</v>
      </c>
      <c r="AP34" s="1">
        <v>2.0</v>
      </c>
      <c r="AQ34" s="1">
        <v>3.0</v>
      </c>
      <c r="AR34" s="1">
        <v>6.0</v>
      </c>
      <c r="AS34" s="1">
        <v>0.117568899465758</v>
      </c>
      <c r="AT34" s="1">
        <v>2.11436660587787</v>
      </c>
      <c r="AU34" s="1">
        <v>0.305563364094495</v>
      </c>
      <c r="AV34" s="1">
        <v>2.0</v>
      </c>
      <c r="AW34" s="1">
        <v>2.0</v>
      </c>
      <c r="AX34" s="1">
        <v>2.0</v>
      </c>
      <c r="AY34" s="1">
        <v>0.0</v>
      </c>
      <c r="AZ34" s="1">
        <v>2.0</v>
      </c>
      <c r="BA34" s="1">
        <v>27.0</v>
      </c>
      <c r="BB34" s="1">
        <v>819.0</v>
      </c>
      <c r="BC34" s="1">
        <v>1071.0</v>
      </c>
      <c r="BD34" s="1" t="s">
        <v>204</v>
      </c>
    </row>
    <row r="35">
      <c r="A35" s="1" t="s">
        <v>440</v>
      </c>
      <c r="B35" s="1" t="s">
        <v>70</v>
      </c>
      <c r="C35" s="1">
        <v>0.0</v>
      </c>
      <c r="D35" s="1" t="s">
        <v>71</v>
      </c>
      <c r="E35" s="1" t="b">
        <v>1</v>
      </c>
      <c r="F35" s="1" t="b">
        <v>0</v>
      </c>
      <c r="G35" s="1" t="s">
        <v>74</v>
      </c>
      <c r="H35" s="1" t="s">
        <v>443</v>
      </c>
      <c r="I35" s="1" t="s">
        <v>444</v>
      </c>
      <c r="J35" s="1" t="s">
        <v>446</v>
      </c>
      <c r="K35" s="1">
        <v>106.0</v>
      </c>
      <c r="L35" s="1">
        <v>7.16758346999995</v>
      </c>
      <c r="M35" s="1">
        <v>0.129215163464194</v>
      </c>
      <c r="N35" s="1">
        <v>1.45626020431518</v>
      </c>
      <c r="O35" s="1">
        <v>8.53945813089046</v>
      </c>
      <c r="P35" s="1">
        <v>0.113636016845703</v>
      </c>
      <c r="S35" s="1">
        <v>106.0</v>
      </c>
      <c r="T35" s="1">
        <v>0.129215163464194</v>
      </c>
      <c r="U35" s="1">
        <v>0.285159950292191</v>
      </c>
      <c r="V35" s="5">
        <v>6.45783984509762E-6</v>
      </c>
      <c r="W35" s="1">
        <v>1.45626020431518</v>
      </c>
      <c r="X35" s="1">
        <v>1.45625374647534</v>
      </c>
      <c r="Y35" s="1">
        <v>0.504871904850006</v>
      </c>
      <c r="Z35" s="1">
        <v>0.763639077544212</v>
      </c>
      <c r="AA35" s="1">
        <v>1.40993033647537</v>
      </c>
      <c r="AB35" s="1">
        <v>8.53945813089046</v>
      </c>
      <c r="AC35" s="1">
        <v>4.41299936691613</v>
      </c>
      <c r="AD35" s="1">
        <v>0.113636016845703</v>
      </c>
      <c r="AE35" s="1">
        <v>0.459941864013671</v>
      </c>
      <c r="AF35" s="1">
        <v>1.19779825210571</v>
      </c>
      <c r="AG35" s="1">
        <v>1.90340900421142</v>
      </c>
      <c r="AH35" s="1">
        <v>12.0</v>
      </c>
      <c r="AI35" s="1">
        <v>3.0</v>
      </c>
      <c r="AJ35" s="1">
        <v>0.0</v>
      </c>
      <c r="AK35" s="1">
        <v>0.0</v>
      </c>
      <c r="AL35" s="1">
        <v>0.113207547169811</v>
      </c>
      <c r="AM35" s="1">
        <v>0.0283018867924528</v>
      </c>
      <c r="AN35" s="1">
        <v>0.0</v>
      </c>
      <c r="AO35" s="1">
        <v>0.0</v>
      </c>
      <c r="AP35" s="1">
        <v>0.0</v>
      </c>
      <c r="AQ35" s="1">
        <v>1.0</v>
      </c>
      <c r="AR35" s="1">
        <v>2.0</v>
      </c>
      <c r="AS35" s="1">
        <v>0.184603670387029</v>
      </c>
      <c r="AT35" s="1">
        <v>1.45413782494142</v>
      </c>
      <c r="AU35" s="1">
        <v>0.352388712348092</v>
      </c>
      <c r="AV35" s="1">
        <v>2.0</v>
      </c>
      <c r="AW35" s="1">
        <v>1.0</v>
      </c>
      <c r="AX35" s="1">
        <v>0.0</v>
      </c>
      <c r="AY35" s="1">
        <v>0.0</v>
      </c>
      <c r="AZ35" s="1">
        <v>1.0</v>
      </c>
      <c r="BA35" s="1">
        <v>10.0</v>
      </c>
      <c r="BB35" s="1">
        <v>405.0</v>
      </c>
      <c r="BC35" s="1">
        <v>419.0</v>
      </c>
      <c r="BD35" s="1" t="s">
        <v>108</v>
      </c>
    </row>
    <row r="36">
      <c r="A36" s="1" t="s">
        <v>453</v>
      </c>
      <c r="B36" s="1" t="s">
        <v>70</v>
      </c>
      <c r="C36" s="1">
        <v>0.0</v>
      </c>
      <c r="D36" s="1" t="s">
        <v>71</v>
      </c>
      <c r="E36" s="1" t="b">
        <v>1</v>
      </c>
      <c r="F36" s="1" t="b">
        <v>0</v>
      </c>
      <c r="G36" s="1" t="s">
        <v>74</v>
      </c>
      <c r="H36" s="1" t="s">
        <v>456</v>
      </c>
      <c r="I36" s="1" t="s">
        <v>458</v>
      </c>
      <c r="J36" s="1" t="s">
        <v>459</v>
      </c>
      <c r="K36" s="1">
        <v>17.0</v>
      </c>
      <c r="L36" s="1">
        <v>1.14421303000017</v>
      </c>
      <c r="M36" s="1">
        <v>0.152273167636902</v>
      </c>
      <c r="N36" s="1">
        <v>1.13095688819885</v>
      </c>
      <c r="O36" s="1">
        <v>6.53304694680606</v>
      </c>
      <c r="P36" s="1">
        <v>0.96875</v>
      </c>
      <c r="S36" s="1">
        <v>17.0</v>
      </c>
      <c r="T36" s="1">
        <v>0.152273167636902</v>
      </c>
      <c r="U36" s="1">
        <v>0.314213921589726</v>
      </c>
      <c r="V36" s="1">
        <v>5.28453034348785E-4</v>
      </c>
      <c r="W36" s="1">
        <v>1.13095688819885</v>
      </c>
      <c r="X36" s="1">
        <v>1.1304284351645</v>
      </c>
      <c r="Y36" s="1">
        <v>0.464681732654571</v>
      </c>
      <c r="Z36" s="1">
        <v>0.831622743606567</v>
      </c>
      <c r="AA36" s="1">
        <v>1.07109005928039</v>
      </c>
      <c r="AB36" s="1">
        <v>6.53304694680606</v>
      </c>
      <c r="AC36" s="1">
        <v>3.35314141845543</v>
      </c>
      <c r="AD36" s="1">
        <v>0.96875</v>
      </c>
      <c r="AE36" s="1">
        <v>1.12670471191406</v>
      </c>
      <c r="AF36" s="1">
        <v>1.75852355957031</v>
      </c>
      <c r="AG36" s="1">
        <v>2.31562614440917</v>
      </c>
      <c r="AH36" s="1">
        <v>2.0</v>
      </c>
      <c r="AI36" s="1">
        <v>1.0</v>
      </c>
      <c r="AJ36" s="1">
        <v>0.0</v>
      </c>
      <c r="AK36" s="1">
        <v>0.0</v>
      </c>
      <c r="AL36" s="1">
        <v>0.117647058823529</v>
      </c>
      <c r="AM36" s="1">
        <v>0.0588235294117647</v>
      </c>
      <c r="AN36" s="1">
        <v>0.0</v>
      </c>
      <c r="AO36" s="1">
        <v>0.0</v>
      </c>
      <c r="AP36" s="1">
        <v>0.0</v>
      </c>
      <c r="AQ36" s="1">
        <v>0.0</v>
      </c>
      <c r="AR36" s="1">
        <v>0.0</v>
      </c>
      <c r="AS36" s="1">
        <v>0.239813910047814</v>
      </c>
      <c r="AT36" s="1">
        <v>1.1282980365213</v>
      </c>
      <c r="AU36" s="1">
        <v>0.399209769272293</v>
      </c>
      <c r="AV36" s="1">
        <v>1.0</v>
      </c>
      <c r="AW36" s="1">
        <v>1.0</v>
      </c>
      <c r="AX36" s="1">
        <v>0.0</v>
      </c>
      <c r="AY36" s="1">
        <v>0.0</v>
      </c>
      <c r="AZ36" s="1">
        <v>1.0</v>
      </c>
      <c r="BA36" s="1">
        <v>2.0</v>
      </c>
      <c r="BB36" s="1">
        <v>46.0</v>
      </c>
      <c r="BC36" s="1">
        <v>60.0</v>
      </c>
      <c r="BD36" s="1" t="s">
        <v>108</v>
      </c>
    </row>
    <row r="37">
      <c r="A37" s="1" t="s">
        <v>464</v>
      </c>
      <c r="B37" s="1" t="s">
        <v>70</v>
      </c>
      <c r="C37" s="1">
        <v>0.0</v>
      </c>
      <c r="D37" s="1" t="s">
        <v>71</v>
      </c>
      <c r="E37" s="1" t="b">
        <v>1</v>
      </c>
      <c r="F37" s="1" t="b">
        <v>0</v>
      </c>
      <c r="G37" s="1" t="s">
        <v>74</v>
      </c>
      <c r="H37" s="1" t="s">
        <v>465</v>
      </c>
      <c r="I37" s="1" t="s">
        <v>466</v>
      </c>
      <c r="J37" s="1" t="s">
        <v>467</v>
      </c>
      <c r="K37" s="1">
        <v>17.0</v>
      </c>
      <c r="L37" s="1">
        <v>1.14172572100005</v>
      </c>
      <c r="M37" s="1">
        <v>0.117266951493494</v>
      </c>
      <c r="N37" s="1">
        <v>0.726145029067993</v>
      </c>
      <c r="O37" s="1">
        <v>6.86451407039866</v>
      </c>
      <c r="P37" s="1">
        <v>1.11079597473144</v>
      </c>
      <c r="S37" s="1">
        <v>17.0</v>
      </c>
      <c r="T37" s="1">
        <v>0.117266951493494</v>
      </c>
      <c r="U37" s="1">
        <v>0.235071823677044</v>
      </c>
      <c r="V37" s="1">
        <v>3.60141653800383E-4</v>
      </c>
      <c r="W37" s="1">
        <v>0.726145029067993</v>
      </c>
      <c r="X37" s="1">
        <v>0.725784887414192</v>
      </c>
      <c r="Y37" s="1">
        <v>0.414676159620285</v>
      </c>
      <c r="Z37" s="1">
        <v>0.709141588211059</v>
      </c>
      <c r="AA37" s="1">
        <v>0.722744340896606</v>
      </c>
      <c r="AB37" s="1">
        <v>6.86451407039866</v>
      </c>
      <c r="AC37" s="1">
        <v>3.25132515276922</v>
      </c>
      <c r="AD37" s="1">
        <v>1.11079597473144</v>
      </c>
      <c r="AE37" s="1">
        <v>1.19579566955566</v>
      </c>
      <c r="AF37" s="1">
        <v>1.53579444885253</v>
      </c>
      <c r="AG37" s="1">
        <v>2.36562538146972</v>
      </c>
      <c r="AH37" s="1">
        <v>2.0</v>
      </c>
      <c r="AI37" s="1">
        <v>0.0</v>
      </c>
      <c r="AJ37" s="1">
        <v>0.0</v>
      </c>
      <c r="AK37" s="1">
        <v>0.0</v>
      </c>
      <c r="AL37" s="1">
        <v>0.117647058823529</v>
      </c>
      <c r="AM37" s="1">
        <v>0.0</v>
      </c>
      <c r="AN37" s="1">
        <v>0.0</v>
      </c>
      <c r="AO37" s="1">
        <v>0.0</v>
      </c>
      <c r="AP37" s="1">
        <v>0.0</v>
      </c>
      <c r="AQ37" s="1">
        <v>0.0</v>
      </c>
      <c r="AR37" s="1">
        <v>0.0</v>
      </c>
      <c r="AS37" s="1">
        <v>0.194178425426798</v>
      </c>
      <c r="AT37" s="1">
        <v>0.725784887414192</v>
      </c>
      <c r="AU37" s="1">
        <v>0.324241657665606</v>
      </c>
      <c r="AV37" s="1">
        <v>1.0</v>
      </c>
      <c r="AW37" s="1">
        <v>0.0</v>
      </c>
      <c r="AX37" s="1">
        <v>0.0</v>
      </c>
      <c r="AY37" s="1">
        <v>0.0</v>
      </c>
      <c r="AZ37" s="1">
        <v>0.0</v>
      </c>
      <c r="BA37" s="1">
        <v>2.0</v>
      </c>
      <c r="BB37" s="1">
        <v>43.0</v>
      </c>
      <c r="BC37" s="1">
        <v>57.0</v>
      </c>
      <c r="BD37" s="1" t="s">
        <v>108</v>
      </c>
    </row>
    <row r="38">
      <c r="A38" s="1" t="s">
        <v>475</v>
      </c>
      <c r="B38" s="1" t="s">
        <v>70</v>
      </c>
      <c r="C38" s="1">
        <v>0.0</v>
      </c>
      <c r="D38" s="1" t="s">
        <v>71</v>
      </c>
      <c r="E38" s="1" t="b">
        <v>1</v>
      </c>
      <c r="F38" s="1" t="b">
        <v>0</v>
      </c>
      <c r="G38" s="1" t="s">
        <v>74</v>
      </c>
      <c r="H38" s="1" t="s">
        <v>476</v>
      </c>
      <c r="I38" s="1" t="s">
        <v>477</v>
      </c>
      <c r="J38" s="1" t="s">
        <v>478</v>
      </c>
      <c r="K38" s="1">
        <v>66.0</v>
      </c>
      <c r="L38" s="1">
        <v>4.36355829600006</v>
      </c>
      <c r="M38" s="1">
        <v>0.038003535213819</v>
      </c>
      <c r="N38" s="1">
        <v>0.689492583274841</v>
      </c>
      <c r="O38" s="1">
        <v>10.7303614905386</v>
      </c>
      <c r="P38" s="1">
        <v>0.269886016845703</v>
      </c>
      <c r="S38" s="1">
        <v>66.0</v>
      </c>
      <c r="T38" s="1">
        <v>0.0380035352138196</v>
      </c>
      <c r="U38" s="1">
        <v>0.127240036704644</v>
      </c>
      <c r="V38" s="5">
        <v>3.35473441737121E-6</v>
      </c>
      <c r="W38" s="1">
        <v>0.689492583274841</v>
      </c>
      <c r="X38" s="1">
        <v>0.689489228540423</v>
      </c>
      <c r="Y38" s="1">
        <v>0.0826919674873352</v>
      </c>
      <c r="Z38" s="1">
        <v>0.189357329159975</v>
      </c>
      <c r="AA38" s="1">
        <v>0.688148316740989</v>
      </c>
      <c r="AB38" s="1">
        <v>10.7303614905386</v>
      </c>
      <c r="AC38" s="1">
        <v>4.01197290174773</v>
      </c>
      <c r="AD38" s="1">
        <v>0.269886016845703</v>
      </c>
      <c r="AE38" s="1">
        <v>0.328053855895996</v>
      </c>
      <c r="AF38" s="1">
        <v>3.04332542419433</v>
      </c>
      <c r="AG38" s="1">
        <v>4.58096504211425</v>
      </c>
      <c r="AH38" s="1">
        <v>2.0</v>
      </c>
      <c r="AI38" s="1">
        <v>0.0</v>
      </c>
      <c r="AJ38" s="1">
        <v>0.0</v>
      </c>
      <c r="AK38" s="1">
        <v>0.0</v>
      </c>
      <c r="AL38" s="1">
        <v>0.0303030303030303</v>
      </c>
      <c r="AM38" s="1">
        <v>0.0</v>
      </c>
      <c r="AN38" s="1">
        <v>0.0</v>
      </c>
      <c r="AO38" s="1">
        <v>0.0</v>
      </c>
      <c r="AP38" s="1">
        <v>0.0</v>
      </c>
      <c r="AQ38" s="1">
        <v>0.0</v>
      </c>
      <c r="AR38" s="1">
        <v>2.0</v>
      </c>
      <c r="AS38" s="1">
        <v>0.070345899379684</v>
      </c>
      <c r="AT38" s="1">
        <v>0.688704763015266</v>
      </c>
      <c r="AU38" s="1">
        <v>0.18279678098495</v>
      </c>
      <c r="AV38" s="1">
        <v>1.0</v>
      </c>
      <c r="AW38" s="1">
        <v>0.0</v>
      </c>
      <c r="AX38" s="1">
        <v>0.0</v>
      </c>
      <c r="AY38" s="1">
        <v>0.0</v>
      </c>
      <c r="AZ38" s="1">
        <v>0.0</v>
      </c>
      <c r="BA38" s="1">
        <v>6.0</v>
      </c>
      <c r="BB38" s="1">
        <v>164.0</v>
      </c>
      <c r="BC38" s="1">
        <v>178.0</v>
      </c>
      <c r="BD38" s="1" t="s">
        <v>108</v>
      </c>
    </row>
    <row r="39">
      <c r="A39" s="1" t="s">
        <v>486</v>
      </c>
      <c r="B39" s="1" t="s">
        <v>70</v>
      </c>
      <c r="C39" s="1">
        <v>0.0</v>
      </c>
      <c r="D39" s="1" t="s">
        <v>71</v>
      </c>
      <c r="E39" s="1" t="b">
        <v>1</v>
      </c>
      <c r="F39" s="1" t="b">
        <v>0</v>
      </c>
      <c r="G39" s="1" t="s">
        <v>74</v>
      </c>
      <c r="H39" s="1" t="s">
        <v>487</v>
      </c>
      <c r="I39" s="1" t="s">
        <v>488</v>
      </c>
      <c r="J39" s="1" t="s">
        <v>489</v>
      </c>
      <c r="K39" s="1">
        <v>79.0</v>
      </c>
      <c r="L39" s="1">
        <v>5.311922546</v>
      </c>
      <c r="M39" s="1">
        <v>0.161611231677731</v>
      </c>
      <c r="N39" s="1">
        <v>1.68687224388122</v>
      </c>
      <c r="O39" s="1">
        <v>8.68964003309419</v>
      </c>
      <c r="P39" s="1">
        <v>0.275568008422851</v>
      </c>
      <c r="S39" s="1">
        <v>79.0</v>
      </c>
      <c r="T39" s="1">
        <v>0.161611231677731</v>
      </c>
      <c r="U39" s="1">
        <v>0.323907749701271</v>
      </c>
      <c r="V39" s="5">
        <v>2.88609408016782E-6</v>
      </c>
      <c r="W39" s="1">
        <v>1.68687224388122</v>
      </c>
      <c r="X39" s="1">
        <v>1.68686935778714</v>
      </c>
      <c r="Y39" s="1">
        <v>0.623503458499908</v>
      </c>
      <c r="Z39" s="1">
        <v>0.704898381233215</v>
      </c>
      <c r="AA39" s="1">
        <v>1.43128873109817</v>
      </c>
      <c r="AB39" s="1">
        <v>8.68964003309419</v>
      </c>
      <c r="AC39" s="1">
        <v>4.84714161649154</v>
      </c>
      <c r="AD39" s="1">
        <v>0.275568008422851</v>
      </c>
      <c r="AE39" s="1">
        <v>0.414062461853027</v>
      </c>
      <c r="AF39" s="1">
        <v>1.08977241516113</v>
      </c>
      <c r="AG39" s="1">
        <v>1.53409118652343</v>
      </c>
      <c r="AH39" s="1">
        <v>13.0</v>
      </c>
      <c r="AI39" s="1">
        <v>2.0</v>
      </c>
      <c r="AJ39" s="1">
        <v>1.0</v>
      </c>
      <c r="AK39" s="1">
        <v>0.0</v>
      </c>
      <c r="AL39" s="1">
        <v>0.164556962025316</v>
      </c>
      <c r="AM39" s="1">
        <v>0.0253164556962025</v>
      </c>
      <c r="AN39" s="1">
        <v>0.0126582278481012</v>
      </c>
      <c r="AO39" s="1">
        <v>0.0</v>
      </c>
      <c r="AP39" s="1">
        <v>0.0</v>
      </c>
      <c r="AQ39" s="1">
        <v>0.0</v>
      </c>
      <c r="AR39" s="1">
        <v>2.0</v>
      </c>
      <c r="AS39" s="1">
        <v>0.23206364543478</v>
      </c>
      <c r="AT39" s="1">
        <v>1.67183071002364</v>
      </c>
      <c r="AU39" s="1">
        <v>0.43029760415352</v>
      </c>
      <c r="AV39" s="1">
        <v>4.0</v>
      </c>
      <c r="AW39" s="1">
        <v>1.0</v>
      </c>
      <c r="AX39" s="1">
        <v>1.0</v>
      </c>
      <c r="AY39" s="1">
        <v>0.0</v>
      </c>
      <c r="AZ39" s="1">
        <v>1.0</v>
      </c>
      <c r="BA39" s="1">
        <v>7.0</v>
      </c>
      <c r="BB39" s="1">
        <v>252.0</v>
      </c>
      <c r="BC39" s="1">
        <v>266.0</v>
      </c>
      <c r="BD39" s="1" t="s">
        <v>108</v>
      </c>
    </row>
    <row r="40">
      <c r="A40" s="1" t="s">
        <v>497</v>
      </c>
      <c r="B40" s="1" t="s">
        <v>70</v>
      </c>
      <c r="C40" s="1">
        <v>0.0</v>
      </c>
      <c r="D40" s="1" t="s">
        <v>71</v>
      </c>
      <c r="E40" s="1" t="b">
        <v>0</v>
      </c>
      <c r="F40" s="1" t="b">
        <v>1</v>
      </c>
      <c r="G40" s="1" t="s">
        <v>498</v>
      </c>
      <c r="H40" s="1" t="s">
        <v>500</v>
      </c>
      <c r="I40" s="1" t="s">
        <v>502</v>
      </c>
      <c r="J40" s="1" t="s">
        <v>503</v>
      </c>
      <c r="K40" s="1">
        <v>135.0</v>
      </c>
      <c r="L40" s="1">
        <v>9.12293575500007</v>
      </c>
      <c r="M40" s="1">
        <v>0.052300695242835</v>
      </c>
      <c r="N40" s="1">
        <v>1.03958785533905</v>
      </c>
      <c r="O40" s="1">
        <v>9.50358320165563</v>
      </c>
      <c r="P40" s="1">
        <v>0.015625</v>
      </c>
      <c r="Q40" s="1" t="s">
        <v>198</v>
      </c>
      <c r="R40" s="1" t="s">
        <v>505</v>
      </c>
      <c r="S40" s="1">
        <v>135.0</v>
      </c>
      <c r="T40" s="1">
        <v>0.0523006952428356</v>
      </c>
      <c r="U40" s="1">
        <v>0.190082149470636</v>
      </c>
      <c r="V40" s="5">
        <v>1.86166216735728E-5</v>
      </c>
      <c r="W40" s="1">
        <v>1.03958785533905</v>
      </c>
      <c r="X40" s="1">
        <v>1.03956923871737</v>
      </c>
      <c r="Y40" s="1">
        <v>0.0574845485389232</v>
      </c>
      <c r="Z40" s="1">
        <v>0.278535524010658</v>
      </c>
      <c r="AA40" s="1">
        <v>1.00580017089843</v>
      </c>
      <c r="AB40" s="1">
        <v>9.50358320165563</v>
      </c>
      <c r="AC40" s="1">
        <v>3.07888761488684</v>
      </c>
      <c r="AD40" s="1">
        <v>0.015625</v>
      </c>
      <c r="AE40" s="1">
        <v>0.508807334899902</v>
      </c>
      <c r="AF40" s="1">
        <v>3.41477298736572</v>
      </c>
      <c r="AG40" s="1">
        <v>4.93948936462402</v>
      </c>
      <c r="AH40" s="1">
        <v>6.0</v>
      </c>
      <c r="AI40" s="1">
        <v>3.0</v>
      </c>
      <c r="AJ40" s="1">
        <v>0.0</v>
      </c>
      <c r="AK40" s="1">
        <v>0.0</v>
      </c>
      <c r="AL40" s="1">
        <v>0.0444444444444444</v>
      </c>
      <c r="AM40" s="1">
        <v>0.0222222222222222</v>
      </c>
      <c r="AN40" s="1">
        <v>0.0</v>
      </c>
      <c r="AO40" s="1">
        <v>1.0</v>
      </c>
      <c r="AP40" s="1">
        <v>1.0</v>
      </c>
      <c r="AQ40" s="1">
        <v>1.0</v>
      </c>
      <c r="AR40" s="1">
        <v>2.0</v>
      </c>
      <c r="AS40" s="1">
        <v>0.064015103184191</v>
      </c>
      <c r="AT40" s="1">
        <v>1.03930223622592</v>
      </c>
      <c r="AU40" s="1">
        <v>0.202242584792524</v>
      </c>
      <c r="AV40" s="1">
        <v>2.0</v>
      </c>
      <c r="AW40" s="1">
        <v>2.0</v>
      </c>
      <c r="AX40" s="1">
        <v>0.0</v>
      </c>
      <c r="AY40" s="1">
        <v>0.0</v>
      </c>
      <c r="AZ40" s="1">
        <v>2.0</v>
      </c>
      <c r="BA40" s="1">
        <v>9.0</v>
      </c>
      <c r="BB40" s="1">
        <v>463.0</v>
      </c>
      <c r="BC40" s="1">
        <v>477.0</v>
      </c>
      <c r="BD40" s="1" t="s">
        <v>204</v>
      </c>
    </row>
    <row r="41">
      <c r="A41" s="1" t="s">
        <v>510</v>
      </c>
      <c r="B41" s="1" t="s">
        <v>70</v>
      </c>
      <c r="C41" s="1">
        <v>0.0</v>
      </c>
      <c r="D41" s="1" t="s">
        <v>71</v>
      </c>
      <c r="E41" s="1" t="b">
        <v>1</v>
      </c>
      <c r="F41" s="1" t="b">
        <v>0</v>
      </c>
      <c r="G41" s="1" t="s">
        <v>74</v>
      </c>
      <c r="H41" s="1" t="s">
        <v>513</v>
      </c>
      <c r="I41" s="1" t="s">
        <v>514</v>
      </c>
      <c r="J41" s="1" t="s">
        <v>516</v>
      </c>
      <c r="K41" s="1">
        <v>103.0</v>
      </c>
      <c r="L41" s="1">
        <v>6.87145006599985</v>
      </c>
      <c r="M41" s="1">
        <v>0.112354477149375</v>
      </c>
      <c r="N41" s="1">
        <v>1.14766526222229</v>
      </c>
      <c r="O41" s="1">
        <v>9.13169593255496</v>
      </c>
      <c r="P41" s="1">
        <v>0.316762924194335</v>
      </c>
      <c r="S41" s="1">
        <v>103.0</v>
      </c>
      <c r="T41" s="1">
        <v>0.112354477149375</v>
      </c>
      <c r="U41" s="1">
        <v>0.251461118819576</v>
      </c>
      <c r="V41" s="5">
        <v>5.25584937349776E-7</v>
      </c>
      <c r="W41" s="1">
        <v>1.14766526222229</v>
      </c>
      <c r="X41" s="1">
        <v>1.14766473663735</v>
      </c>
      <c r="Y41" s="1">
        <v>0.437967729568481</v>
      </c>
      <c r="Z41" s="1">
        <v>0.75084518790245</v>
      </c>
      <c r="AA41" s="1">
        <v>0.961959093809127</v>
      </c>
      <c r="AB41" s="1">
        <v>9.13169593255496</v>
      </c>
      <c r="AC41" s="1">
        <v>4.51861297134224</v>
      </c>
      <c r="AD41" s="1">
        <v>0.316762924194335</v>
      </c>
      <c r="AE41" s="1">
        <v>0.423948898315429</v>
      </c>
      <c r="AF41" s="1">
        <v>1.5484375</v>
      </c>
      <c r="AG41" s="1">
        <v>1.99431838989257</v>
      </c>
      <c r="AH41" s="1">
        <v>10.0</v>
      </c>
      <c r="AI41" s="1">
        <v>1.0</v>
      </c>
      <c r="AJ41" s="1">
        <v>0.0</v>
      </c>
      <c r="AK41" s="1">
        <v>0.0</v>
      </c>
      <c r="AL41" s="1">
        <v>0.0970873786407767</v>
      </c>
      <c r="AM41" s="1">
        <v>0.00970873786407766</v>
      </c>
      <c r="AN41" s="1">
        <v>0.0</v>
      </c>
      <c r="AO41" s="1">
        <v>0.0</v>
      </c>
      <c r="AP41" s="1">
        <v>0.0</v>
      </c>
      <c r="AQ41" s="1">
        <v>0.0</v>
      </c>
      <c r="AR41" s="1">
        <v>2.0</v>
      </c>
      <c r="AS41" s="1">
        <v>0.176287107012368</v>
      </c>
      <c r="AT41" s="1">
        <v>1.03945659101009</v>
      </c>
      <c r="AU41" s="1">
        <v>0.334773487194674</v>
      </c>
      <c r="AV41" s="1">
        <v>2.0</v>
      </c>
      <c r="AW41" s="1">
        <v>1.0</v>
      </c>
      <c r="AX41" s="1">
        <v>0.0</v>
      </c>
      <c r="AY41" s="1">
        <v>0.0</v>
      </c>
      <c r="AZ41" s="1">
        <v>1.0</v>
      </c>
      <c r="BA41" s="1">
        <v>15.0</v>
      </c>
      <c r="BB41" s="1">
        <v>346.0</v>
      </c>
      <c r="BC41" s="1">
        <v>360.0</v>
      </c>
      <c r="BD41" s="1" t="s">
        <v>108</v>
      </c>
    </row>
    <row r="42">
      <c r="A42" s="1" t="s">
        <v>523</v>
      </c>
      <c r="B42" s="1" t="s">
        <v>70</v>
      </c>
      <c r="C42" s="1">
        <v>0.0</v>
      </c>
      <c r="D42" s="1" t="s">
        <v>71</v>
      </c>
      <c r="E42" s="1" t="b">
        <v>1</v>
      </c>
      <c r="F42" s="1" t="b">
        <v>0</v>
      </c>
      <c r="G42" s="1" t="s">
        <v>74</v>
      </c>
      <c r="H42" s="1" t="s">
        <v>527</v>
      </c>
      <c r="I42" s="1" t="s">
        <v>529</v>
      </c>
      <c r="J42" s="1" t="s">
        <v>532</v>
      </c>
      <c r="K42" s="1">
        <v>79.0</v>
      </c>
      <c r="L42" s="1">
        <v>5.35397689399997</v>
      </c>
      <c r="M42" s="1">
        <v>0.09365211113116</v>
      </c>
      <c r="N42" s="1">
        <v>1.08576798439025</v>
      </c>
      <c r="O42" s="1">
        <v>9.47027870371371</v>
      </c>
      <c r="P42" s="1">
        <v>0.117897033691406</v>
      </c>
      <c r="S42" s="1">
        <v>79.0</v>
      </c>
      <c r="T42" s="1">
        <v>0.0936521111311604</v>
      </c>
      <c r="U42" s="1">
        <v>0.24051217921742</v>
      </c>
      <c r="V42" s="5">
        <v>5.04503168485825E-6</v>
      </c>
      <c r="W42" s="1">
        <v>1.08576798439025</v>
      </c>
      <c r="X42" s="1">
        <v>1.08576293935857</v>
      </c>
      <c r="Y42" s="1">
        <v>0.422571313381195</v>
      </c>
      <c r="Z42" s="1">
        <v>0.770242714881897</v>
      </c>
      <c r="AA42" s="1">
        <v>0.915737705230712</v>
      </c>
      <c r="AB42" s="1">
        <v>9.47027870371371</v>
      </c>
      <c r="AC42" s="1">
        <v>4.31052803671536</v>
      </c>
      <c r="AD42" s="1">
        <v>0.117897033691406</v>
      </c>
      <c r="AE42" s="1">
        <v>0.265255393981933</v>
      </c>
      <c r="AF42" s="1">
        <v>1.05497226715087</v>
      </c>
      <c r="AG42" s="1">
        <v>2.609375</v>
      </c>
      <c r="AH42" s="1">
        <v>8.0</v>
      </c>
      <c r="AI42" s="1">
        <v>1.0</v>
      </c>
      <c r="AJ42" s="1">
        <v>0.0</v>
      </c>
      <c r="AK42" s="1">
        <v>0.0</v>
      </c>
      <c r="AL42" s="1">
        <v>0.10126582278481</v>
      </c>
      <c r="AM42" s="1">
        <v>0.0126582278481012</v>
      </c>
      <c r="AN42" s="1">
        <v>0.0</v>
      </c>
      <c r="AO42" s="1">
        <v>0.0</v>
      </c>
      <c r="AP42" s="1">
        <v>0.0</v>
      </c>
      <c r="AQ42" s="1">
        <v>1.0</v>
      </c>
      <c r="AR42" s="1">
        <v>3.0</v>
      </c>
      <c r="AS42" s="1">
        <v>0.150727808244412</v>
      </c>
      <c r="AT42" s="1">
        <v>1.08575852463945</v>
      </c>
      <c r="AU42" s="1">
        <v>0.327004783498376</v>
      </c>
      <c r="AV42" s="1">
        <v>2.0</v>
      </c>
      <c r="AW42" s="1">
        <v>1.0</v>
      </c>
      <c r="AX42" s="1">
        <v>0.0</v>
      </c>
      <c r="AY42" s="1">
        <v>0.0</v>
      </c>
      <c r="AZ42" s="1">
        <v>1.0</v>
      </c>
      <c r="BA42" s="1">
        <v>10.0</v>
      </c>
      <c r="BB42" s="1">
        <v>267.0</v>
      </c>
      <c r="BC42" s="1">
        <v>281.0</v>
      </c>
      <c r="BD42" s="1" t="s">
        <v>108</v>
      </c>
    </row>
    <row r="43">
      <c r="A43" s="1" t="s">
        <v>541</v>
      </c>
      <c r="B43" s="1" t="s">
        <v>70</v>
      </c>
      <c r="C43" s="1">
        <v>0.0</v>
      </c>
      <c r="D43" s="1" t="s">
        <v>71</v>
      </c>
      <c r="E43" s="1" t="b">
        <v>1</v>
      </c>
      <c r="F43" s="1" t="b">
        <v>0</v>
      </c>
      <c r="G43" s="1" t="s">
        <v>74</v>
      </c>
      <c r="H43" s="1" t="s">
        <v>542</v>
      </c>
      <c r="I43" s="1" t="s">
        <v>543</v>
      </c>
      <c r="J43" s="1" t="s">
        <v>544</v>
      </c>
      <c r="K43" s="1">
        <v>22.0</v>
      </c>
      <c r="L43" s="1">
        <v>1.55623928699969</v>
      </c>
      <c r="M43" s="1">
        <v>0.10724741985475</v>
      </c>
      <c r="N43" s="1">
        <v>0.853825509548187</v>
      </c>
      <c r="O43" s="1">
        <v>8.05488152937455</v>
      </c>
      <c r="P43" s="1">
        <v>1.109375</v>
      </c>
      <c r="S43" s="1">
        <v>22.0</v>
      </c>
      <c r="T43" s="1">
        <v>0.10724741985475</v>
      </c>
      <c r="U43" s="1">
        <v>0.248950251835097</v>
      </c>
      <c r="V43" s="1">
        <v>1.01799530966673E-4</v>
      </c>
      <c r="W43" s="1">
        <v>0.853825509548187</v>
      </c>
      <c r="X43" s="1">
        <v>0.85372371001722</v>
      </c>
      <c r="Y43" s="1">
        <v>0.235650120675563</v>
      </c>
      <c r="Z43" s="1">
        <v>0.81541825979948</v>
      </c>
      <c r="AA43" s="1">
        <v>0.852088240981102</v>
      </c>
      <c r="AB43" s="1">
        <v>8.05488152937455</v>
      </c>
      <c r="AC43" s="1">
        <v>3.69973651645252</v>
      </c>
      <c r="AD43" s="1">
        <v>1.109375</v>
      </c>
      <c r="AE43" s="1">
        <v>1.1946875</v>
      </c>
      <c r="AF43" s="1">
        <v>1.60674715042114</v>
      </c>
      <c r="AG43" s="1">
        <v>3.34247150421142</v>
      </c>
      <c r="AH43" s="1">
        <v>2.0</v>
      </c>
      <c r="AI43" s="1">
        <v>0.0</v>
      </c>
      <c r="AJ43" s="1">
        <v>0.0</v>
      </c>
      <c r="AK43" s="1">
        <v>0.0</v>
      </c>
      <c r="AL43" s="1">
        <v>0.0909090909090909</v>
      </c>
      <c r="AM43" s="1">
        <v>0.0</v>
      </c>
      <c r="AN43" s="1">
        <v>0.0</v>
      </c>
      <c r="AO43" s="1">
        <v>0.0</v>
      </c>
      <c r="AP43" s="1">
        <v>0.0</v>
      </c>
      <c r="AQ43" s="1">
        <v>0.0</v>
      </c>
      <c r="AR43" s="1">
        <v>0.0</v>
      </c>
      <c r="AS43" s="1">
        <v>0.178716661129285</v>
      </c>
      <c r="AT43" s="1">
        <v>0.850732386810705</v>
      </c>
      <c r="AU43" s="1">
        <v>0.332751563165658</v>
      </c>
      <c r="AV43" s="1">
        <v>1.0</v>
      </c>
      <c r="AW43" s="1">
        <v>0.0</v>
      </c>
      <c r="AX43" s="1">
        <v>0.0</v>
      </c>
      <c r="AY43" s="1">
        <v>0.0</v>
      </c>
      <c r="AZ43" s="1">
        <v>0.0</v>
      </c>
      <c r="BA43" s="1">
        <v>2.0</v>
      </c>
      <c r="BB43" s="1">
        <v>55.0</v>
      </c>
      <c r="BC43" s="1">
        <v>69.0</v>
      </c>
      <c r="BD43" s="1" t="s">
        <v>108</v>
      </c>
    </row>
    <row r="44">
      <c r="A44" s="1" t="s">
        <v>551</v>
      </c>
      <c r="B44" s="1" t="s">
        <v>70</v>
      </c>
      <c r="C44" s="1">
        <v>0.0</v>
      </c>
      <c r="D44" s="1" t="s">
        <v>71</v>
      </c>
      <c r="E44" s="1" t="b">
        <v>1</v>
      </c>
      <c r="F44" s="1" t="b">
        <v>0</v>
      </c>
      <c r="G44" s="1" t="s">
        <v>74</v>
      </c>
      <c r="H44" s="1" t="s">
        <v>553</v>
      </c>
      <c r="I44" s="1" t="s">
        <v>555</v>
      </c>
      <c r="J44" s="1" t="s">
        <v>556</v>
      </c>
      <c r="K44" s="1">
        <v>24.0</v>
      </c>
      <c r="L44" s="1">
        <v>1.65914901000041</v>
      </c>
      <c r="M44" s="1">
        <v>0.091946651584</v>
      </c>
      <c r="N44" s="1">
        <v>0.858577132225036</v>
      </c>
      <c r="O44" s="1">
        <v>8.78364737828572</v>
      </c>
      <c r="P44" s="1">
        <v>0.865056991577148</v>
      </c>
      <c r="S44" s="1">
        <v>24.0</v>
      </c>
      <c r="T44" s="1">
        <v>0.0919466515840004</v>
      </c>
      <c r="U44" s="1">
        <v>0.223191044444488</v>
      </c>
      <c r="V44" s="5">
        <v>1.11373287836613E-6</v>
      </c>
      <c r="W44" s="1">
        <v>0.858577132225036</v>
      </c>
      <c r="X44" s="1">
        <v>0.858576018492158</v>
      </c>
      <c r="Y44" s="1">
        <v>0.310631964355706</v>
      </c>
      <c r="Z44" s="1">
        <v>0.618619565665721</v>
      </c>
      <c r="AA44" s="1">
        <v>0.811853049397468</v>
      </c>
      <c r="AB44" s="1">
        <v>8.78364737828572</v>
      </c>
      <c r="AC44" s="1">
        <v>4.75350088448282</v>
      </c>
      <c r="AD44" s="1">
        <v>0.865056991577148</v>
      </c>
      <c r="AE44" s="1">
        <v>1.0362501335144</v>
      </c>
      <c r="AF44" s="1">
        <v>1.64602270126342</v>
      </c>
      <c r="AG44" s="1">
        <v>2.60156211853027</v>
      </c>
      <c r="AH44" s="1">
        <v>2.0</v>
      </c>
      <c r="AI44" s="1">
        <v>0.0</v>
      </c>
      <c r="AJ44" s="1">
        <v>0.0</v>
      </c>
      <c r="AK44" s="1">
        <v>0.0</v>
      </c>
      <c r="AL44" s="1">
        <v>0.0833333333333333</v>
      </c>
      <c r="AM44" s="1">
        <v>0.0</v>
      </c>
      <c r="AN44" s="1">
        <v>0.0</v>
      </c>
      <c r="AO44" s="1">
        <v>0.0</v>
      </c>
      <c r="AP44" s="1">
        <v>0.0</v>
      </c>
      <c r="AQ44" s="1">
        <v>0.0</v>
      </c>
      <c r="AR44" s="1">
        <v>0.0</v>
      </c>
      <c r="AS44" s="1">
        <v>0.144576056167411</v>
      </c>
      <c r="AT44" s="1">
        <v>0.85513173090294</v>
      </c>
      <c r="AU44" s="1">
        <v>0.286388921254172</v>
      </c>
      <c r="AV44" s="1">
        <v>1.0</v>
      </c>
      <c r="AW44" s="1">
        <v>0.0</v>
      </c>
      <c r="AX44" s="1">
        <v>0.0</v>
      </c>
      <c r="AY44" s="1">
        <v>0.0</v>
      </c>
      <c r="AZ44" s="1">
        <v>0.0</v>
      </c>
      <c r="BA44" s="1">
        <v>2.0</v>
      </c>
      <c r="BB44" s="1">
        <v>53.0</v>
      </c>
      <c r="BC44" s="1">
        <v>67.0</v>
      </c>
      <c r="BD44" s="1" t="s">
        <v>108</v>
      </c>
    </row>
    <row r="45">
      <c r="A45" s="1" t="s">
        <v>565</v>
      </c>
      <c r="B45" s="1" t="s">
        <v>70</v>
      </c>
      <c r="C45" s="1">
        <v>0.0</v>
      </c>
      <c r="D45" s="1" t="s">
        <v>71</v>
      </c>
      <c r="E45" s="1" t="b">
        <v>1</v>
      </c>
      <c r="F45" s="1" t="b">
        <v>0</v>
      </c>
      <c r="G45" s="1" t="s">
        <v>74</v>
      </c>
      <c r="H45" s="1" t="s">
        <v>568</v>
      </c>
      <c r="I45" s="1" t="s">
        <v>570</v>
      </c>
      <c r="J45" s="1" t="s">
        <v>572</v>
      </c>
      <c r="K45" s="1">
        <v>43.0</v>
      </c>
      <c r="L45" s="1">
        <v>2.95889261399997</v>
      </c>
      <c r="M45" s="1">
        <v>0.036647568463491</v>
      </c>
      <c r="N45" s="1">
        <v>0.545924067497253</v>
      </c>
      <c r="O45" s="1">
        <v>10.1784325533134</v>
      </c>
      <c r="P45" s="1">
        <v>1.65482902526855</v>
      </c>
      <c r="S45" s="1">
        <v>43.0</v>
      </c>
      <c r="T45" s="1">
        <v>0.0366475684634911</v>
      </c>
      <c r="U45" s="1">
        <v>0.106848292941442</v>
      </c>
      <c r="V45" s="5">
        <v>5.79849574933177E-6</v>
      </c>
      <c r="W45" s="1">
        <v>0.545924067497253</v>
      </c>
      <c r="X45" s="1">
        <v>0.545918269001504</v>
      </c>
      <c r="Y45" s="1">
        <v>0.0886831164360049</v>
      </c>
      <c r="Z45" s="1">
        <v>0.2575816527009</v>
      </c>
      <c r="AA45" s="1">
        <v>0.464438870549201</v>
      </c>
      <c r="AB45" s="1">
        <v>10.1784325533134</v>
      </c>
      <c r="AC45" s="1">
        <v>3.92095079312151</v>
      </c>
      <c r="AD45" s="1">
        <v>1.65482902526855</v>
      </c>
      <c r="AE45" s="1">
        <v>1.87855083465576</v>
      </c>
      <c r="AF45" s="1">
        <v>2.76633529663085</v>
      </c>
      <c r="AG45" s="1">
        <v>4.47642021179199</v>
      </c>
      <c r="AH45" s="1">
        <v>1.0</v>
      </c>
      <c r="AI45" s="1">
        <v>0.0</v>
      </c>
      <c r="AJ45" s="1">
        <v>0.0</v>
      </c>
      <c r="AK45" s="1">
        <v>0.0</v>
      </c>
      <c r="AL45" s="1">
        <v>0.0232558139534883</v>
      </c>
      <c r="AM45" s="1">
        <v>0.0</v>
      </c>
      <c r="AN45" s="1">
        <v>0.0</v>
      </c>
      <c r="AO45" s="1">
        <v>0.0</v>
      </c>
      <c r="AP45" s="1">
        <v>0.0</v>
      </c>
      <c r="AQ45" s="1">
        <v>0.0</v>
      </c>
      <c r="AR45" s="1">
        <v>0.0</v>
      </c>
      <c r="AS45" s="1">
        <v>0.0580510822818333</v>
      </c>
      <c r="AT45" s="1">
        <v>0.543144778348505</v>
      </c>
      <c r="AU45" s="1">
        <v>0.133581191390487</v>
      </c>
      <c r="AV45" s="1">
        <v>1.0</v>
      </c>
      <c r="AW45" s="1">
        <v>0.0</v>
      </c>
      <c r="AX45" s="1">
        <v>0.0</v>
      </c>
      <c r="AY45" s="1">
        <v>0.0</v>
      </c>
      <c r="AZ45" s="1">
        <v>0.0</v>
      </c>
      <c r="BA45" s="1">
        <v>7.0</v>
      </c>
      <c r="BB45" s="1">
        <v>148.0</v>
      </c>
      <c r="BC45" s="1">
        <v>162.0</v>
      </c>
      <c r="BD45" s="1" t="s">
        <v>108</v>
      </c>
    </row>
    <row r="46">
      <c r="A46" s="1" t="s">
        <v>574</v>
      </c>
      <c r="B46" s="1" t="s">
        <v>70</v>
      </c>
      <c r="C46" s="1">
        <v>0.0</v>
      </c>
      <c r="D46" s="1" t="s">
        <v>71</v>
      </c>
      <c r="E46" s="1" t="b">
        <v>1</v>
      </c>
      <c r="F46" s="1" t="b">
        <v>0</v>
      </c>
      <c r="G46" s="1" t="s">
        <v>74</v>
      </c>
      <c r="H46" s="1" t="s">
        <v>577</v>
      </c>
      <c r="I46" s="1" t="s">
        <v>578</v>
      </c>
      <c r="J46" s="1" t="s">
        <v>579</v>
      </c>
      <c r="K46" s="1">
        <v>66.0</v>
      </c>
      <c r="L46" s="1">
        <v>4.41720270999985</v>
      </c>
      <c r="M46" s="1">
        <v>0.064076170444274</v>
      </c>
      <c r="N46" s="1">
        <v>0.687983036041259</v>
      </c>
      <c r="O46" s="1">
        <v>9.10787969647031</v>
      </c>
      <c r="P46" s="1">
        <v>0.298295974731445</v>
      </c>
      <c r="S46" s="1">
        <v>66.0</v>
      </c>
      <c r="T46" s="1">
        <v>0.0640761704442749</v>
      </c>
      <c r="U46" s="1">
        <v>0.148627995895114</v>
      </c>
      <c r="V46" s="5">
        <v>1.85164594768139E-6</v>
      </c>
      <c r="W46" s="1">
        <v>0.687983036041259</v>
      </c>
      <c r="X46" s="1">
        <v>0.687981184395312</v>
      </c>
      <c r="Y46" s="1">
        <v>0.260449171066284</v>
      </c>
      <c r="Z46" s="1">
        <v>0.400432214140892</v>
      </c>
      <c r="AA46" s="1">
        <v>0.626816061139106</v>
      </c>
      <c r="AB46" s="1">
        <v>9.10787969647031</v>
      </c>
      <c r="AC46" s="1">
        <v>4.25821757331174</v>
      </c>
      <c r="AD46" s="1">
        <v>0.298295974731445</v>
      </c>
      <c r="AE46" s="1">
        <v>0.845809841156005</v>
      </c>
      <c r="AF46" s="1">
        <v>1.86967277526855</v>
      </c>
      <c r="AG46" s="1">
        <v>3.0511360168457</v>
      </c>
      <c r="AH46" s="1">
        <v>3.0</v>
      </c>
      <c r="AI46" s="1">
        <v>0.0</v>
      </c>
      <c r="AJ46" s="1">
        <v>0.0</v>
      </c>
      <c r="AK46" s="1">
        <v>0.0</v>
      </c>
      <c r="AL46" s="1">
        <v>0.0454545454545454</v>
      </c>
      <c r="AM46" s="1">
        <v>0.0</v>
      </c>
      <c r="AN46" s="1">
        <v>0.0</v>
      </c>
      <c r="AO46" s="1">
        <v>0.0</v>
      </c>
      <c r="AP46" s="1">
        <v>0.0</v>
      </c>
      <c r="AQ46" s="1">
        <v>0.0</v>
      </c>
      <c r="AR46" s="1">
        <v>1.0</v>
      </c>
      <c r="AS46" s="1">
        <v>0.109342834898493</v>
      </c>
      <c r="AT46" s="1">
        <v>0.687613453890662</v>
      </c>
      <c r="AU46" s="1">
        <v>0.208374934229322</v>
      </c>
      <c r="AV46" s="1">
        <v>1.0</v>
      </c>
      <c r="AW46" s="1">
        <v>0.0</v>
      </c>
      <c r="AX46" s="1">
        <v>0.0</v>
      </c>
      <c r="AY46" s="1">
        <v>0.0</v>
      </c>
      <c r="AZ46" s="1">
        <v>0.0</v>
      </c>
      <c r="BA46" s="1">
        <v>8.0</v>
      </c>
      <c r="BB46" s="1">
        <v>210.0</v>
      </c>
      <c r="BC46" s="1">
        <v>224.0</v>
      </c>
      <c r="BD46" s="1" t="s">
        <v>108</v>
      </c>
    </row>
    <row r="47">
      <c r="A47" s="1" t="s">
        <v>586</v>
      </c>
      <c r="B47" s="1" t="s">
        <v>70</v>
      </c>
      <c r="C47" s="1">
        <v>0.0</v>
      </c>
      <c r="D47" s="1" t="s">
        <v>71</v>
      </c>
      <c r="E47" s="1" t="b">
        <v>1</v>
      </c>
      <c r="F47" s="1" t="b">
        <v>0</v>
      </c>
      <c r="G47" s="1" t="s">
        <v>74</v>
      </c>
      <c r="H47" s="1" t="s">
        <v>587</v>
      </c>
      <c r="I47" s="1" t="s">
        <v>588</v>
      </c>
      <c r="J47" s="1" t="s">
        <v>589</v>
      </c>
      <c r="K47" s="1">
        <v>23.0</v>
      </c>
      <c r="L47" s="1">
        <v>1.52718789000027</v>
      </c>
      <c r="M47" s="1">
        <v>0.09997541909815</v>
      </c>
      <c r="N47" s="1">
        <v>0.679449141025543</v>
      </c>
      <c r="O47" s="1">
        <v>8.9325594694718</v>
      </c>
      <c r="P47" s="1">
        <v>1.19460296630859</v>
      </c>
      <c r="S47" s="1">
        <v>23.0</v>
      </c>
      <c r="T47" s="1">
        <v>0.0999754190981508</v>
      </c>
      <c r="U47" s="1">
        <v>0.206510313554265</v>
      </c>
      <c r="V47" s="5">
        <v>2.24813857130357E-6</v>
      </c>
      <c r="W47" s="1">
        <v>0.679449141025543</v>
      </c>
      <c r="X47" s="1">
        <v>0.679446892886971</v>
      </c>
      <c r="Y47" s="1">
        <v>0.386631199717521</v>
      </c>
      <c r="Z47" s="1">
        <v>0.617032870650291</v>
      </c>
      <c r="AA47" s="1">
        <v>0.670499883890152</v>
      </c>
      <c r="AB47" s="1">
        <v>8.9325594694718</v>
      </c>
      <c r="AC47" s="1">
        <v>4.54991658368897</v>
      </c>
      <c r="AD47" s="1">
        <v>1.19460296630859</v>
      </c>
      <c r="AE47" s="1">
        <v>1.30679000854492</v>
      </c>
      <c r="AF47" s="1">
        <v>1.7173282623291</v>
      </c>
      <c r="AG47" s="1">
        <v>2.00767021179199</v>
      </c>
      <c r="AH47" s="1">
        <v>2.0</v>
      </c>
      <c r="AI47" s="1">
        <v>0.0</v>
      </c>
      <c r="AJ47" s="1">
        <v>0.0</v>
      </c>
      <c r="AK47" s="1">
        <v>0.0</v>
      </c>
      <c r="AL47" s="1">
        <v>0.0869565217391304</v>
      </c>
      <c r="AM47" s="1">
        <v>0.0</v>
      </c>
      <c r="AN47" s="1">
        <v>0.0</v>
      </c>
      <c r="AO47" s="1">
        <v>0.0</v>
      </c>
      <c r="AP47" s="1">
        <v>0.0</v>
      </c>
      <c r="AQ47" s="1">
        <v>0.0</v>
      </c>
      <c r="AR47" s="1">
        <v>0.0</v>
      </c>
      <c r="AS47" s="1">
        <v>0.15079918996819</v>
      </c>
      <c r="AT47" s="1">
        <v>0.675719906110316</v>
      </c>
      <c r="AU47" s="1">
        <v>0.270717239019669</v>
      </c>
      <c r="AV47" s="1">
        <v>1.0</v>
      </c>
      <c r="AW47" s="1">
        <v>0.0</v>
      </c>
      <c r="AX47" s="1">
        <v>0.0</v>
      </c>
      <c r="AY47" s="1">
        <v>0.0</v>
      </c>
      <c r="AZ47" s="1">
        <v>0.0</v>
      </c>
      <c r="BA47" s="1">
        <v>2.0</v>
      </c>
      <c r="BB47" s="1">
        <v>47.0</v>
      </c>
      <c r="BC47" s="1">
        <v>61.0</v>
      </c>
      <c r="BD47" s="1" t="s">
        <v>108</v>
      </c>
    </row>
    <row r="48">
      <c r="A48" s="1" t="s">
        <v>592</v>
      </c>
      <c r="B48" s="1" t="s">
        <v>70</v>
      </c>
      <c r="C48" s="1">
        <v>0.0</v>
      </c>
      <c r="D48" s="1" t="s">
        <v>71</v>
      </c>
      <c r="E48" s="1" t="b">
        <v>1</v>
      </c>
      <c r="F48" s="1" t="b">
        <v>0</v>
      </c>
      <c r="G48" s="1" t="s">
        <v>74</v>
      </c>
      <c r="H48" s="1" t="s">
        <v>594</v>
      </c>
      <c r="I48" s="1" t="s">
        <v>595</v>
      </c>
      <c r="J48" s="1" t="s">
        <v>597</v>
      </c>
      <c r="K48" s="1">
        <v>103.0</v>
      </c>
      <c r="L48" s="1">
        <v>6.99801969500003</v>
      </c>
      <c r="M48" s="1">
        <v>0.055256701704246</v>
      </c>
      <c r="N48" s="1">
        <v>0.885015547275543</v>
      </c>
      <c r="O48" s="1">
        <v>10.025796103246</v>
      </c>
      <c r="P48" s="1">
        <v>0.453125</v>
      </c>
      <c r="S48" s="1">
        <v>103.0</v>
      </c>
      <c r="T48" s="1">
        <v>0.0552567017042464</v>
      </c>
      <c r="U48" s="1">
        <v>0.166355287611958</v>
      </c>
      <c r="V48" s="5">
        <v>7.71494433138286E-6</v>
      </c>
      <c r="W48" s="1">
        <v>0.885015547275543</v>
      </c>
      <c r="X48" s="1">
        <v>0.885007832331211</v>
      </c>
      <c r="Y48" s="1">
        <v>0.15291910469532</v>
      </c>
      <c r="Z48" s="1">
        <v>0.390707010030745</v>
      </c>
      <c r="AA48" s="1">
        <v>0.841812847852707</v>
      </c>
      <c r="AB48" s="1">
        <v>10.025796103246</v>
      </c>
      <c r="AC48" s="1">
        <v>3.86621927380047</v>
      </c>
      <c r="AD48" s="1">
        <v>0.453125</v>
      </c>
      <c r="AE48" s="1">
        <v>1.31744232177734</v>
      </c>
      <c r="AF48" s="1">
        <v>2.18394794464111</v>
      </c>
      <c r="AG48" s="1">
        <v>3.39261398315429</v>
      </c>
      <c r="AH48" s="1">
        <v>4.0</v>
      </c>
      <c r="AI48" s="1">
        <v>0.0</v>
      </c>
      <c r="AJ48" s="1">
        <v>0.0</v>
      </c>
      <c r="AK48" s="1">
        <v>0.0</v>
      </c>
      <c r="AL48" s="1">
        <v>0.0388349514563106</v>
      </c>
      <c r="AM48" s="1">
        <v>0.0</v>
      </c>
      <c r="AN48" s="1">
        <v>0.0</v>
      </c>
      <c r="AO48" s="1">
        <v>0.0</v>
      </c>
      <c r="AP48" s="1">
        <v>0.0</v>
      </c>
      <c r="AQ48" s="1">
        <v>0.0</v>
      </c>
      <c r="AR48" s="1">
        <v>1.0</v>
      </c>
      <c r="AS48" s="1">
        <v>0.103548776436136</v>
      </c>
      <c r="AT48" s="1">
        <v>0.883946766611188</v>
      </c>
      <c r="AU48" s="1">
        <v>0.240292286967787</v>
      </c>
      <c r="AV48" s="1">
        <v>1.0</v>
      </c>
      <c r="AW48" s="1">
        <v>0.0</v>
      </c>
      <c r="AX48" s="1">
        <v>0.0</v>
      </c>
      <c r="AY48" s="1">
        <v>0.0</v>
      </c>
      <c r="AZ48" s="1">
        <v>0.0</v>
      </c>
      <c r="BA48" s="1">
        <v>10.0</v>
      </c>
      <c r="BB48" s="1">
        <v>230.0</v>
      </c>
      <c r="BC48" s="1">
        <v>244.0</v>
      </c>
      <c r="BD48" s="1" t="s">
        <v>108</v>
      </c>
    </row>
    <row r="49">
      <c r="A49" s="1" t="s">
        <v>601</v>
      </c>
      <c r="B49" s="1" t="s">
        <v>70</v>
      </c>
      <c r="C49" s="1">
        <v>0.0</v>
      </c>
      <c r="D49" s="1" t="s">
        <v>71</v>
      </c>
      <c r="E49" s="1" t="b">
        <v>1</v>
      </c>
      <c r="F49" s="1" t="b">
        <v>0</v>
      </c>
      <c r="G49" s="1" t="s">
        <v>74</v>
      </c>
      <c r="H49" s="1" t="s">
        <v>602</v>
      </c>
      <c r="I49" s="1" t="s">
        <v>603</v>
      </c>
      <c r="J49" s="1" t="s">
        <v>604</v>
      </c>
      <c r="K49" s="1">
        <v>71.0</v>
      </c>
      <c r="L49" s="1">
        <v>4.70243222899989</v>
      </c>
      <c r="M49" s="1">
        <v>0.099981895739424</v>
      </c>
      <c r="N49" s="1">
        <v>1.59806704521179</v>
      </c>
      <c r="O49" s="1">
        <v>9.67490635455494</v>
      </c>
      <c r="P49" s="1">
        <v>0.234375</v>
      </c>
      <c r="S49" s="1">
        <v>71.0</v>
      </c>
      <c r="T49" s="1">
        <v>0.099981895739424</v>
      </c>
      <c r="U49" s="1">
        <v>0.283028969281394</v>
      </c>
      <c r="V49" s="5">
        <v>1.21933339869428E-6</v>
      </c>
      <c r="W49" s="1">
        <v>1.59806704521179</v>
      </c>
      <c r="X49" s="1">
        <v>1.59806582587839</v>
      </c>
      <c r="Y49" s="1">
        <v>0.282468438148498</v>
      </c>
      <c r="Z49" s="1">
        <v>0.673916667699813</v>
      </c>
      <c r="AA49" s="1">
        <v>1.24746297597884</v>
      </c>
      <c r="AB49" s="1">
        <v>9.67490635455494</v>
      </c>
      <c r="AC49" s="1">
        <v>4.57255907420801</v>
      </c>
      <c r="AD49" s="1">
        <v>0.234375</v>
      </c>
      <c r="AE49" s="1">
        <v>0.338777923583984</v>
      </c>
      <c r="AF49" s="1">
        <v>0.808949470520019</v>
      </c>
      <c r="AG49" s="1">
        <v>2.453125</v>
      </c>
      <c r="AH49" s="1">
        <v>6.0</v>
      </c>
      <c r="AI49" s="1">
        <v>2.0</v>
      </c>
      <c r="AJ49" s="1">
        <v>1.0</v>
      </c>
      <c r="AK49" s="1">
        <v>0.0</v>
      </c>
      <c r="AL49" s="1">
        <v>0.0845070422535211</v>
      </c>
      <c r="AM49" s="1">
        <v>0.028169014084507</v>
      </c>
      <c r="AN49" s="1">
        <v>0.0140845070422535</v>
      </c>
      <c r="AO49" s="1">
        <v>0.0</v>
      </c>
      <c r="AP49" s="1">
        <v>0.0</v>
      </c>
      <c r="AQ49" s="1">
        <v>1.0</v>
      </c>
      <c r="AR49" s="1">
        <v>3.0</v>
      </c>
      <c r="AS49" s="1">
        <v>0.176279134913381</v>
      </c>
      <c r="AT49" s="1">
        <v>1.59552251035347</v>
      </c>
      <c r="AU49" s="1">
        <v>0.388942863371341</v>
      </c>
      <c r="AV49" s="1">
        <v>1.0</v>
      </c>
      <c r="AW49" s="1">
        <v>1.0</v>
      </c>
      <c r="AX49" s="1">
        <v>1.0</v>
      </c>
      <c r="AY49" s="1">
        <v>0.0</v>
      </c>
      <c r="AZ49" s="1">
        <v>1.0</v>
      </c>
      <c r="BA49" s="1">
        <v>8.0</v>
      </c>
      <c r="BB49" s="1">
        <v>197.0</v>
      </c>
      <c r="BC49" s="1">
        <v>211.0</v>
      </c>
      <c r="BD49" s="1" t="s">
        <v>108</v>
      </c>
    </row>
    <row r="50">
      <c r="A50" s="1" t="s">
        <v>611</v>
      </c>
      <c r="B50" s="1" t="s">
        <v>70</v>
      </c>
      <c r="C50" s="1">
        <v>0.0</v>
      </c>
      <c r="D50" s="1" t="s">
        <v>71</v>
      </c>
      <c r="E50" s="1" t="b">
        <v>1</v>
      </c>
      <c r="F50" s="1" t="b">
        <v>0</v>
      </c>
      <c r="G50" s="1" t="s">
        <v>74</v>
      </c>
      <c r="H50" s="1" t="s">
        <v>613</v>
      </c>
      <c r="I50" s="1" t="s">
        <v>614</v>
      </c>
      <c r="J50" s="1" t="s">
        <v>615</v>
      </c>
      <c r="K50" s="1">
        <v>24.0</v>
      </c>
      <c r="L50" s="1">
        <v>1.59352803899992</v>
      </c>
      <c r="M50" s="1">
        <v>0.066967394081037</v>
      </c>
      <c r="N50" s="1">
        <v>0.686192691326141</v>
      </c>
      <c r="O50" s="1">
        <v>8.95821515719095</v>
      </c>
      <c r="P50" s="1">
        <v>1.34659004211425</v>
      </c>
      <c r="S50" s="1">
        <v>24.0</v>
      </c>
      <c r="T50" s="1">
        <v>0.0669673940810374</v>
      </c>
      <c r="U50" s="1">
        <v>0.170267708057757</v>
      </c>
      <c r="V50" s="5">
        <v>2.86753402178874E-6</v>
      </c>
      <c r="W50" s="1">
        <v>0.686192691326141</v>
      </c>
      <c r="X50" s="1">
        <v>0.686189823792119</v>
      </c>
      <c r="Y50" s="1">
        <v>0.289610578119754</v>
      </c>
      <c r="Z50" s="1">
        <v>0.38805241882801</v>
      </c>
      <c r="AA50" s="1">
        <v>0.617884619534015</v>
      </c>
      <c r="AB50" s="1">
        <v>8.95821515719095</v>
      </c>
      <c r="AC50" s="1">
        <v>3.8684446050823</v>
      </c>
      <c r="AD50" s="1">
        <v>1.34659004211425</v>
      </c>
      <c r="AE50" s="1">
        <v>1.47498500823974</v>
      </c>
      <c r="AF50" s="1">
        <v>2.0601559638977</v>
      </c>
      <c r="AG50" s="1">
        <v>3.54929008483886</v>
      </c>
      <c r="AH50" s="1">
        <v>1.0</v>
      </c>
      <c r="AI50" s="1">
        <v>0.0</v>
      </c>
      <c r="AJ50" s="1">
        <v>0.0</v>
      </c>
      <c r="AK50" s="1">
        <v>0.0</v>
      </c>
      <c r="AL50" s="1">
        <v>0.0416666666666666</v>
      </c>
      <c r="AM50" s="1">
        <v>0.0</v>
      </c>
      <c r="AN50" s="1">
        <v>0.0</v>
      </c>
      <c r="AO50" s="1">
        <v>0.0</v>
      </c>
      <c r="AP50" s="1">
        <v>0.0</v>
      </c>
      <c r="AQ50" s="1">
        <v>0.0</v>
      </c>
      <c r="AR50" s="1">
        <v>0.0</v>
      </c>
      <c r="AS50" s="1">
        <v>0.10641806190158</v>
      </c>
      <c r="AT50" s="1">
        <v>0.683029052102938</v>
      </c>
      <c r="AU50" s="1">
        <v>0.212632922074547</v>
      </c>
      <c r="AV50" s="1">
        <v>1.0</v>
      </c>
      <c r="AW50" s="1">
        <v>0.0</v>
      </c>
      <c r="AX50" s="1">
        <v>0.0</v>
      </c>
      <c r="AY50" s="1">
        <v>0.0</v>
      </c>
      <c r="AZ50" s="1">
        <v>0.0</v>
      </c>
      <c r="BA50" s="1">
        <v>2.0</v>
      </c>
      <c r="BB50" s="1">
        <v>67.0</v>
      </c>
      <c r="BC50" s="1">
        <v>81.0</v>
      </c>
      <c r="BD50" s="1" t="s">
        <v>108</v>
      </c>
    </row>
    <row r="51">
      <c r="A51" s="1" t="s">
        <v>618</v>
      </c>
      <c r="B51" s="1" t="s">
        <v>70</v>
      </c>
      <c r="C51" s="1">
        <v>0.0</v>
      </c>
      <c r="D51" s="1" t="s">
        <v>71</v>
      </c>
      <c r="E51" s="1" t="b">
        <v>1</v>
      </c>
      <c r="F51" s="1" t="b">
        <v>0</v>
      </c>
      <c r="G51" s="1" t="s">
        <v>74</v>
      </c>
      <c r="H51" s="1" t="s">
        <v>620</v>
      </c>
      <c r="I51" s="1" t="s">
        <v>621</v>
      </c>
      <c r="J51" s="1" t="s">
        <v>622</v>
      </c>
      <c r="K51" s="1">
        <v>29.0</v>
      </c>
      <c r="L51" s="1">
        <v>1.9853551860001</v>
      </c>
      <c r="M51" s="1">
        <v>0.066392741861175</v>
      </c>
      <c r="N51" s="1">
        <v>0.745891988277435</v>
      </c>
      <c r="O51" s="1">
        <v>9.10775911396947</v>
      </c>
      <c r="P51" s="1">
        <v>1.55397605895996</v>
      </c>
      <c r="S51" s="1">
        <v>29.0</v>
      </c>
      <c r="T51" s="1">
        <v>0.0663927418611757</v>
      </c>
      <c r="U51" s="1">
        <v>0.178534773161535</v>
      </c>
      <c r="V51" s="5">
        <v>7.42756719773751E-6</v>
      </c>
      <c r="W51" s="1">
        <v>0.745891988277435</v>
      </c>
      <c r="X51" s="1">
        <v>0.745884560710237</v>
      </c>
      <c r="Y51" s="1">
        <v>0.134325584769248</v>
      </c>
      <c r="Z51" s="1">
        <v>0.456300264596938</v>
      </c>
      <c r="AA51" s="1">
        <v>0.714928879737853</v>
      </c>
      <c r="AB51" s="1">
        <v>9.10775911396947</v>
      </c>
      <c r="AC51" s="1">
        <v>3.92007488172784</v>
      </c>
      <c r="AD51" s="1">
        <v>1.55397605895996</v>
      </c>
      <c r="AE51" s="1">
        <v>1.78505638122558</v>
      </c>
      <c r="AF51" s="1">
        <v>2.64233055114746</v>
      </c>
      <c r="AG51" s="1">
        <v>4.17215995788574</v>
      </c>
      <c r="AH51" s="1">
        <v>2.0</v>
      </c>
      <c r="AI51" s="1">
        <v>0.0</v>
      </c>
      <c r="AJ51" s="1">
        <v>0.0</v>
      </c>
      <c r="AK51" s="1">
        <v>0.0</v>
      </c>
      <c r="AL51" s="1">
        <v>0.0689655172413793</v>
      </c>
      <c r="AM51" s="1">
        <v>0.0</v>
      </c>
      <c r="AN51" s="1">
        <v>0.0</v>
      </c>
      <c r="AO51" s="1">
        <v>0.0</v>
      </c>
      <c r="AP51" s="1">
        <v>0.0</v>
      </c>
      <c r="AQ51" s="1">
        <v>0.0</v>
      </c>
      <c r="AR51" s="1">
        <v>0.0</v>
      </c>
      <c r="AS51" s="1">
        <v>0.105207276617582</v>
      </c>
      <c r="AT51" s="1">
        <v>0.740310038439929</v>
      </c>
      <c r="AU51" s="1">
        <v>0.237001106088494</v>
      </c>
      <c r="AV51" s="1">
        <v>1.0</v>
      </c>
      <c r="AW51" s="1">
        <v>0.0</v>
      </c>
      <c r="AX51" s="1">
        <v>0.0</v>
      </c>
      <c r="AY51" s="1">
        <v>0.0</v>
      </c>
      <c r="AZ51" s="1">
        <v>0.0</v>
      </c>
      <c r="BA51" s="1">
        <v>2.0</v>
      </c>
      <c r="BB51" s="1">
        <v>56.0</v>
      </c>
      <c r="BC51" s="1">
        <v>70.0</v>
      </c>
      <c r="BD51" s="1" t="s">
        <v>108</v>
      </c>
    </row>
    <row r="52">
      <c r="A52" s="1" t="s">
        <v>627</v>
      </c>
      <c r="B52" s="1" t="s">
        <v>70</v>
      </c>
      <c r="C52" s="1">
        <v>0.0</v>
      </c>
      <c r="D52" s="1" t="s">
        <v>71</v>
      </c>
      <c r="E52" s="1" t="b">
        <v>0</v>
      </c>
      <c r="F52" s="1" t="b">
        <v>1</v>
      </c>
      <c r="G52" s="1" t="s">
        <v>628</v>
      </c>
      <c r="H52" s="1" t="s">
        <v>629</v>
      </c>
      <c r="I52" s="1" t="s">
        <v>630</v>
      </c>
      <c r="J52" s="1" t="s">
        <v>630</v>
      </c>
      <c r="K52" s="1">
        <v>60.0</v>
      </c>
      <c r="L52" s="1">
        <v>3.98285391699982</v>
      </c>
      <c r="M52" s="1">
        <v>0.042493726390944</v>
      </c>
      <c r="N52" s="1">
        <v>1.02620685100555</v>
      </c>
      <c r="O52" s="1">
        <v>9.16579143206278</v>
      </c>
      <c r="P52" s="1">
        <v>0.3125</v>
      </c>
      <c r="Q52" s="1" t="s">
        <v>198</v>
      </c>
      <c r="R52" s="1" t="s">
        <v>633</v>
      </c>
      <c r="S52" s="1">
        <v>60.0</v>
      </c>
      <c r="T52" s="1">
        <v>0.0424937263909441</v>
      </c>
      <c r="U52" s="1">
        <v>0.162967411329772</v>
      </c>
      <c r="V52" s="5">
        <v>6.25746042715036E-6</v>
      </c>
      <c r="W52" s="1">
        <v>1.02620685100555</v>
      </c>
      <c r="X52" s="1">
        <v>1.02620059354512</v>
      </c>
      <c r="Y52" s="1">
        <v>0.0543152041733265</v>
      </c>
      <c r="Z52" s="1">
        <v>0.144224270433187</v>
      </c>
      <c r="AA52" s="1">
        <v>0.849001435041426</v>
      </c>
      <c r="AB52" s="1">
        <v>9.16579143206278</v>
      </c>
      <c r="AC52" s="1">
        <v>3.01646375814392</v>
      </c>
      <c r="AD52" s="1">
        <v>0.3125</v>
      </c>
      <c r="AE52" s="1">
        <v>0.530397624969482</v>
      </c>
      <c r="AF52" s="1">
        <v>3.41967496871948</v>
      </c>
      <c r="AG52" s="1">
        <v>4.82670497894287</v>
      </c>
      <c r="AH52" s="1">
        <v>2.0</v>
      </c>
      <c r="AI52" s="1">
        <v>1.0</v>
      </c>
      <c r="AJ52" s="1">
        <v>0.0</v>
      </c>
      <c r="AK52" s="1">
        <v>0.0</v>
      </c>
      <c r="AL52" s="1">
        <v>0.0333333333333333</v>
      </c>
      <c r="AM52" s="1">
        <v>0.0166666666666666</v>
      </c>
      <c r="AN52" s="1">
        <v>0.0</v>
      </c>
      <c r="AO52" s="1">
        <v>0.0</v>
      </c>
      <c r="AP52" s="1">
        <v>0.0</v>
      </c>
      <c r="AQ52" s="1">
        <v>0.0</v>
      </c>
      <c r="AR52" s="1">
        <v>1.0</v>
      </c>
      <c r="AS52" s="1">
        <v>0.065283791043978</v>
      </c>
      <c r="AT52" s="1">
        <v>1.01285853609442</v>
      </c>
      <c r="AU52" s="1">
        <v>0.193910545259672</v>
      </c>
      <c r="AV52" s="1">
        <v>1.0</v>
      </c>
      <c r="AW52" s="1">
        <v>1.0</v>
      </c>
      <c r="AX52" s="1">
        <v>0.0</v>
      </c>
      <c r="AY52" s="1">
        <v>0.0</v>
      </c>
      <c r="AZ52" s="1">
        <v>1.0</v>
      </c>
      <c r="BA52" s="1">
        <v>5.0</v>
      </c>
      <c r="BB52" s="1">
        <v>209.0</v>
      </c>
      <c r="BC52" s="1">
        <v>209.0</v>
      </c>
      <c r="BD52" s="1" t="s">
        <v>204</v>
      </c>
    </row>
    <row r="53">
      <c r="A53" s="1" t="s">
        <v>638</v>
      </c>
      <c r="B53" s="1" t="s">
        <v>70</v>
      </c>
      <c r="C53" s="1">
        <v>0.0</v>
      </c>
      <c r="D53" s="1" t="s">
        <v>71</v>
      </c>
      <c r="E53" s="1" t="b">
        <v>1</v>
      </c>
      <c r="F53" s="1" t="b">
        <v>0</v>
      </c>
      <c r="G53" s="1" t="s">
        <v>74</v>
      </c>
      <c r="H53" s="1" t="s">
        <v>640</v>
      </c>
      <c r="I53" s="1" t="s">
        <v>641</v>
      </c>
      <c r="J53" s="1" t="s">
        <v>642</v>
      </c>
      <c r="K53" s="1">
        <v>31.0</v>
      </c>
      <c r="L53" s="1">
        <v>2.13030300599984</v>
      </c>
      <c r="M53" s="1">
        <v>0.115526293414243</v>
      </c>
      <c r="N53" s="1">
        <v>1.18061673641204</v>
      </c>
      <c r="O53" s="1">
        <v>9.23288597599152</v>
      </c>
      <c r="P53" s="1">
        <v>0.296875</v>
      </c>
      <c r="S53" s="1">
        <v>31.0</v>
      </c>
      <c r="T53" s="1">
        <v>0.115526293414243</v>
      </c>
      <c r="U53" s="1">
        <v>0.255559657241024</v>
      </c>
      <c r="V53" s="5">
        <v>2.84989619103726E-6</v>
      </c>
      <c r="W53" s="1">
        <v>1.18061673641204</v>
      </c>
      <c r="X53" s="1">
        <v>1.18061388651585</v>
      </c>
      <c r="Y53" s="1">
        <v>0.354463696479797</v>
      </c>
      <c r="Z53" s="1">
        <v>0.550974875688552</v>
      </c>
      <c r="AA53" s="1">
        <v>0.995127534866332</v>
      </c>
      <c r="AB53" s="1">
        <v>9.23288597599152</v>
      </c>
      <c r="AC53" s="1">
        <v>4.97650428494625</v>
      </c>
      <c r="AD53" s="1">
        <v>0.296875</v>
      </c>
      <c r="AE53" s="1">
        <v>0.650567817687988</v>
      </c>
      <c r="AF53" s="1">
        <v>1.61931705474853</v>
      </c>
      <c r="AG53" s="1">
        <v>2.140625</v>
      </c>
      <c r="AH53" s="1">
        <v>3.0</v>
      </c>
      <c r="AI53" s="1">
        <v>1.0</v>
      </c>
      <c r="AJ53" s="1">
        <v>0.0</v>
      </c>
      <c r="AK53" s="1">
        <v>0.0</v>
      </c>
      <c r="AL53" s="1">
        <v>0.0967741935483871</v>
      </c>
      <c r="AM53" s="1">
        <v>0.032258064516129</v>
      </c>
      <c r="AN53" s="1">
        <v>0.0</v>
      </c>
      <c r="AO53" s="1">
        <v>0.0</v>
      </c>
      <c r="AP53" s="1">
        <v>0.0</v>
      </c>
      <c r="AQ53" s="1">
        <v>0.0</v>
      </c>
      <c r="AR53" s="1">
        <v>1.0</v>
      </c>
      <c r="AS53" s="1">
        <v>0.19508756341526</v>
      </c>
      <c r="AT53" s="1">
        <v>1.18060408894962</v>
      </c>
      <c r="AU53" s="1">
        <v>0.367222705576137</v>
      </c>
      <c r="AV53" s="1">
        <v>1.0</v>
      </c>
      <c r="AW53" s="1">
        <v>1.0</v>
      </c>
      <c r="AX53" s="1">
        <v>0.0</v>
      </c>
      <c r="AY53" s="1">
        <v>0.0</v>
      </c>
      <c r="AZ53" s="1">
        <v>1.0</v>
      </c>
      <c r="BA53" s="1">
        <v>2.0</v>
      </c>
      <c r="BB53" s="1">
        <v>88.0</v>
      </c>
      <c r="BC53" s="1">
        <v>102.0</v>
      </c>
      <c r="BD53" s="1" t="s">
        <v>108</v>
      </c>
    </row>
    <row r="54">
      <c r="A54" s="1" t="s">
        <v>647</v>
      </c>
      <c r="B54" s="1" t="s">
        <v>70</v>
      </c>
      <c r="C54" s="1">
        <v>0.0</v>
      </c>
      <c r="D54" s="1" t="s">
        <v>71</v>
      </c>
      <c r="E54" s="1" t="b">
        <v>1</v>
      </c>
      <c r="F54" s="1" t="b">
        <v>0</v>
      </c>
      <c r="G54" s="1" t="s">
        <v>74</v>
      </c>
      <c r="H54" s="1" t="s">
        <v>649</v>
      </c>
      <c r="I54" s="1" t="s">
        <v>650</v>
      </c>
      <c r="J54" s="1" t="s">
        <v>651</v>
      </c>
      <c r="K54" s="1">
        <v>30.0</v>
      </c>
      <c r="L54" s="1">
        <v>1.99457888599999</v>
      </c>
      <c r="M54" s="1">
        <v>0.073695817148321</v>
      </c>
      <c r="N54" s="1">
        <v>0.634643673896789</v>
      </c>
      <c r="O54" s="1">
        <v>9.01531785329183</v>
      </c>
      <c r="P54" s="1">
        <v>1.30397796630859</v>
      </c>
      <c r="S54" s="1">
        <v>30.0</v>
      </c>
      <c r="T54" s="1">
        <v>0.0736958171483214</v>
      </c>
      <c r="U54" s="1">
        <v>0.170286455138699</v>
      </c>
      <c r="V54" s="5">
        <v>3.79250650439644E-6</v>
      </c>
      <c r="W54" s="1">
        <v>0.634643673896789</v>
      </c>
      <c r="X54" s="1">
        <v>0.634639881390285</v>
      </c>
      <c r="Y54" s="1">
        <v>0.285870468616485</v>
      </c>
      <c r="Z54" s="1">
        <v>0.466308601200579</v>
      </c>
      <c r="AA54" s="1">
        <v>0.624961822628974</v>
      </c>
      <c r="AB54" s="1">
        <v>9.01531785329183</v>
      </c>
      <c r="AC54" s="1">
        <v>4.23249236569269</v>
      </c>
      <c r="AD54" s="1">
        <v>1.30397796630859</v>
      </c>
      <c r="AE54" s="1">
        <v>1.3768894958496</v>
      </c>
      <c r="AF54" s="1">
        <v>1.94786901473999</v>
      </c>
      <c r="AG54" s="1">
        <v>2.73181819915771</v>
      </c>
      <c r="AH54" s="1">
        <v>2.0</v>
      </c>
      <c r="AI54" s="1">
        <v>0.0</v>
      </c>
      <c r="AJ54" s="1">
        <v>0.0</v>
      </c>
      <c r="AK54" s="1">
        <v>0.0</v>
      </c>
      <c r="AL54" s="1">
        <v>0.0666666666666666</v>
      </c>
      <c r="AM54" s="1">
        <v>0.0</v>
      </c>
      <c r="AN54" s="1">
        <v>0.0</v>
      </c>
      <c r="AO54" s="1">
        <v>0.0</v>
      </c>
      <c r="AP54" s="1">
        <v>0.0</v>
      </c>
      <c r="AQ54" s="1">
        <v>0.0</v>
      </c>
      <c r="AR54" s="1">
        <v>0.0</v>
      </c>
      <c r="AS54" s="1">
        <v>0.125418033192859</v>
      </c>
      <c r="AT54" s="1">
        <v>0.63221866171807</v>
      </c>
      <c r="AU54" s="1">
        <v>0.231578492946105</v>
      </c>
      <c r="AV54" s="1">
        <v>1.0</v>
      </c>
      <c r="AW54" s="1">
        <v>0.0</v>
      </c>
      <c r="AX54" s="1">
        <v>0.0</v>
      </c>
      <c r="AY54" s="1">
        <v>0.0</v>
      </c>
      <c r="AZ54" s="1">
        <v>0.0</v>
      </c>
      <c r="BA54" s="1">
        <v>2.0</v>
      </c>
      <c r="BB54" s="1">
        <v>78.0</v>
      </c>
      <c r="BC54" s="1">
        <v>92.0</v>
      </c>
      <c r="BD54" s="1" t="s">
        <v>108</v>
      </c>
    </row>
    <row r="55">
      <c r="A55" s="1" t="s">
        <v>654</v>
      </c>
      <c r="B55" s="1" t="s">
        <v>70</v>
      </c>
      <c r="C55" s="1">
        <v>0.0</v>
      </c>
      <c r="D55" s="1" t="s">
        <v>71</v>
      </c>
      <c r="E55" s="1" t="b">
        <v>1</v>
      </c>
      <c r="F55" s="1" t="b">
        <v>0</v>
      </c>
      <c r="G55" s="1" t="s">
        <v>74</v>
      </c>
      <c r="H55" s="1" t="s">
        <v>655</v>
      </c>
      <c r="I55" s="1" t="s">
        <v>656</v>
      </c>
      <c r="J55" s="1" t="s">
        <v>657</v>
      </c>
      <c r="K55" s="1">
        <v>24.0</v>
      </c>
      <c r="L55" s="1">
        <v>1.59266379700011</v>
      </c>
      <c r="M55" s="1">
        <v>0.066401636421005</v>
      </c>
      <c r="N55" s="1">
        <v>0.659544885158538</v>
      </c>
      <c r="O55" s="1">
        <v>9.74884645144144</v>
      </c>
      <c r="P55" s="1">
        <v>1.65625</v>
      </c>
      <c r="S55" s="1">
        <v>24.0</v>
      </c>
      <c r="T55" s="1">
        <v>0.0664016364210056</v>
      </c>
      <c r="U55" s="1">
        <v>0.177986096839811</v>
      </c>
      <c r="V55" s="5">
        <v>1.03950787888607E-5</v>
      </c>
      <c r="W55" s="1">
        <v>0.659544885158538</v>
      </c>
      <c r="X55" s="1">
        <v>0.65953449007975</v>
      </c>
      <c r="Y55" s="1">
        <v>0.133832408487796</v>
      </c>
      <c r="Z55" s="1">
        <v>0.534333939850329</v>
      </c>
      <c r="AA55" s="1">
        <v>0.646697596311569</v>
      </c>
      <c r="AB55" s="1">
        <v>9.74884645144144</v>
      </c>
      <c r="AC55" s="1">
        <v>4.14900850649069</v>
      </c>
      <c r="AD55" s="1">
        <v>1.65625</v>
      </c>
      <c r="AE55" s="1">
        <v>1.69610807418823</v>
      </c>
      <c r="AF55" s="1">
        <v>2.0715913772583</v>
      </c>
      <c r="AG55" s="1">
        <v>3.52159118652343</v>
      </c>
      <c r="AH55" s="1">
        <v>2.0</v>
      </c>
      <c r="AI55" s="1">
        <v>0.0</v>
      </c>
      <c r="AJ55" s="1">
        <v>0.0</v>
      </c>
      <c r="AK55" s="1">
        <v>0.0</v>
      </c>
      <c r="AL55" s="1">
        <v>0.0833333333333333</v>
      </c>
      <c r="AM55" s="1">
        <v>0.0</v>
      </c>
      <c r="AN55" s="1">
        <v>0.0</v>
      </c>
      <c r="AO55" s="1">
        <v>0.0</v>
      </c>
      <c r="AP55" s="1">
        <v>0.0</v>
      </c>
      <c r="AQ55" s="1">
        <v>0.0</v>
      </c>
      <c r="AR55" s="1">
        <v>0.0</v>
      </c>
      <c r="AS55" s="1">
        <v>0.109239780487848</v>
      </c>
      <c r="AT55" s="1">
        <v>0.659155213856138</v>
      </c>
      <c r="AU55" s="1">
        <v>0.234228695200878</v>
      </c>
      <c r="AV55" s="1">
        <v>1.0</v>
      </c>
      <c r="AW55" s="1">
        <v>0.0</v>
      </c>
      <c r="AX55" s="1">
        <v>0.0</v>
      </c>
      <c r="AY55" s="1">
        <v>0.0</v>
      </c>
      <c r="AZ55" s="1">
        <v>0.0</v>
      </c>
      <c r="BA55" s="1">
        <v>2.0</v>
      </c>
      <c r="BB55" s="1">
        <v>48.0</v>
      </c>
      <c r="BC55" s="1">
        <v>62.0</v>
      </c>
      <c r="BD55" s="1" t="s">
        <v>108</v>
      </c>
    </row>
    <row r="56">
      <c r="A56" s="1" t="s">
        <v>660</v>
      </c>
      <c r="B56" s="1" t="s">
        <v>70</v>
      </c>
      <c r="C56" s="1">
        <v>0.0</v>
      </c>
      <c r="D56" s="1" t="s">
        <v>71</v>
      </c>
      <c r="E56" s="1" t="b">
        <v>1</v>
      </c>
      <c r="F56" s="1" t="b">
        <v>0</v>
      </c>
      <c r="G56" s="1" t="s">
        <v>74</v>
      </c>
      <c r="H56" s="1" t="s">
        <v>661</v>
      </c>
      <c r="I56" s="1" t="s">
        <v>662</v>
      </c>
      <c r="J56" s="1" t="s">
        <v>663</v>
      </c>
      <c r="K56" s="1">
        <v>32.0</v>
      </c>
      <c r="L56" s="1">
        <v>2.20822959299994</v>
      </c>
      <c r="M56" s="1">
        <v>0.060808814240999</v>
      </c>
      <c r="N56" s="1">
        <v>0.747887432575225</v>
      </c>
      <c r="O56" s="1">
        <v>9.36321505904197</v>
      </c>
      <c r="P56" s="1">
        <v>1.25284194946289</v>
      </c>
      <c r="S56" s="1">
        <v>32.0</v>
      </c>
      <c r="T56" s="1">
        <v>0.0608088142409997</v>
      </c>
      <c r="U56" s="1">
        <v>0.181028455651014</v>
      </c>
      <c r="V56" s="5">
        <v>7.08209845470264E-5</v>
      </c>
      <c r="W56" s="1">
        <v>0.747887432575225</v>
      </c>
      <c r="X56" s="1">
        <v>0.747816611590678</v>
      </c>
      <c r="Y56" s="1">
        <v>0.138044745661318</v>
      </c>
      <c r="Z56" s="1">
        <v>0.459128037095069</v>
      </c>
      <c r="AA56" s="1">
        <v>0.730591310858726</v>
      </c>
      <c r="AB56" s="1">
        <v>9.36321505904197</v>
      </c>
      <c r="AC56" s="1">
        <v>3.41935563703871</v>
      </c>
      <c r="AD56" s="1">
        <v>1.25284194946289</v>
      </c>
      <c r="AE56" s="1">
        <v>1.54566827774047</v>
      </c>
      <c r="AF56" s="1">
        <v>2.39822435379028</v>
      </c>
      <c r="AG56" s="1">
        <v>3.57698745727539</v>
      </c>
      <c r="AH56" s="1">
        <v>2.0</v>
      </c>
      <c r="AI56" s="1">
        <v>0.0</v>
      </c>
      <c r="AJ56" s="1">
        <v>0.0</v>
      </c>
      <c r="AK56" s="1">
        <v>0.0</v>
      </c>
      <c r="AL56" s="1">
        <v>0.0625</v>
      </c>
      <c r="AM56" s="1">
        <v>0.0</v>
      </c>
      <c r="AN56" s="1">
        <v>0.0</v>
      </c>
      <c r="AO56" s="1">
        <v>0.0</v>
      </c>
      <c r="AP56" s="1">
        <v>0.0</v>
      </c>
      <c r="AQ56" s="1">
        <v>0.0</v>
      </c>
      <c r="AR56" s="1">
        <v>0.0</v>
      </c>
      <c r="AS56" s="1">
        <v>0.0998534116356055</v>
      </c>
      <c r="AT56" s="1">
        <v>0.74571374990046</v>
      </c>
      <c r="AU56" s="1">
        <v>0.236925483085973</v>
      </c>
      <c r="AV56" s="1">
        <v>1.0</v>
      </c>
      <c r="AW56" s="1">
        <v>0.0</v>
      </c>
      <c r="AX56" s="1">
        <v>0.0</v>
      </c>
      <c r="AY56" s="1">
        <v>0.0</v>
      </c>
      <c r="AZ56" s="1">
        <v>0.0</v>
      </c>
      <c r="BA56" s="1">
        <v>2.0</v>
      </c>
      <c r="BB56" s="1">
        <v>71.0</v>
      </c>
      <c r="BC56" s="1">
        <v>85.0</v>
      </c>
      <c r="BD56" s="1" t="s">
        <v>108</v>
      </c>
    </row>
    <row r="57">
      <c r="A57" s="1" t="s">
        <v>669</v>
      </c>
      <c r="B57" s="1" t="s">
        <v>70</v>
      </c>
      <c r="C57" s="1">
        <v>0.0</v>
      </c>
      <c r="D57" s="1" t="s">
        <v>71</v>
      </c>
      <c r="E57" s="1" t="b">
        <v>1</v>
      </c>
      <c r="F57" s="1" t="b">
        <v>0</v>
      </c>
      <c r="G57" s="1" t="s">
        <v>74</v>
      </c>
      <c r="H57" s="1" t="s">
        <v>670</v>
      </c>
      <c r="I57" s="1" t="s">
        <v>671</v>
      </c>
      <c r="J57" s="1" t="s">
        <v>672</v>
      </c>
      <c r="K57" s="1">
        <v>80.0</v>
      </c>
      <c r="L57" s="1">
        <v>5.25687729800029</v>
      </c>
      <c r="M57" s="1">
        <v>0.049916025915109</v>
      </c>
      <c r="N57" s="1">
        <v>0.717357277870178</v>
      </c>
      <c r="O57" s="1">
        <v>10.4447803854942</v>
      </c>
      <c r="P57" s="1">
        <v>0.298295974731445</v>
      </c>
      <c r="S57" s="1">
        <v>80.0</v>
      </c>
      <c r="T57" s="1">
        <v>0.0499160259151096</v>
      </c>
      <c r="U57" s="1">
        <v>0.15094507120064</v>
      </c>
      <c r="V57" s="5">
        <v>2.71834460363606E-6</v>
      </c>
      <c r="W57" s="1">
        <v>0.717357277870178</v>
      </c>
      <c r="X57" s="1">
        <v>0.717354559525574</v>
      </c>
      <c r="Y57" s="1">
        <v>0.125877521932125</v>
      </c>
      <c r="Z57" s="1">
        <v>0.327681547403334</v>
      </c>
      <c r="AA57" s="1">
        <v>0.69498107612133</v>
      </c>
      <c r="AB57" s="1">
        <v>10.4447803854942</v>
      </c>
      <c r="AC57" s="1">
        <v>4.27730536876403</v>
      </c>
      <c r="AD57" s="1">
        <v>0.298295974731445</v>
      </c>
      <c r="AE57" s="1">
        <v>0.445298404693603</v>
      </c>
      <c r="AF57" s="1">
        <v>2.78167762756347</v>
      </c>
      <c r="AG57" s="1">
        <v>3.84701690673828</v>
      </c>
      <c r="AH57" s="1">
        <v>4.0</v>
      </c>
      <c r="AI57" s="1">
        <v>0.0</v>
      </c>
      <c r="AJ57" s="1">
        <v>0.0</v>
      </c>
      <c r="AK57" s="1">
        <v>0.0</v>
      </c>
      <c r="AL57" s="1">
        <v>0.05</v>
      </c>
      <c r="AM57" s="1">
        <v>0.0</v>
      </c>
      <c r="AN57" s="1">
        <v>0.0</v>
      </c>
      <c r="AO57" s="1">
        <v>0.0</v>
      </c>
      <c r="AP57" s="1">
        <v>0.0</v>
      </c>
      <c r="AQ57" s="1">
        <v>0.0</v>
      </c>
      <c r="AR57" s="1">
        <v>2.0</v>
      </c>
      <c r="AS57" s="1">
        <v>0.0908055888648499</v>
      </c>
      <c r="AT57" s="1">
        <v>0.717202108469791</v>
      </c>
      <c r="AU57" s="1">
        <v>0.211275704421454</v>
      </c>
      <c r="AV57" s="1">
        <v>1.0</v>
      </c>
      <c r="AW57" s="1">
        <v>0.0</v>
      </c>
      <c r="AX57" s="1">
        <v>0.0</v>
      </c>
      <c r="AY57" s="1">
        <v>0.0</v>
      </c>
      <c r="AZ57" s="1">
        <v>0.0</v>
      </c>
      <c r="BA57" s="1">
        <v>10.0</v>
      </c>
      <c r="BB57" s="1">
        <v>198.0</v>
      </c>
      <c r="BC57" s="1">
        <v>212.0</v>
      </c>
      <c r="BD57" s="1" t="s">
        <v>108</v>
      </c>
    </row>
    <row r="58">
      <c r="A58" s="1" t="s">
        <v>673</v>
      </c>
      <c r="B58" s="1" t="s">
        <v>70</v>
      </c>
      <c r="C58" s="1">
        <v>0.0</v>
      </c>
      <c r="D58" s="1" t="s">
        <v>71</v>
      </c>
      <c r="E58" s="1" t="b">
        <v>1</v>
      </c>
      <c r="F58" s="1" t="b">
        <v>0</v>
      </c>
      <c r="G58" s="1" t="s">
        <v>74</v>
      </c>
      <c r="H58" s="1" t="s">
        <v>676</v>
      </c>
      <c r="I58" s="1" t="s">
        <v>677</v>
      </c>
      <c r="J58" s="1" t="s">
        <v>678</v>
      </c>
      <c r="K58" s="1">
        <v>72.0</v>
      </c>
      <c r="L58" s="1">
        <v>4.77482255899985</v>
      </c>
      <c r="M58" s="1">
        <v>0.051263547880015</v>
      </c>
      <c r="N58" s="1">
        <v>0.997618675231933</v>
      </c>
      <c r="O58" s="1">
        <v>10.2495565414428</v>
      </c>
      <c r="P58" s="1">
        <v>1.15625</v>
      </c>
      <c r="S58" s="1">
        <v>72.0</v>
      </c>
      <c r="T58" s="1">
        <v>0.0512635478800157</v>
      </c>
      <c r="U58" s="1">
        <v>0.162775122582672</v>
      </c>
      <c r="V58" s="5">
        <v>4.68374778961333E-8</v>
      </c>
      <c r="W58" s="1">
        <v>0.997618675231933</v>
      </c>
      <c r="X58" s="1">
        <v>0.997618628394455</v>
      </c>
      <c r="Y58" s="1">
        <v>0.129106706380844</v>
      </c>
      <c r="Z58" s="1">
        <v>0.284155888855457</v>
      </c>
      <c r="AA58" s="1">
        <v>0.815644255876542</v>
      </c>
      <c r="AB58" s="1">
        <v>10.2495565414428</v>
      </c>
      <c r="AC58" s="1">
        <v>4.19644861081125</v>
      </c>
      <c r="AD58" s="1">
        <v>1.15625</v>
      </c>
      <c r="AE58" s="1">
        <v>1.2944181060791</v>
      </c>
      <c r="AF58" s="1">
        <v>2.80646266937255</v>
      </c>
      <c r="AG58" s="1">
        <v>3.79389247894287</v>
      </c>
      <c r="AH58" s="1">
        <v>2.0</v>
      </c>
      <c r="AI58" s="1">
        <v>0.0</v>
      </c>
      <c r="AJ58" s="1">
        <v>0.0</v>
      </c>
      <c r="AK58" s="1">
        <v>0.0</v>
      </c>
      <c r="AL58" s="1">
        <v>0.0277777777777777</v>
      </c>
      <c r="AM58" s="1">
        <v>0.0</v>
      </c>
      <c r="AN58" s="1">
        <v>0.0</v>
      </c>
      <c r="AO58" s="1">
        <v>0.0</v>
      </c>
      <c r="AP58" s="1">
        <v>0.0</v>
      </c>
      <c r="AQ58" s="1">
        <v>0.0</v>
      </c>
      <c r="AR58" s="1">
        <v>0.0</v>
      </c>
      <c r="AS58" s="1">
        <v>0.0947591283135003</v>
      </c>
      <c r="AT58" s="1">
        <v>0.997315995278768</v>
      </c>
      <c r="AU58" s="1">
        <v>0.2351464273881</v>
      </c>
      <c r="AV58" s="1">
        <v>1.0</v>
      </c>
      <c r="AW58" s="1">
        <v>0.0</v>
      </c>
      <c r="AX58" s="1">
        <v>0.0</v>
      </c>
      <c r="AY58" s="1">
        <v>0.0</v>
      </c>
      <c r="AZ58" s="1">
        <v>0.0</v>
      </c>
      <c r="BA58" s="1">
        <v>10.0</v>
      </c>
      <c r="BB58" s="1">
        <v>270.0</v>
      </c>
      <c r="BC58" s="1">
        <v>284.0</v>
      </c>
      <c r="BD58" s="1" t="s">
        <v>108</v>
      </c>
    </row>
    <row r="59">
      <c r="A59" s="1" t="s">
        <v>682</v>
      </c>
      <c r="B59" s="1" t="s">
        <v>70</v>
      </c>
      <c r="C59" s="1">
        <v>0.0</v>
      </c>
      <c r="D59" s="1" t="s">
        <v>71</v>
      </c>
      <c r="E59" s="1" t="b">
        <v>1</v>
      </c>
      <c r="F59" s="1" t="b">
        <v>0</v>
      </c>
      <c r="G59" s="1" t="s">
        <v>74</v>
      </c>
      <c r="H59" s="1" t="s">
        <v>685</v>
      </c>
      <c r="I59" s="1" t="s">
        <v>686</v>
      </c>
      <c r="J59" s="1" t="s">
        <v>687</v>
      </c>
      <c r="K59" s="1">
        <v>52.0</v>
      </c>
      <c r="L59" s="1">
        <v>3.45796716699987</v>
      </c>
      <c r="M59" s="1">
        <v>0.077216589532606</v>
      </c>
      <c r="N59" s="1">
        <v>0.908615708351135</v>
      </c>
      <c r="O59" s="1">
        <v>9.20242872604957</v>
      </c>
      <c r="P59" s="1">
        <v>0.375</v>
      </c>
      <c r="S59" s="1">
        <v>52.0</v>
      </c>
      <c r="T59" s="1">
        <v>0.0772165895326067</v>
      </c>
      <c r="U59" s="1">
        <v>0.194243538852933</v>
      </c>
      <c r="V59" s="5">
        <v>7.76320121076423E-6</v>
      </c>
      <c r="W59" s="1">
        <v>0.908615708351135</v>
      </c>
      <c r="X59" s="1">
        <v>0.908607945149924</v>
      </c>
      <c r="Y59" s="1">
        <v>0.322403106093406</v>
      </c>
      <c r="Z59" s="1">
        <v>0.574185824394225</v>
      </c>
      <c r="AA59" s="1">
        <v>0.765161337256432</v>
      </c>
      <c r="AB59" s="1">
        <v>9.20242872604957</v>
      </c>
      <c r="AC59" s="1">
        <v>4.11534126716866</v>
      </c>
      <c r="AD59" s="1">
        <v>0.375</v>
      </c>
      <c r="AE59" s="1">
        <v>0.581462802886962</v>
      </c>
      <c r="AF59" s="1">
        <v>1.66235704421997</v>
      </c>
      <c r="AG59" s="1">
        <v>3.30213069915771</v>
      </c>
      <c r="AH59" s="1">
        <v>4.0</v>
      </c>
      <c r="AI59" s="1">
        <v>0.0</v>
      </c>
      <c r="AJ59" s="1">
        <v>0.0</v>
      </c>
      <c r="AK59" s="1">
        <v>0.0</v>
      </c>
      <c r="AL59" s="1">
        <v>0.0769230769230769</v>
      </c>
      <c r="AM59" s="1">
        <v>0.0</v>
      </c>
      <c r="AN59" s="1">
        <v>0.0</v>
      </c>
      <c r="AO59" s="1">
        <v>0.0</v>
      </c>
      <c r="AP59" s="1">
        <v>0.0</v>
      </c>
      <c r="AQ59" s="1">
        <v>0.0</v>
      </c>
      <c r="AR59" s="1">
        <v>1.0</v>
      </c>
      <c r="AS59" s="1">
        <v>0.096047788452672</v>
      </c>
      <c r="AT59" s="1">
        <v>0.627022939850576</v>
      </c>
      <c r="AU59" s="1">
        <v>0.20642632422392</v>
      </c>
      <c r="AV59" s="1">
        <v>2.0</v>
      </c>
      <c r="AW59" s="1">
        <v>0.0</v>
      </c>
      <c r="AX59" s="1">
        <v>0.0</v>
      </c>
      <c r="AY59" s="1">
        <v>0.0</v>
      </c>
      <c r="AZ59" s="1">
        <v>0.0</v>
      </c>
      <c r="BA59" s="1">
        <v>2.0</v>
      </c>
      <c r="BB59" s="1">
        <v>121.0</v>
      </c>
      <c r="BC59" s="1">
        <v>135.0</v>
      </c>
      <c r="BD59" s="1" t="s">
        <v>108</v>
      </c>
    </row>
    <row r="60">
      <c r="A60" s="1" t="s">
        <v>688</v>
      </c>
      <c r="B60" s="1" t="s">
        <v>70</v>
      </c>
      <c r="C60" s="1">
        <v>0.0</v>
      </c>
      <c r="D60" s="1" t="s">
        <v>71</v>
      </c>
      <c r="E60" s="1" t="b">
        <v>1</v>
      </c>
      <c r="F60" s="1" t="b">
        <v>0</v>
      </c>
      <c r="G60" s="1" t="s">
        <v>74</v>
      </c>
      <c r="H60" s="1" t="s">
        <v>689</v>
      </c>
      <c r="I60" s="1" t="s">
        <v>691</v>
      </c>
      <c r="J60" s="1" t="s">
        <v>692</v>
      </c>
      <c r="K60" s="1">
        <v>29.0</v>
      </c>
      <c r="L60" s="1">
        <v>1.99580118600033</v>
      </c>
      <c r="M60" s="1">
        <v>0.11526066566816</v>
      </c>
      <c r="N60" s="1">
        <v>0.681504368782043</v>
      </c>
      <c r="O60" s="1">
        <v>7.84147292170031</v>
      </c>
      <c r="P60" s="1">
        <v>0.441762924194335</v>
      </c>
      <c r="S60" s="1">
        <v>29.0</v>
      </c>
      <c r="T60" s="1">
        <v>0.11526066566816</v>
      </c>
      <c r="U60" s="1">
        <v>0.226117558392398</v>
      </c>
      <c r="V60" s="5">
        <v>9.40620975597994E-6</v>
      </c>
      <c r="W60" s="1">
        <v>0.681504368782043</v>
      </c>
      <c r="X60" s="1">
        <v>0.681494962572287</v>
      </c>
      <c r="Y60" s="1">
        <v>0.5023286819458</v>
      </c>
      <c r="Z60" s="1">
        <v>0.65798442363739</v>
      </c>
      <c r="AA60" s="1">
        <v>0.680449271202087</v>
      </c>
      <c r="AB60" s="1">
        <v>7.84147292170031</v>
      </c>
      <c r="AC60" s="1">
        <v>4.03749866252158</v>
      </c>
      <c r="AD60" s="1">
        <v>0.441762924194335</v>
      </c>
      <c r="AE60" s="1">
        <v>0.833523559570312</v>
      </c>
      <c r="AF60" s="1">
        <v>1.9022720336914</v>
      </c>
      <c r="AG60" s="1">
        <v>2.05227241516113</v>
      </c>
      <c r="AH60" s="1">
        <v>3.0</v>
      </c>
      <c r="AI60" s="1">
        <v>0.0</v>
      </c>
      <c r="AJ60" s="1">
        <v>0.0</v>
      </c>
      <c r="AK60" s="1">
        <v>0.0</v>
      </c>
      <c r="AL60" s="1">
        <v>0.103448275862068</v>
      </c>
      <c r="AM60" s="1">
        <v>0.0</v>
      </c>
      <c r="AN60" s="1">
        <v>0.0</v>
      </c>
      <c r="AO60" s="1">
        <v>0.0</v>
      </c>
      <c r="AP60" s="1">
        <v>0.0</v>
      </c>
      <c r="AQ60" s="1">
        <v>0.0</v>
      </c>
      <c r="AR60" s="1">
        <v>1.0</v>
      </c>
      <c r="AS60" s="1">
        <v>0.190741104647778</v>
      </c>
      <c r="AT60" s="1">
        <v>0.680076824501156</v>
      </c>
      <c r="AU60" s="1">
        <v>0.316582531860647</v>
      </c>
      <c r="AV60" s="1">
        <v>1.0</v>
      </c>
      <c r="AW60" s="1">
        <v>0.0</v>
      </c>
      <c r="AX60" s="1">
        <v>0.0</v>
      </c>
      <c r="AY60" s="1">
        <v>0.0</v>
      </c>
      <c r="AZ60" s="1">
        <v>0.0</v>
      </c>
      <c r="BA60" s="1">
        <v>2.0</v>
      </c>
      <c r="BB60" s="1">
        <v>68.0</v>
      </c>
      <c r="BC60" s="1">
        <v>82.0</v>
      </c>
      <c r="BD60" s="1" t="s">
        <v>108</v>
      </c>
    </row>
    <row r="61">
      <c r="A61" s="1" t="s">
        <v>699</v>
      </c>
      <c r="B61" s="1" t="s">
        <v>70</v>
      </c>
      <c r="C61" s="1">
        <v>0.0</v>
      </c>
      <c r="D61" s="1" t="s">
        <v>71</v>
      </c>
      <c r="E61" s="1" t="b">
        <v>1</v>
      </c>
      <c r="F61" s="1" t="b">
        <v>0</v>
      </c>
      <c r="G61" s="1" t="s">
        <v>74</v>
      </c>
      <c r="H61" s="1" t="s">
        <v>700</v>
      </c>
      <c r="I61" s="1" t="s">
        <v>701</v>
      </c>
      <c r="J61" s="1" t="s">
        <v>702</v>
      </c>
      <c r="K61" s="1">
        <v>158.0</v>
      </c>
      <c r="L61" s="1">
        <v>10.4594939519997</v>
      </c>
      <c r="M61" s="1">
        <v>0.09286052882232</v>
      </c>
      <c r="N61" s="1">
        <v>1.95601415634155</v>
      </c>
      <c r="O61" s="1">
        <v>9.6553693300561</v>
      </c>
      <c r="P61" s="1">
        <v>0.015625</v>
      </c>
      <c r="S61" s="1">
        <v>158.0</v>
      </c>
      <c r="T61" s="1">
        <v>0.0928605288223203</v>
      </c>
      <c r="U61" s="1">
        <v>0.269577969735765</v>
      </c>
      <c r="V61" s="5">
        <v>2.79395089819445E-6</v>
      </c>
      <c r="W61" s="1">
        <v>1.95601415634155</v>
      </c>
      <c r="X61" s="1">
        <v>1.95601136239065</v>
      </c>
      <c r="Y61" s="1">
        <v>0.317367804050446</v>
      </c>
      <c r="Z61" s="1">
        <v>0.703099554777145</v>
      </c>
      <c r="AA61" s="1">
        <v>1.09860147118568</v>
      </c>
      <c r="AB61" s="1">
        <v>9.6553693300561</v>
      </c>
      <c r="AC61" s="1">
        <v>4.16530293738692</v>
      </c>
      <c r="AD61" s="1">
        <v>0.015625</v>
      </c>
      <c r="AE61" s="1">
        <v>0.246378211975097</v>
      </c>
      <c r="AF61" s="1">
        <v>1.20014209747314</v>
      </c>
      <c r="AG61" s="1">
        <v>2.73011264801025</v>
      </c>
      <c r="AH61" s="1">
        <v>13.0</v>
      </c>
      <c r="AI61" s="1">
        <v>3.0</v>
      </c>
      <c r="AJ61" s="1">
        <v>1.0</v>
      </c>
      <c r="AK61" s="1">
        <v>0.0</v>
      </c>
      <c r="AL61" s="1">
        <v>0.0822784810126582</v>
      </c>
      <c r="AM61" s="1">
        <v>0.0189873417721519</v>
      </c>
      <c r="AN61" s="1">
        <v>0.00632911392405063</v>
      </c>
      <c r="AO61" s="1">
        <v>1.0</v>
      </c>
      <c r="AP61" s="1">
        <v>1.0</v>
      </c>
      <c r="AQ61" s="1">
        <v>2.0</v>
      </c>
      <c r="AR61" s="1">
        <v>4.0</v>
      </c>
      <c r="AS61" s="1">
        <v>0.148476042544041</v>
      </c>
      <c r="AT61" s="1">
        <v>1.95485114934854</v>
      </c>
      <c r="AU61" s="1">
        <v>0.34676727525103</v>
      </c>
      <c r="AV61" s="1">
        <v>2.0</v>
      </c>
      <c r="AW61" s="1">
        <v>1.0</v>
      </c>
      <c r="AX61" s="1">
        <v>1.0</v>
      </c>
      <c r="AY61" s="1">
        <v>0.0</v>
      </c>
      <c r="AZ61" s="1">
        <v>1.0</v>
      </c>
      <c r="BA61" s="1">
        <v>25.0</v>
      </c>
      <c r="BB61" s="1">
        <v>538.0</v>
      </c>
      <c r="BC61" s="1">
        <v>552.0</v>
      </c>
      <c r="BD61" s="1" t="s">
        <v>108</v>
      </c>
    </row>
    <row r="62">
      <c r="A62" s="1" t="s">
        <v>705</v>
      </c>
      <c r="B62" s="1" t="s">
        <v>70</v>
      </c>
      <c r="C62" s="1">
        <v>0.0</v>
      </c>
      <c r="D62" s="1" t="s">
        <v>71</v>
      </c>
      <c r="E62" s="1" t="b">
        <v>1</v>
      </c>
      <c r="F62" s="1" t="b">
        <v>0</v>
      </c>
      <c r="G62" s="1" t="s">
        <v>74</v>
      </c>
      <c r="H62" s="1" t="s">
        <v>706</v>
      </c>
      <c r="I62" s="1" t="s">
        <v>708</v>
      </c>
      <c r="J62" s="1" t="s">
        <v>709</v>
      </c>
      <c r="K62" s="1">
        <v>30.0</v>
      </c>
      <c r="L62" s="1">
        <v>2.04428130999986</v>
      </c>
      <c r="M62" s="1">
        <v>0.05369998826642</v>
      </c>
      <c r="N62" s="1">
        <v>0.551024198532104</v>
      </c>
      <c r="O62" s="1">
        <v>10.5120978037516</v>
      </c>
      <c r="P62" s="1">
        <v>1.94744300842285</v>
      </c>
      <c r="S62" s="1">
        <v>30.0</v>
      </c>
      <c r="T62" s="1">
        <v>0.0536999882664204</v>
      </c>
      <c r="U62" s="1">
        <v>0.1383769638464</v>
      </c>
      <c r="V62" s="5">
        <v>8.36075031429572E-8</v>
      </c>
      <c r="W62" s="1">
        <v>0.551024198532104</v>
      </c>
      <c r="X62" s="1">
        <v>0.551024114924601</v>
      </c>
      <c r="Y62" s="1">
        <v>0.112949173897504</v>
      </c>
      <c r="Z62" s="1">
        <v>0.377811866998671</v>
      </c>
      <c r="AA62" s="1">
        <v>0.541081390380859</v>
      </c>
      <c r="AB62" s="1">
        <v>10.5120978037516</v>
      </c>
      <c r="AC62" s="1">
        <v>4.91264419187814</v>
      </c>
      <c r="AD62" s="1">
        <v>1.94744300842285</v>
      </c>
      <c r="AE62" s="1">
        <v>1.99275550842285</v>
      </c>
      <c r="AF62" s="1">
        <v>2.62081003189086</v>
      </c>
      <c r="AG62" s="1">
        <v>3.83579540252685</v>
      </c>
      <c r="AH62" s="1">
        <v>2.0</v>
      </c>
      <c r="AI62" s="1">
        <v>0.0</v>
      </c>
      <c r="AJ62" s="1">
        <v>0.0</v>
      </c>
      <c r="AK62" s="1">
        <v>0.0</v>
      </c>
      <c r="AL62" s="1">
        <v>0.0666666666666666</v>
      </c>
      <c r="AM62" s="1">
        <v>0.0</v>
      </c>
      <c r="AN62" s="1">
        <v>0.0</v>
      </c>
      <c r="AO62" s="1">
        <v>0.0</v>
      </c>
      <c r="AP62" s="1">
        <v>0.0</v>
      </c>
      <c r="AQ62" s="1">
        <v>0.0</v>
      </c>
      <c r="AR62" s="1">
        <v>0.0</v>
      </c>
      <c r="AS62" s="1">
        <v>0.0884622359901925</v>
      </c>
      <c r="AT62" s="1">
        <v>0.548483781283721</v>
      </c>
      <c r="AU62" s="1">
        <v>0.180435153166774</v>
      </c>
      <c r="AV62" s="1">
        <v>1.0</v>
      </c>
      <c r="AW62" s="1">
        <v>0.0</v>
      </c>
      <c r="AX62" s="1">
        <v>0.0</v>
      </c>
      <c r="AY62" s="1">
        <v>0.0</v>
      </c>
      <c r="AZ62" s="1">
        <v>0.0</v>
      </c>
      <c r="BA62" s="1">
        <v>2.0</v>
      </c>
      <c r="BB62" s="1">
        <v>56.0</v>
      </c>
      <c r="BC62" s="1">
        <v>70.0</v>
      </c>
      <c r="BD62" s="1" t="s">
        <v>108</v>
      </c>
    </row>
    <row r="63">
      <c r="A63" s="1" t="s">
        <v>714</v>
      </c>
      <c r="B63" s="1" t="s">
        <v>70</v>
      </c>
      <c r="C63" s="1">
        <v>0.0</v>
      </c>
      <c r="D63" s="1" t="s">
        <v>71</v>
      </c>
      <c r="E63" s="1" t="b">
        <v>1</v>
      </c>
      <c r="F63" s="1" t="b">
        <v>0</v>
      </c>
      <c r="G63" s="1" t="s">
        <v>74</v>
      </c>
      <c r="H63" s="1" t="s">
        <v>715</v>
      </c>
      <c r="I63" s="1" t="s">
        <v>716</v>
      </c>
      <c r="J63" s="1" t="s">
        <v>717</v>
      </c>
      <c r="K63" s="1">
        <v>72.0</v>
      </c>
      <c r="L63" s="1">
        <v>4.77333840799974</v>
      </c>
      <c r="M63" s="1">
        <v>0.052380176946415</v>
      </c>
      <c r="N63" s="1">
        <v>0.866511225700378</v>
      </c>
      <c r="O63" s="1">
        <v>10.4281689061058</v>
      </c>
      <c r="P63" s="1">
        <v>0.5</v>
      </c>
      <c r="S63" s="1">
        <v>72.0</v>
      </c>
      <c r="T63" s="1">
        <v>0.0523801769464151</v>
      </c>
      <c r="U63" s="1">
        <v>0.166965335879571</v>
      </c>
      <c r="V63" s="5">
        <v>3.80022164847559E-8</v>
      </c>
      <c r="W63" s="1">
        <v>0.866511225700378</v>
      </c>
      <c r="X63" s="1">
        <v>0.866511187698161</v>
      </c>
      <c r="Y63" s="1">
        <v>0.120834430307149</v>
      </c>
      <c r="Z63" s="1">
        <v>0.291004306077957</v>
      </c>
      <c r="AA63" s="1">
        <v>0.845296477079391</v>
      </c>
      <c r="AB63" s="1">
        <v>10.4281689061058</v>
      </c>
      <c r="AC63" s="1">
        <v>4.30869420062898</v>
      </c>
      <c r="AD63" s="1">
        <v>0.5</v>
      </c>
      <c r="AE63" s="1">
        <v>0.561520748138427</v>
      </c>
      <c r="AF63" s="1">
        <v>2.80056819915771</v>
      </c>
      <c r="AG63" s="1">
        <v>3.93963069915771</v>
      </c>
      <c r="AH63" s="1">
        <v>3.0</v>
      </c>
      <c r="AI63" s="1">
        <v>0.0</v>
      </c>
      <c r="AJ63" s="1">
        <v>0.0</v>
      </c>
      <c r="AK63" s="1">
        <v>0.0</v>
      </c>
      <c r="AL63" s="1">
        <v>0.0416666666666666</v>
      </c>
      <c r="AM63" s="1">
        <v>0.0</v>
      </c>
      <c r="AN63" s="1">
        <v>0.0</v>
      </c>
      <c r="AO63" s="1">
        <v>0.0</v>
      </c>
      <c r="AP63" s="1">
        <v>0.0</v>
      </c>
      <c r="AQ63" s="1">
        <v>0.0</v>
      </c>
      <c r="AR63" s="1">
        <v>0.0</v>
      </c>
      <c r="AS63" s="1">
        <v>0.0969708274404864</v>
      </c>
      <c r="AT63" s="1">
        <v>0.866500430898668</v>
      </c>
      <c r="AU63" s="1">
        <v>0.241181462830721</v>
      </c>
      <c r="AV63" s="1">
        <v>1.0</v>
      </c>
      <c r="AW63" s="1">
        <v>0.0</v>
      </c>
      <c r="AX63" s="1">
        <v>0.0</v>
      </c>
      <c r="AY63" s="1">
        <v>0.0</v>
      </c>
      <c r="AZ63" s="1">
        <v>0.0</v>
      </c>
      <c r="BA63" s="1">
        <v>10.0</v>
      </c>
      <c r="BB63" s="1">
        <v>270.0</v>
      </c>
      <c r="BC63" s="1">
        <v>284.0</v>
      </c>
      <c r="BD63" s="1" t="s">
        <v>108</v>
      </c>
    </row>
    <row r="64">
      <c r="A64" s="1" t="s">
        <v>718</v>
      </c>
      <c r="B64" s="1" t="s">
        <v>70</v>
      </c>
      <c r="C64" s="1">
        <v>0.0</v>
      </c>
      <c r="D64" s="1" t="s">
        <v>71</v>
      </c>
      <c r="E64" s="1" t="b">
        <v>1</v>
      </c>
      <c r="F64" s="1" t="b">
        <v>0</v>
      </c>
      <c r="G64" s="1" t="s">
        <v>74</v>
      </c>
      <c r="H64" s="1" t="s">
        <v>720</v>
      </c>
      <c r="I64" s="1" t="s">
        <v>722</v>
      </c>
      <c r="J64" s="1" t="s">
        <v>723</v>
      </c>
      <c r="K64" s="1">
        <v>27.0</v>
      </c>
      <c r="L64" s="1">
        <v>1.85046881700009</v>
      </c>
      <c r="M64" s="1">
        <v>0.177516926821597</v>
      </c>
      <c r="N64" s="1">
        <v>1.65276336669921</v>
      </c>
      <c r="O64" s="1">
        <v>7.24416072280318</v>
      </c>
      <c r="P64" s="1">
        <v>0.667613983154296</v>
      </c>
      <c r="S64" s="1">
        <v>27.0</v>
      </c>
      <c r="T64" s="1">
        <v>0.177516926821597</v>
      </c>
      <c r="U64" s="1">
        <v>0.367467799923497</v>
      </c>
      <c r="V64" s="5">
        <v>7.87660683272406E-5</v>
      </c>
      <c r="W64" s="1">
        <v>1.65276336669921</v>
      </c>
      <c r="X64" s="1">
        <v>1.65268460063089</v>
      </c>
      <c r="Y64" s="1">
        <v>0.643367755413055</v>
      </c>
      <c r="Z64" s="1">
        <v>0.672097027301788</v>
      </c>
      <c r="AA64" s="1">
        <v>1.3986258983612</v>
      </c>
      <c r="AB64" s="1">
        <v>7.24416072280318</v>
      </c>
      <c r="AC64" s="1">
        <v>4.04614006200882</v>
      </c>
      <c r="AD64" s="1">
        <v>0.667613983154296</v>
      </c>
      <c r="AE64" s="1">
        <v>0.707131118774414</v>
      </c>
      <c r="AF64" s="1">
        <v>0.864347076416015</v>
      </c>
      <c r="AG64" s="1">
        <v>1.24573822021484</v>
      </c>
      <c r="AH64" s="1">
        <v>4.0</v>
      </c>
      <c r="AI64" s="1">
        <v>1.0</v>
      </c>
      <c r="AJ64" s="1">
        <v>1.0</v>
      </c>
      <c r="AK64" s="1">
        <v>0.0</v>
      </c>
      <c r="AL64" s="1">
        <v>0.148148148148148</v>
      </c>
      <c r="AM64" s="1">
        <v>0.037037037037037</v>
      </c>
      <c r="AN64" s="1">
        <v>0.037037037037037</v>
      </c>
      <c r="AO64" s="1">
        <v>0.0</v>
      </c>
      <c r="AP64" s="1">
        <v>0.0</v>
      </c>
      <c r="AQ64" s="1">
        <v>0.0</v>
      </c>
      <c r="AR64" s="1">
        <v>0.0</v>
      </c>
      <c r="AS64" s="1">
        <v>0.32160742547757</v>
      </c>
      <c r="AT64" s="1">
        <v>1.65247182181337</v>
      </c>
      <c r="AU64" s="1">
        <v>0.554150563441148</v>
      </c>
      <c r="AV64" s="1">
        <v>1.0</v>
      </c>
      <c r="AW64" s="1">
        <v>1.0</v>
      </c>
      <c r="AX64" s="1">
        <v>1.0</v>
      </c>
      <c r="AY64" s="1">
        <v>0.0</v>
      </c>
      <c r="AZ64" s="1">
        <v>1.0</v>
      </c>
      <c r="BA64" s="1">
        <v>2.0</v>
      </c>
      <c r="BB64" s="1">
        <v>74.0</v>
      </c>
      <c r="BC64" s="1">
        <v>88.0</v>
      </c>
      <c r="BD64" s="1" t="s">
        <v>108</v>
      </c>
    </row>
    <row r="65">
      <c r="A65" s="1" t="s">
        <v>728</v>
      </c>
      <c r="B65" s="1" t="s">
        <v>70</v>
      </c>
      <c r="C65" s="1">
        <v>0.0</v>
      </c>
      <c r="D65" s="1" t="s">
        <v>71</v>
      </c>
      <c r="E65" s="1" t="b">
        <v>1</v>
      </c>
      <c r="F65" s="1" t="b">
        <v>0</v>
      </c>
      <c r="G65" s="1" t="s">
        <v>74</v>
      </c>
      <c r="H65" s="1" t="s">
        <v>730</v>
      </c>
      <c r="I65" s="1" t="s">
        <v>731</v>
      </c>
      <c r="J65" s="1" t="s">
        <v>732</v>
      </c>
      <c r="K65" s="1">
        <v>94.0</v>
      </c>
      <c r="L65" s="1">
        <v>6.34899225199978</v>
      </c>
      <c r="M65" s="1">
        <v>0.067825148038682</v>
      </c>
      <c r="N65" s="1">
        <v>0.905466556549072</v>
      </c>
      <c r="O65" s="1">
        <v>10.2602987390883</v>
      </c>
      <c r="P65" s="1">
        <v>0.160512924194335</v>
      </c>
      <c r="S65" s="1">
        <v>94.0</v>
      </c>
      <c r="T65" s="1">
        <v>0.0678251480386821</v>
      </c>
      <c r="U65" s="1">
        <v>0.189511500628396</v>
      </c>
      <c r="V65" s="5">
        <v>7.59398881200468E-6</v>
      </c>
      <c r="W65" s="1">
        <v>0.905466556549072</v>
      </c>
      <c r="X65" s="1">
        <v>0.90545896256026</v>
      </c>
      <c r="Y65" s="1">
        <v>0.179324381053447</v>
      </c>
      <c r="Z65" s="1">
        <v>0.497410374879836</v>
      </c>
      <c r="AA65" s="1">
        <v>0.872720856070518</v>
      </c>
      <c r="AB65" s="1">
        <v>10.2602987390883</v>
      </c>
      <c r="AC65" s="1">
        <v>4.17809819234431</v>
      </c>
      <c r="AD65" s="1">
        <v>0.160512924194335</v>
      </c>
      <c r="AE65" s="1">
        <v>0.509262924194335</v>
      </c>
      <c r="AF65" s="1">
        <v>1.9212363243103</v>
      </c>
      <c r="AG65" s="1">
        <v>3.09602298736572</v>
      </c>
      <c r="AH65" s="1">
        <v>5.0</v>
      </c>
      <c r="AI65" s="1">
        <v>0.0</v>
      </c>
      <c r="AJ65" s="1">
        <v>0.0</v>
      </c>
      <c r="AK65" s="1">
        <v>0.0</v>
      </c>
      <c r="AL65" s="1">
        <v>0.0531914893617021</v>
      </c>
      <c r="AM65" s="1">
        <v>0.0</v>
      </c>
      <c r="AN65" s="1">
        <v>0.0</v>
      </c>
      <c r="AO65" s="1">
        <v>0.0</v>
      </c>
      <c r="AP65" s="1">
        <v>0.0</v>
      </c>
      <c r="AQ65" s="1">
        <v>1.0</v>
      </c>
      <c r="AR65" s="1">
        <v>1.0</v>
      </c>
      <c r="AS65" s="1">
        <v>0.129161415020706</v>
      </c>
      <c r="AT65" s="1">
        <v>0.905453465449682</v>
      </c>
      <c r="AU65" s="1">
        <v>0.277906238653681</v>
      </c>
      <c r="AV65" s="1">
        <v>1.0</v>
      </c>
      <c r="AW65" s="1">
        <v>0.0</v>
      </c>
      <c r="AX65" s="1">
        <v>0.0</v>
      </c>
      <c r="AY65" s="1">
        <v>0.0</v>
      </c>
      <c r="AZ65" s="1">
        <v>0.0</v>
      </c>
      <c r="BA65" s="1">
        <v>10.0</v>
      </c>
      <c r="BB65" s="1">
        <v>206.0</v>
      </c>
      <c r="BC65" s="1">
        <v>220.0</v>
      </c>
      <c r="BD65" s="1" t="s">
        <v>108</v>
      </c>
    </row>
    <row r="66">
      <c r="A66" s="1" t="s">
        <v>733</v>
      </c>
      <c r="B66" s="1" t="s">
        <v>70</v>
      </c>
      <c r="C66" s="1">
        <v>0.0</v>
      </c>
      <c r="D66" s="1" t="s">
        <v>71</v>
      </c>
      <c r="E66" s="1" t="b">
        <v>1</v>
      </c>
      <c r="F66" s="1" t="b">
        <v>0</v>
      </c>
      <c r="G66" s="1" t="s">
        <v>74</v>
      </c>
      <c r="H66" s="1" t="s">
        <v>734</v>
      </c>
      <c r="I66" s="1" t="s">
        <v>735</v>
      </c>
      <c r="J66" s="1" t="s">
        <v>736</v>
      </c>
      <c r="K66" s="1">
        <v>144.0</v>
      </c>
      <c r="L66" s="1">
        <v>9.67100313899982</v>
      </c>
      <c r="M66" s="1">
        <v>0.092707729601455</v>
      </c>
      <c r="N66" s="1">
        <v>1.43001270294189</v>
      </c>
      <c r="O66" s="1">
        <v>8.45391460259755</v>
      </c>
      <c r="P66" s="1">
        <v>0.127840042114257</v>
      </c>
      <c r="S66" s="1">
        <v>144.0</v>
      </c>
      <c r="T66" s="1">
        <v>0.0927077296014557</v>
      </c>
      <c r="U66" s="1">
        <v>0.233741391294579</v>
      </c>
      <c r="V66" s="5">
        <v>9.65184244705597E-6</v>
      </c>
      <c r="W66" s="1">
        <v>1.43001270294189</v>
      </c>
      <c r="X66" s="1">
        <v>1.43000305109944</v>
      </c>
      <c r="Y66" s="1">
        <v>0.366133978962899</v>
      </c>
      <c r="Z66" s="1">
        <v>0.654077991843223</v>
      </c>
      <c r="AA66" s="1">
        <v>0.973432304859159</v>
      </c>
      <c r="AB66" s="1">
        <v>8.45391460259755</v>
      </c>
      <c r="AC66" s="1">
        <v>3.72353770630924</v>
      </c>
      <c r="AD66" s="1">
        <v>0.127840042114257</v>
      </c>
      <c r="AE66" s="1">
        <v>0.248622455596923</v>
      </c>
      <c r="AF66" s="1">
        <v>1.20497188568115</v>
      </c>
      <c r="AG66" s="1">
        <v>3.13892059326171</v>
      </c>
      <c r="AH66" s="1">
        <v>13.0</v>
      </c>
      <c r="AI66" s="1">
        <v>2.0</v>
      </c>
      <c r="AJ66" s="1">
        <v>0.0</v>
      </c>
      <c r="AK66" s="1">
        <v>0.0</v>
      </c>
      <c r="AL66" s="1">
        <v>0.0902777777777777</v>
      </c>
      <c r="AM66" s="1">
        <v>0.0138888888888888</v>
      </c>
      <c r="AN66" s="1">
        <v>0.0</v>
      </c>
      <c r="AO66" s="1">
        <v>0.0</v>
      </c>
      <c r="AP66" s="1">
        <v>0.0</v>
      </c>
      <c r="AQ66" s="1">
        <v>2.0</v>
      </c>
      <c r="AR66" s="1">
        <v>5.0</v>
      </c>
      <c r="AS66" s="1">
        <v>0.165365566661001</v>
      </c>
      <c r="AT66" s="1">
        <v>1.42600752227008</v>
      </c>
      <c r="AU66" s="1">
        <v>0.339449984321977</v>
      </c>
      <c r="AV66" s="1">
        <v>1.0</v>
      </c>
      <c r="AW66" s="1">
        <v>1.0</v>
      </c>
      <c r="AX66" s="1">
        <v>0.0</v>
      </c>
      <c r="AY66" s="1">
        <v>0.0</v>
      </c>
      <c r="AZ66" s="1">
        <v>1.0</v>
      </c>
      <c r="BA66" s="1">
        <v>13.0</v>
      </c>
      <c r="BB66" s="1">
        <v>412.0</v>
      </c>
      <c r="BC66" s="1">
        <v>426.0</v>
      </c>
      <c r="BD66" s="1" t="s">
        <v>108</v>
      </c>
    </row>
    <row r="67">
      <c r="A67" s="1" t="s">
        <v>739</v>
      </c>
      <c r="B67" s="1" t="s">
        <v>70</v>
      </c>
      <c r="C67" s="1">
        <v>0.0</v>
      </c>
      <c r="D67" s="1" t="s">
        <v>71</v>
      </c>
      <c r="E67" s="1" t="b">
        <v>0</v>
      </c>
      <c r="F67" s="1" t="b">
        <v>1</v>
      </c>
      <c r="G67" s="1" t="s">
        <v>740</v>
      </c>
      <c r="H67" s="1" t="s">
        <v>741</v>
      </c>
      <c r="I67" s="1" t="s">
        <v>742</v>
      </c>
      <c r="J67" s="1" t="s">
        <v>743</v>
      </c>
      <c r="K67" s="1">
        <v>55.0</v>
      </c>
      <c r="L67" s="1">
        <v>3.64584961799982</v>
      </c>
      <c r="M67" s="1">
        <v>0.091646674482796</v>
      </c>
      <c r="N67" s="1">
        <v>1.16676998138427</v>
      </c>
      <c r="O67" s="1">
        <v>8.60318993655118</v>
      </c>
      <c r="P67" s="1">
        <v>0.984375</v>
      </c>
      <c r="Q67" s="1" t="s">
        <v>198</v>
      </c>
      <c r="R67" s="1" t="s">
        <v>247</v>
      </c>
      <c r="S67" s="1">
        <v>55.0</v>
      </c>
      <c r="T67" s="1">
        <v>0.0916466744827961</v>
      </c>
      <c r="U67" s="1">
        <v>0.223768401684273</v>
      </c>
      <c r="V67" s="5">
        <v>1.45332960528321E-5</v>
      </c>
      <c r="W67" s="1">
        <v>1.16676998138427</v>
      </c>
      <c r="X67" s="1">
        <v>1.16675544808822</v>
      </c>
      <c r="Y67" s="1">
        <v>0.371744477748871</v>
      </c>
      <c r="Z67" s="1">
        <v>0.570063459873199</v>
      </c>
      <c r="AA67" s="1">
        <v>0.926459814310074</v>
      </c>
      <c r="AB67" s="1">
        <v>8.60318993655118</v>
      </c>
      <c r="AC67" s="1">
        <v>4.00131312194245</v>
      </c>
      <c r="AD67" s="1">
        <v>0.984375</v>
      </c>
      <c r="AE67" s="1">
        <v>1.13394905090332</v>
      </c>
      <c r="AF67" s="1">
        <v>1.74545497894287</v>
      </c>
      <c r="AG67" s="1">
        <v>2.3409080505371</v>
      </c>
      <c r="AH67" s="1">
        <v>4.0</v>
      </c>
      <c r="AI67" s="1">
        <v>1.0</v>
      </c>
      <c r="AJ67" s="1">
        <v>0.0</v>
      </c>
      <c r="AK67" s="1">
        <v>0.0</v>
      </c>
      <c r="AL67" s="1">
        <v>0.0727272727272727</v>
      </c>
      <c r="AM67" s="1">
        <v>0.0181818181818181</v>
      </c>
      <c r="AN67" s="1">
        <v>0.0</v>
      </c>
      <c r="AO67" s="1">
        <v>0.0</v>
      </c>
      <c r="AP67" s="1">
        <v>0.0</v>
      </c>
      <c r="AQ67" s="1">
        <v>0.0</v>
      </c>
      <c r="AR67" s="1">
        <v>0.0</v>
      </c>
      <c r="AS67" s="1">
        <v>0.152888536447385</v>
      </c>
      <c r="AT67" s="1">
        <v>1.16651651589199</v>
      </c>
      <c r="AU67" s="1">
        <v>0.319070810715048</v>
      </c>
      <c r="AV67" s="1">
        <v>1.0</v>
      </c>
      <c r="AW67" s="1">
        <v>1.0</v>
      </c>
      <c r="AX67" s="1">
        <v>0.0</v>
      </c>
      <c r="AY67" s="1">
        <v>0.0</v>
      </c>
      <c r="AZ67" s="1">
        <v>1.0</v>
      </c>
      <c r="BA67" s="1">
        <v>8.0</v>
      </c>
      <c r="BB67" s="1">
        <v>169.0</v>
      </c>
      <c r="BC67" s="1">
        <v>183.0</v>
      </c>
      <c r="BD67" s="1" t="s">
        <v>204</v>
      </c>
    </row>
    <row r="68">
      <c r="A68" s="1" t="s">
        <v>747</v>
      </c>
      <c r="B68" s="1" t="s">
        <v>70</v>
      </c>
      <c r="C68" s="1">
        <v>0.0</v>
      </c>
      <c r="D68" s="1" t="s">
        <v>71</v>
      </c>
      <c r="E68" s="1" t="b">
        <v>1</v>
      </c>
      <c r="F68" s="1" t="b">
        <v>0</v>
      </c>
      <c r="G68" s="1" t="s">
        <v>74</v>
      </c>
      <c r="H68" s="1" t="s">
        <v>750</v>
      </c>
      <c r="I68" s="1" t="s">
        <v>751</v>
      </c>
      <c r="J68" s="1" t="s">
        <v>752</v>
      </c>
      <c r="K68" s="1">
        <v>25.0</v>
      </c>
      <c r="L68" s="1">
        <v>1.72625967900012</v>
      </c>
      <c r="M68" s="1">
        <v>0.032197609479462</v>
      </c>
      <c r="N68" s="1">
        <v>0.555607736110687</v>
      </c>
      <c r="O68" s="1">
        <v>8.99068206787109</v>
      </c>
      <c r="P68" s="1">
        <v>1.6065330505371</v>
      </c>
      <c r="S68" s="1">
        <v>25.0</v>
      </c>
      <c r="T68" s="1">
        <v>0.0321976094794627</v>
      </c>
      <c r="U68" s="1">
        <v>0.110937524297666</v>
      </c>
      <c r="V68" s="5">
        <v>5.82837265028501E-6</v>
      </c>
      <c r="W68" s="1">
        <v>0.555607736110687</v>
      </c>
      <c r="X68" s="1">
        <v>0.555601907738037</v>
      </c>
      <c r="Y68" s="1">
        <v>0.0488067097961902</v>
      </c>
      <c r="Z68" s="1">
        <v>0.078854178637266</v>
      </c>
      <c r="AA68" s="1">
        <v>0.442951096892355</v>
      </c>
      <c r="AB68" s="1">
        <v>8.99068206787109</v>
      </c>
      <c r="AC68" s="1">
        <v>3.16538782379182</v>
      </c>
      <c r="AD68" s="1">
        <v>1.6065330505371</v>
      </c>
      <c r="AE68" s="1">
        <v>2.2522151184082</v>
      </c>
      <c r="AF68" s="1">
        <v>4.53096618652343</v>
      </c>
      <c r="AG68" s="1">
        <v>5.64403533935546</v>
      </c>
      <c r="AH68" s="1">
        <v>1.0</v>
      </c>
      <c r="AI68" s="1">
        <v>0.0</v>
      </c>
      <c r="AJ68" s="1">
        <v>0.0</v>
      </c>
      <c r="AK68" s="1">
        <v>0.0</v>
      </c>
      <c r="AL68" s="1">
        <v>0.04</v>
      </c>
      <c r="AM68" s="1">
        <v>0.0</v>
      </c>
      <c r="AN68" s="1">
        <v>0.0</v>
      </c>
      <c r="AO68" s="1">
        <v>0.0</v>
      </c>
      <c r="AP68" s="1">
        <v>0.0</v>
      </c>
      <c r="AQ68" s="1">
        <v>0.0</v>
      </c>
      <c r="AR68" s="1">
        <v>0.0</v>
      </c>
      <c r="AS68" s="1">
        <v>0.0393982114865517</v>
      </c>
      <c r="AT68" s="1">
        <v>0.551640446297824</v>
      </c>
      <c r="AU68" s="1">
        <v>0.114267091774786</v>
      </c>
      <c r="AV68" s="1">
        <v>1.0</v>
      </c>
      <c r="AW68" s="1">
        <v>0.0</v>
      </c>
      <c r="AX68" s="1">
        <v>0.0</v>
      </c>
      <c r="AY68" s="1">
        <v>0.0</v>
      </c>
      <c r="AZ68" s="1">
        <v>0.0</v>
      </c>
      <c r="BA68" s="1">
        <v>2.0</v>
      </c>
      <c r="BB68" s="1">
        <v>65.0</v>
      </c>
      <c r="BC68" s="1">
        <v>79.0</v>
      </c>
      <c r="BD68" s="1" t="s">
        <v>108</v>
      </c>
    </row>
    <row r="69">
      <c r="A69" s="1" t="s">
        <v>753</v>
      </c>
      <c r="B69" s="1" t="s">
        <v>70</v>
      </c>
      <c r="C69" s="1">
        <v>0.0</v>
      </c>
      <c r="D69" s="1" t="s">
        <v>71</v>
      </c>
      <c r="E69" s="1" t="b">
        <v>1</v>
      </c>
      <c r="F69" s="1" t="b">
        <v>0</v>
      </c>
      <c r="G69" s="1" t="s">
        <v>74</v>
      </c>
      <c r="H69" s="1" t="s">
        <v>754</v>
      </c>
      <c r="I69" s="1" t="s">
        <v>755</v>
      </c>
      <c r="J69" s="1" t="s">
        <v>756</v>
      </c>
      <c r="K69" s="1">
        <v>42.0</v>
      </c>
      <c r="L69" s="1">
        <v>3.05241525800011</v>
      </c>
      <c r="M69" s="1">
        <v>0.121063990106406</v>
      </c>
      <c r="N69" s="1">
        <v>2.13573622703552</v>
      </c>
      <c r="O69" s="1">
        <v>8.92075951894124</v>
      </c>
      <c r="P69" s="1">
        <v>0.184659957885742</v>
      </c>
      <c r="S69" s="1">
        <v>42.0</v>
      </c>
      <c r="T69" s="1">
        <v>0.121063990106406</v>
      </c>
      <c r="U69" s="1">
        <v>0.369977695026067</v>
      </c>
      <c r="V69" s="5">
        <v>1.36025737447198E-5</v>
      </c>
      <c r="W69" s="1">
        <v>2.13573622703552</v>
      </c>
      <c r="X69" s="1">
        <v>2.13572262446177</v>
      </c>
      <c r="Y69" s="1">
        <v>0.465645666420459</v>
      </c>
      <c r="Z69" s="1">
        <v>0.672256454825401</v>
      </c>
      <c r="AA69" s="1">
        <v>1.55740737974643</v>
      </c>
      <c r="AB69" s="1">
        <v>8.92075951894124</v>
      </c>
      <c r="AC69" s="1">
        <v>4.01474887258557</v>
      </c>
      <c r="AD69" s="1">
        <v>0.184659957885742</v>
      </c>
      <c r="AE69" s="1">
        <v>0.318608608245849</v>
      </c>
      <c r="AF69" s="1">
        <v>1.08728704452514</v>
      </c>
      <c r="AG69" s="1">
        <v>1.74829559326171</v>
      </c>
      <c r="AH69" s="1">
        <v>4.0</v>
      </c>
      <c r="AI69" s="1">
        <v>1.0</v>
      </c>
      <c r="AJ69" s="1">
        <v>1.0</v>
      </c>
      <c r="AK69" s="1">
        <v>1.0</v>
      </c>
      <c r="AL69" s="1">
        <v>0.0952380952380952</v>
      </c>
      <c r="AM69" s="1">
        <v>0.0238095238095238</v>
      </c>
      <c r="AN69" s="1">
        <v>0.0238095238095238</v>
      </c>
      <c r="AO69" s="1">
        <v>0.0</v>
      </c>
      <c r="AP69" s="1">
        <v>0.0</v>
      </c>
      <c r="AQ69" s="1">
        <v>1.0</v>
      </c>
      <c r="AR69" s="1">
        <v>1.0</v>
      </c>
      <c r="AS69" s="1">
        <v>0.230385953431456</v>
      </c>
      <c r="AT69" s="1">
        <v>2.13533308153273</v>
      </c>
      <c r="AU69" s="1">
        <v>0.541262641486998</v>
      </c>
      <c r="AV69" s="1">
        <v>1.0</v>
      </c>
      <c r="AW69" s="1">
        <v>1.0</v>
      </c>
      <c r="AX69" s="1">
        <v>1.0</v>
      </c>
      <c r="AY69" s="1">
        <v>0.0</v>
      </c>
      <c r="AZ69" s="1">
        <v>1.0</v>
      </c>
      <c r="BA69" s="1">
        <v>5.0</v>
      </c>
      <c r="BB69" s="1">
        <v>138.0</v>
      </c>
      <c r="BC69" s="1">
        <v>152.0</v>
      </c>
      <c r="BD69" s="1" t="s">
        <v>108</v>
      </c>
    </row>
    <row r="70">
      <c r="A70" s="1" t="s">
        <v>758</v>
      </c>
      <c r="B70" s="1" t="s">
        <v>70</v>
      </c>
      <c r="C70" s="1">
        <v>0.0</v>
      </c>
      <c r="D70" s="1" t="s">
        <v>71</v>
      </c>
      <c r="E70" s="1" t="b">
        <v>1</v>
      </c>
      <c r="F70" s="1" t="b">
        <v>0</v>
      </c>
      <c r="G70" s="1" t="s">
        <v>74</v>
      </c>
      <c r="H70" s="1" t="s">
        <v>760</v>
      </c>
      <c r="I70" s="1" t="s">
        <v>761</v>
      </c>
      <c r="J70" s="1" t="s">
        <v>762</v>
      </c>
      <c r="K70" s="1">
        <v>81.0</v>
      </c>
      <c r="L70" s="1">
        <v>5.74852587299983</v>
      </c>
      <c r="M70" s="1">
        <v>0.079730639289518</v>
      </c>
      <c r="N70" s="1">
        <v>1.35385739803314</v>
      </c>
      <c r="O70" s="1">
        <v>9.56847156713038</v>
      </c>
      <c r="P70" s="1">
        <v>0.142045974731445</v>
      </c>
      <c r="S70" s="1">
        <v>81.0</v>
      </c>
      <c r="T70" s="1">
        <v>0.0797306392895184</v>
      </c>
      <c r="U70" s="1">
        <v>0.234439427374641</v>
      </c>
      <c r="V70" s="5">
        <v>2.23097595153376E-6</v>
      </c>
      <c r="W70" s="1">
        <v>1.35385739803314</v>
      </c>
      <c r="X70" s="1">
        <v>1.35385516705719</v>
      </c>
      <c r="Y70" s="1">
        <v>0.0990785285830497</v>
      </c>
      <c r="Z70" s="1">
        <v>0.531739592552185</v>
      </c>
      <c r="AA70" s="1">
        <v>1.113370013237</v>
      </c>
      <c r="AB70" s="1">
        <v>9.56847156713038</v>
      </c>
      <c r="AC70" s="1">
        <v>4.37387514976258</v>
      </c>
      <c r="AD70" s="1">
        <v>0.142045974731445</v>
      </c>
      <c r="AE70" s="1">
        <v>0.240909194946289</v>
      </c>
      <c r="AF70" s="1">
        <v>1.515625</v>
      </c>
      <c r="AG70" s="1">
        <v>3.89630699157714</v>
      </c>
      <c r="AH70" s="1">
        <v>5.0</v>
      </c>
      <c r="AI70" s="1">
        <v>2.0</v>
      </c>
      <c r="AJ70" s="1">
        <v>0.0</v>
      </c>
      <c r="AK70" s="1">
        <v>0.0</v>
      </c>
      <c r="AL70" s="1">
        <v>0.0617283950617283</v>
      </c>
      <c r="AM70" s="1">
        <v>0.0246913580246913</v>
      </c>
      <c r="AN70" s="1">
        <v>0.0</v>
      </c>
      <c r="AO70" s="1">
        <v>0.0</v>
      </c>
      <c r="AP70" s="1">
        <v>0.0</v>
      </c>
      <c r="AQ70" s="1">
        <v>1.0</v>
      </c>
      <c r="AR70" s="1">
        <v>3.0</v>
      </c>
      <c r="AS70" s="1">
        <v>0.133860860639038</v>
      </c>
      <c r="AT70" s="1">
        <v>1.348427105695</v>
      </c>
      <c r="AU70" s="1">
        <v>0.317050437096331</v>
      </c>
      <c r="AV70" s="1">
        <v>2.0</v>
      </c>
      <c r="AW70" s="1">
        <v>1.0</v>
      </c>
      <c r="AX70" s="1">
        <v>0.0</v>
      </c>
      <c r="AY70" s="1">
        <v>0.0</v>
      </c>
      <c r="AZ70" s="1">
        <v>1.0</v>
      </c>
      <c r="BA70" s="1">
        <v>13.0</v>
      </c>
      <c r="BB70" s="1">
        <v>267.0</v>
      </c>
      <c r="BC70" s="1">
        <v>281.0</v>
      </c>
      <c r="BD70" s="1" t="s">
        <v>108</v>
      </c>
    </row>
    <row r="71">
      <c r="A71" s="1" t="s">
        <v>766</v>
      </c>
      <c r="B71" s="1" t="s">
        <v>70</v>
      </c>
      <c r="C71" s="1">
        <v>0.0</v>
      </c>
      <c r="D71" s="1" t="s">
        <v>71</v>
      </c>
      <c r="E71" s="1" t="b">
        <v>1</v>
      </c>
      <c r="F71" s="1" t="b">
        <v>0</v>
      </c>
      <c r="G71" s="1" t="s">
        <v>74</v>
      </c>
      <c r="H71" s="1" t="s">
        <v>768</v>
      </c>
      <c r="I71" s="1" t="s">
        <v>769</v>
      </c>
      <c r="J71" s="1" t="s">
        <v>770</v>
      </c>
      <c r="K71" s="1">
        <v>48.0</v>
      </c>
      <c r="L71" s="1">
        <v>3.28230519699991</v>
      </c>
      <c r="M71" s="1">
        <v>0.119310981760653</v>
      </c>
      <c r="N71" s="1">
        <v>0.936323761940002</v>
      </c>
      <c r="O71" s="1">
        <v>8.47867858409881</v>
      </c>
      <c r="P71" s="1">
        <v>0.149147033691406</v>
      </c>
      <c r="S71" s="1">
        <v>48.0</v>
      </c>
      <c r="T71" s="1">
        <v>0.119310981760653</v>
      </c>
      <c r="U71" s="1">
        <v>0.256766443063554</v>
      </c>
      <c r="V71" s="5">
        <v>5.8683517636382E-6</v>
      </c>
      <c r="W71" s="1">
        <v>0.936323761940002</v>
      </c>
      <c r="X71" s="1">
        <v>0.936317893588238</v>
      </c>
      <c r="Y71" s="1">
        <v>0.530520176887512</v>
      </c>
      <c r="Z71" s="1">
        <v>0.778071102499961</v>
      </c>
      <c r="AA71" s="1">
        <v>0.929334895610809</v>
      </c>
      <c r="AB71" s="1">
        <v>8.47867858409881</v>
      </c>
      <c r="AC71" s="1">
        <v>4.16584558248481</v>
      </c>
      <c r="AD71" s="1">
        <v>0.149147033691406</v>
      </c>
      <c r="AE71" s="1">
        <v>0.571079177856445</v>
      </c>
      <c r="AF71" s="1">
        <v>1.30482912063598</v>
      </c>
      <c r="AG71" s="1">
        <v>1.82230052947998</v>
      </c>
      <c r="AH71" s="1">
        <v>6.0</v>
      </c>
      <c r="AI71" s="1">
        <v>0.0</v>
      </c>
      <c r="AJ71" s="1">
        <v>0.0</v>
      </c>
      <c r="AK71" s="1">
        <v>0.0</v>
      </c>
      <c r="AL71" s="1">
        <v>0.125</v>
      </c>
      <c r="AM71" s="1">
        <v>0.0</v>
      </c>
      <c r="AN71" s="1">
        <v>0.0</v>
      </c>
      <c r="AO71" s="1">
        <v>0.0</v>
      </c>
      <c r="AP71" s="1">
        <v>0.0</v>
      </c>
      <c r="AQ71" s="1">
        <v>1.0</v>
      </c>
      <c r="AR71" s="1">
        <v>1.0</v>
      </c>
      <c r="AS71" s="1">
        <v>0.169345136571404</v>
      </c>
      <c r="AT71" s="1">
        <v>0.926231710240244</v>
      </c>
      <c r="AU71" s="1">
        <v>0.33045381263676</v>
      </c>
      <c r="AV71" s="1">
        <v>2.0</v>
      </c>
      <c r="AW71" s="1">
        <v>0.0</v>
      </c>
      <c r="AX71" s="1">
        <v>0.0</v>
      </c>
      <c r="AY71" s="1">
        <v>0.0</v>
      </c>
      <c r="AZ71" s="1">
        <v>0.0</v>
      </c>
      <c r="BA71" s="1">
        <v>8.0</v>
      </c>
      <c r="BB71" s="1">
        <v>189.0</v>
      </c>
      <c r="BC71" s="1">
        <v>203.0</v>
      </c>
      <c r="BD71" s="1" t="s">
        <v>108</v>
      </c>
    </row>
    <row r="72">
      <c r="A72" s="1" t="s">
        <v>772</v>
      </c>
      <c r="B72" s="1" t="s">
        <v>70</v>
      </c>
      <c r="C72" s="1">
        <v>0.0</v>
      </c>
      <c r="D72" s="1" t="s">
        <v>71</v>
      </c>
      <c r="E72" s="1" t="b">
        <v>1</v>
      </c>
      <c r="F72" s="1" t="b">
        <v>0</v>
      </c>
      <c r="G72" s="1" t="s">
        <v>74</v>
      </c>
      <c r="H72" s="1" t="s">
        <v>773</v>
      </c>
      <c r="I72" s="1" t="s">
        <v>774</v>
      </c>
      <c r="J72" s="1" t="s">
        <v>775</v>
      </c>
      <c r="K72" s="1">
        <v>57.0</v>
      </c>
      <c r="L72" s="1">
        <v>3.84724837299972</v>
      </c>
      <c r="M72" s="1">
        <v>0.079090634850809</v>
      </c>
      <c r="N72" s="1">
        <v>1.10866653919219</v>
      </c>
      <c r="O72" s="1">
        <v>9.27989228566487</v>
      </c>
      <c r="P72" s="1">
        <v>0.65625</v>
      </c>
      <c r="S72" s="1">
        <v>57.0</v>
      </c>
      <c r="T72" s="1">
        <v>0.079090634850809</v>
      </c>
      <c r="U72" s="1">
        <v>0.217503120841977</v>
      </c>
      <c r="V72" s="5">
        <v>2.31357866198322E-8</v>
      </c>
      <c r="W72" s="1">
        <v>1.10866653919219</v>
      </c>
      <c r="X72" s="1">
        <v>1.10866651605641</v>
      </c>
      <c r="Y72" s="1">
        <v>0.280373391509055</v>
      </c>
      <c r="Z72" s="1">
        <v>0.540829968452453</v>
      </c>
      <c r="AA72" s="1">
        <v>0.93619930744171</v>
      </c>
      <c r="AB72" s="1">
        <v>9.27989228566487</v>
      </c>
      <c r="AC72" s="1">
        <v>4.21269640892916</v>
      </c>
      <c r="AD72" s="1">
        <v>0.65625</v>
      </c>
      <c r="AE72" s="1">
        <v>0.775568084716797</v>
      </c>
      <c r="AF72" s="1">
        <v>1.51335144042968</v>
      </c>
      <c r="AG72" s="1">
        <v>3.029829788208</v>
      </c>
      <c r="AH72" s="1">
        <v>4.0</v>
      </c>
      <c r="AI72" s="1">
        <v>1.0</v>
      </c>
      <c r="AJ72" s="1">
        <v>0.0</v>
      </c>
      <c r="AK72" s="1">
        <v>0.0</v>
      </c>
      <c r="AL72" s="1">
        <v>0.0701754385964912</v>
      </c>
      <c r="AM72" s="1">
        <v>0.0175438596491228</v>
      </c>
      <c r="AN72" s="1">
        <v>0.0</v>
      </c>
      <c r="AO72" s="1">
        <v>0.0</v>
      </c>
      <c r="AP72" s="1">
        <v>0.0</v>
      </c>
      <c r="AQ72" s="1">
        <v>0.0</v>
      </c>
      <c r="AR72" s="1">
        <v>0.0</v>
      </c>
      <c r="AS72" s="1">
        <v>0.124665550635165</v>
      </c>
      <c r="AT72" s="1">
        <v>1.10462378244847</v>
      </c>
      <c r="AU72" s="1">
        <v>0.29035127319043</v>
      </c>
      <c r="AV72" s="1">
        <v>1.0</v>
      </c>
      <c r="AW72" s="1">
        <v>1.0</v>
      </c>
      <c r="AX72" s="1">
        <v>0.0</v>
      </c>
      <c r="AY72" s="1">
        <v>0.0</v>
      </c>
      <c r="AZ72" s="1">
        <v>1.0</v>
      </c>
      <c r="BA72" s="1">
        <v>9.0</v>
      </c>
      <c r="BB72" s="1">
        <v>247.0</v>
      </c>
      <c r="BC72" s="1">
        <v>261.0</v>
      </c>
      <c r="BD72" s="1" t="s">
        <v>108</v>
      </c>
    </row>
    <row r="73">
      <c r="A73" s="1" t="s">
        <v>776</v>
      </c>
      <c r="B73" s="1" t="s">
        <v>70</v>
      </c>
      <c r="C73" s="1">
        <v>0.0</v>
      </c>
      <c r="D73" s="1" t="s">
        <v>71</v>
      </c>
      <c r="E73" s="1" t="b">
        <v>1</v>
      </c>
      <c r="F73" s="1" t="b">
        <v>0</v>
      </c>
      <c r="G73" s="1" t="s">
        <v>74</v>
      </c>
      <c r="H73" s="1" t="s">
        <v>777</v>
      </c>
      <c r="I73" s="1" t="s">
        <v>778</v>
      </c>
      <c r="J73" s="1" t="s">
        <v>779</v>
      </c>
      <c r="K73" s="1">
        <v>91.0</v>
      </c>
      <c r="L73" s="1">
        <v>6.10179784299998</v>
      </c>
      <c r="M73" s="1">
        <v>0.033034454672071</v>
      </c>
      <c r="N73" s="1">
        <v>0.783896088600158</v>
      </c>
      <c r="O73" s="1">
        <v>11.1761837110414</v>
      </c>
      <c r="P73" s="1">
        <v>1.58664894104003</v>
      </c>
      <c r="S73" s="1">
        <v>91.0</v>
      </c>
      <c r="T73" s="1">
        <v>0.0330344546720716</v>
      </c>
      <c r="U73" s="1">
        <v>0.127387698608543</v>
      </c>
      <c r="V73" s="5">
        <v>3.47496836639038E-7</v>
      </c>
      <c r="W73" s="1">
        <v>0.783896088600158</v>
      </c>
      <c r="X73" s="1">
        <v>0.783895741103322</v>
      </c>
      <c r="Y73" s="1">
        <v>0.0129230944439768</v>
      </c>
      <c r="Z73" s="1">
        <v>0.221734479069709</v>
      </c>
      <c r="AA73" s="1">
        <v>0.578355407714842</v>
      </c>
      <c r="AB73" s="1">
        <v>11.1761837110414</v>
      </c>
      <c r="AC73" s="1">
        <v>3.51985785857652</v>
      </c>
      <c r="AD73" s="1">
        <v>1.58664894104003</v>
      </c>
      <c r="AE73" s="1">
        <v>2.028977394104</v>
      </c>
      <c r="AF73" s="1">
        <v>3.08167552947998</v>
      </c>
      <c r="AG73" s="1">
        <v>6.61363792419433</v>
      </c>
      <c r="AH73" s="1">
        <v>3.0</v>
      </c>
      <c r="AI73" s="1">
        <v>0.0</v>
      </c>
      <c r="AJ73" s="1">
        <v>0.0</v>
      </c>
      <c r="AK73" s="1">
        <v>0.0</v>
      </c>
      <c r="AL73" s="1">
        <v>0.0329670329670329</v>
      </c>
      <c r="AM73" s="1">
        <v>0.0</v>
      </c>
      <c r="AN73" s="1">
        <v>0.0</v>
      </c>
      <c r="AO73" s="1">
        <v>0.0</v>
      </c>
      <c r="AP73" s="1">
        <v>0.0</v>
      </c>
      <c r="AQ73" s="1">
        <v>0.0</v>
      </c>
      <c r="AR73" s="1">
        <v>0.0</v>
      </c>
      <c r="AS73" s="1">
        <v>0.0546741491857157</v>
      </c>
      <c r="AT73" s="1">
        <v>0.778909345157444</v>
      </c>
      <c r="AU73" s="1">
        <v>0.162293716808277</v>
      </c>
      <c r="AV73" s="1">
        <v>1.0</v>
      </c>
      <c r="AW73" s="1">
        <v>0.0</v>
      </c>
      <c r="AX73" s="1">
        <v>0.0</v>
      </c>
      <c r="AY73" s="1">
        <v>0.0</v>
      </c>
      <c r="AZ73" s="1">
        <v>0.0</v>
      </c>
      <c r="BA73" s="1">
        <v>9.0</v>
      </c>
      <c r="BB73" s="1">
        <v>230.0</v>
      </c>
      <c r="BC73" s="1">
        <v>244.0</v>
      </c>
      <c r="BD73" s="1" t="s">
        <v>108</v>
      </c>
    </row>
    <row r="74">
      <c r="A74" s="1" t="s">
        <v>782</v>
      </c>
      <c r="B74" s="1" t="s">
        <v>70</v>
      </c>
      <c r="C74" s="1">
        <v>0.0</v>
      </c>
      <c r="D74" s="1" t="s">
        <v>71</v>
      </c>
      <c r="E74" s="1" t="b">
        <v>1</v>
      </c>
      <c r="F74" s="1" t="b">
        <v>0</v>
      </c>
      <c r="G74" s="1" t="s">
        <v>74</v>
      </c>
      <c r="H74" s="1" t="s">
        <v>783</v>
      </c>
      <c r="I74" s="1" t="s">
        <v>785</v>
      </c>
      <c r="J74" s="1" t="s">
        <v>786</v>
      </c>
      <c r="K74" s="1">
        <v>29.0</v>
      </c>
      <c r="L74" s="1">
        <v>2.19003747800024</v>
      </c>
      <c r="M74" s="1">
        <v>0.042882433259114</v>
      </c>
      <c r="N74" s="1">
        <v>0.611536681652069</v>
      </c>
      <c r="O74" s="1">
        <v>9.45077422569538</v>
      </c>
      <c r="P74" s="1">
        <v>1.26846504211425</v>
      </c>
      <c r="S74" s="1">
        <v>29.0</v>
      </c>
      <c r="T74" s="1">
        <v>0.042882433259114</v>
      </c>
      <c r="U74" s="1">
        <v>0.138958175256382</v>
      </c>
      <c r="V74" s="5">
        <v>1.53801702253986E-5</v>
      </c>
      <c r="W74" s="1">
        <v>0.611536681652069</v>
      </c>
      <c r="X74" s="1">
        <v>0.611521301481843</v>
      </c>
      <c r="Y74" s="1">
        <v>0.0296488128602504</v>
      </c>
      <c r="Z74" s="1">
        <v>0.301006115972994</v>
      </c>
      <c r="AA74" s="1">
        <v>0.570217119455337</v>
      </c>
      <c r="AB74" s="1">
        <v>9.45077422569538</v>
      </c>
      <c r="AC74" s="1">
        <v>3.27575479986279</v>
      </c>
      <c r="AD74" s="1">
        <v>1.26846504211425</v>
      </c>
      <c r="AE74" s="1">
        <v>1.39454483032226</v>
      </c>
      <c r="AF74" s="1">
        <v>3.07102279663086</v>
      </c>
      <c r="AG74" s="1">
        <v>5.89147758483886</v>
      </c>
      <c r="AH74" s="1">
        <v>1.0</v>
      </c>
      <c r="AI74" s="1">
        <v>0.0</v>
      </c>
      <c r="AJ74" s="1">
        <v>0.0</v>
      </c>
      <c r="AK74" s="1">
        <v>0.0</v>
      </c>
      <c r="AL74" s="1">
        <v>0.0344827586206896</v>
      </c>
      <c r="AM74" s="1">
        <v>0.0</v>
      </c>
      <c r="AN74" s="1">
        <v>0.0</v>
      </c>
      <c r="AO74" s="1">
        <v>0.0</v>
      </c>
      <c r="AP74" s="1">
        <v>0.0</v>
      </c>
      <c r="AQ74" s="1">
        <v>0.0</v>
      </c>
      <c r="AR74" s="1">
        <v>0.0</v>
      </c>
      <c r="AS74" s="1">
        <v>0.0625179633745054</v>
      </c>
      <c r="AT74" s="1">
        <v>0.607141976244747</v>
      </c>
      <c r="AU74" s="1">
        <v>0.167859198928573</v>
      </c>
      <c r="AV74" s="1">
        <v>1.0</v>
      </c>
      <c r="AW74" s="1">
        <v>0.0</v>
      </c>
      <c r="AX74" s="1">
        <v>0.0</v>
      </c>
      <c r="AY74" s="1">
        <v>0.0</v>
      </c>
      <c r="AZ74" s="1">
        <v>0.0</v>
      </c>
      <c r="BA74" s="1">
        <v>2.0</v>
      </c>
      <c r="BB74" s="1">
        <v>62.0</v>
      </c>
      <c r="BC74" s="1">
        <v>76.0</v>
      </c>
      <c r="BD74" s="1" t="s">
        <v>108</v>
      </c>
    </row>
    <row r="75">
      <c r="A75" s="1" t="s">
        <v>790</v>
      </c>
      <c r="B75" s="1" t="s">
        <v>70</v>
      </c>
      <c r="C75" s="1">
        <v>0.0</v>
      </c>
      <c r="D75" s="1" t="s">
        <v>71</v>
      </c>
      <c r="E75" s="1" t="b">
        <v>1</v>
      </c>
      <c r="F75" s="1" t="b">
        <v>0</v>
      </c>
      <c r="G75" s="1" t="s">
        <v>74</v>
      </c>
      <c r="H75" s="1" t="s">
        <v>792</v>
      </c>
      <c r="I75" s="1" t="s">
        <v>793</v>
      </c>
      <c r="J75" s="1" t="s">
        <v>794</v>
      </c>
      <c r="K75" s="1">
        <v>69.0</v>
      </c>
      <c r="L75" s="1">
        <v>4.69248751099985</v>
      </c>
      <c r="M75" s="1">
        <v>0.061722944488769</v>
      </c>
      <c r="N75" s="1">
        <v>1.03420829772949</v>
      </c>
      <c r="O75" s="1">
        <v>10.9628832858541</v>
      </c>
      <c r="P75" s="1">
        <v>1.17045593261718</v>
      </c>
      <c r="S75" s="1">
        <v>69.0</v>
      </c>
      <c r="T75" s="1">
        <v>0.0617229444887695</v>
      </c>
      <c r="U75" s="1">
        <v>0.201474315990403</v>
      </c>
      <c r="V75" s="5">
        <v>1.48625622387044E-6</v>
      </c>
      <c r="W75" s="1">
        <v>1.03420829772949</v>
      </c>
      <c r="X75" s="1">
        <v>1.03420681147326</v>
      </c>
      <c r="Y75" s="1">
        <v>0.0581046417355542</v>
      </c>
      <c r="Z75" s="1">
        <v>0.541811931133269</v>
      </c>
      <c r="AA75" s="1">
        <v>0.940988295078276</v>
      </c>
      <c r="AB75" s="1">
        <v>10.9628832858541</v>
      </c>
      <c r="AC75" s="1">
        <v>4.12356938856004</v>
      </c>
      <c r="AD75" s="1">
        <v>1.17045593261718</v>
      </c>
      <c r="AE75" s="1">
        <v>1.1820458984375</v>
      </c>
      <c r="AF75" s="1">
        <v>1.64744224548339</v>
      </c>
      <c r="AG75" s="1">
        <v>5.16534233093261</v>
      </c>
      <c r="AH75" s="1">
        <v>4.0</v>
      </c>
      <c r="AI75" s="1">
        <v>1.0</v>
      </c>
      <c r="AJ75" s="1">
        <v>0.0</v>
      </c>
      <c r="AK75" s="1">
        <v>0.0</v>
      </c>
      <c r="AL75" s="1">
        <v>0.0579710144927536</v>
      </c>
      <c r="AM75" s="1">
        <v>0.0144927536231884</v>
      </c>
      <c r="AN75" s="1">
        <v>0.0</v>
      </c>
      <c r="AO75" s="1">
        <v>0.0</v>
      </c>
      <c r="AP75" s="1">
        <v>0.0</v>
      </c>
      <c r="AQ75" s="1">
        <v>0.0</v>
      </c>
      <c r="AR75" s="1">
        <v>0.0</v>
      </c>
      <c r="AS75" s="1">
        <v>0.100003243009556</v>
      </c>
      <c r="AT75" s="1">
        <v>1.03225067490711</v>
      </c>
      <c r="AU75" s="1">
        <v>0.25988542922828</v>
      </c>
      <c r="AV75" s="1">
        <v>1.0</v>
      </c>
      <c r="AW75" s="1">
        <v>1.0</v>
      </c>
      <c r="AX75" s="1">
        <v>0.0</v>
      </c>
      <c r="AY75" s="1">
        <v>0.0</v>
      </c>
      <c r="AZ75" s="1">
        <v>1.0</v>
      </c>
      <c r="BA75" s="1">
        <v>12.0</v>
      </c>
      <c r="BB75" s="1">
        <v>230.0</v>
      </c>
      <c r="BC75" s="1">
        <v>244.0</v>
      </c>
      <c r="BD75" s="1" t="s">
        <v>108</v>
      </c>
    </row>
    <row r="76">
      <c r="A76" s="1" t="s">
        <v>795</v>
      </c>
      <c r="B76" s="1" t="s">
        <v>70</v>
      </c>
      <c r="C76" s="1">
        <v>0.0</v>
      </c>
      <c r="D76" s="1" t="s">
        <v>71</v>
      </c>
      <c r="E76" s="1" t="b">
        <v>1</v>
      </c>
      <c r="F76" s="1" t="b">
        <v>0</v>
      </c>
      <c r="G76" s="1" t="s">
        <v>74</v>
      </c>
      <c r="H76" s="1" t="s">
        <v>796</v>
      </c>
      <c r="I76" s="1" t="s">
        <v>797</v>
      </c>
      <c r="J76" s="1" t="s">
        <v>798</v>
      </c>
      <c r="K76" s="1">
        <v>60.0</v>
      </c>
      <c r="L76" s="1">
        <v>4.11894447799977</v>
      </c>
      <c r="M76" s="1">
        <v>0.07515322149333</v>
      </c>
      <c r="N76" s="1">
        <v>1.45170640945434</v>
      </c>
      <c r="O76" s="1">
        <v>10.2703484694163</v>
      </c>
      <c r="P76" s="1">
        <v>0.06960105895996</v>
      </c>
      <c r="S76" s="1">
        <v>60.0</v>
      </c>
      <c r="T76" s="1">
        <v>0.0751532214933301</v>
      </c>
      <c r="U76" s="1">
        <v>0.231369177568895</v>
      </c>
      <c r="V76" s="5">
        <v>2.55196027865167E-6</v>
      </c>
      <c r="W76" s="1">
        <v>1.45170640945434</v>
      </c>
      <c r="X76" s="1">
        <v>1.45170385749406</v>
      </c>
      <c r="Y76" s="1">
        <v>0.209482933580875</v>
      </c>
      <c r="Z76" s="1">
        <v>0.430296321213244</v>
      </c>
      <c r="AA76" s="1">
        <v>1.02406175494193</v>
      </c>
      <c r="AB76" s="1">
        <v>10.2703484694163</v>
      </c>
      <c r="AC76" s="1">
        <v>4.39731824467785</v>
      </c>
      <c r="AD76" s="1">
        <v>0.0696010589599609</v>
      </c>
      <c r="AE76" s="1">
        <v>0.46600730895996</v>
      </c>
      <c r="AF76" s="1">
        <v>1.81242771148681</v>
      </c>
      <c r="AG76" s="1">
        <v>2.88764343261718</v>
      </c>
      <c r="AH76" s="1">
        <v>3.0</v>
      </c>
      <c r="AI76" s="1">
        <v>1.0</v>
      </c>
      <c r="AJ76" s="1">
        <v>0.0</v>
      </c>
      <c r="AK76" s="1">
        <v>0.0</v>
      </c>
      <c r="AL76" s="1">
        <v>0.05</v>
      </c>
      <c r="AM76" s="1">
        <v>0.0166666666666666</v>
      </c>
      <c r="AN76" s="1">
        <v>0.0</v>
      </c>
      <c r="AO76" s="1">
        <v>0.0</v>
      </c>
      <c r="AP76" s="1">
        <v>1.0</v>
      </c>
      <c r="AQ76" s="1">
        <v>1.0</v>
      </c>
      <c r="AR76" s="1">
        <v>1.0</v>
      </c>
      <c r="AS76" s="1">
        <v>0.0968942894898985</v>
      </c>
      <c r="AT76" s="1">
        <v>1.42856289818882</v>
      </c>
      <c r="AU76" s="1">
        <v>0.256676449039606</v>
      </c>
      <c r="AV76" s="1">
        <v>2.0</v>
      </c>
      <c r="AW76" s="1">
        <v>1.0</v>
      </c>
      <c r="AX76" s="1">
        <v>0.0</v>
      </c>
      <c r="AY76" s="1">
        <v>0.0</v>
      </c>
      <c r="AZ76" s="1">
        <v>1.0</v>
      </c>
      <c r="BA76" s="1">
        <v>4.0</v>
      </c>
      <c r="BB76" s="1">
        <v>160.0</v>
      </c>
      <c r="BC76" s="1">
        <v>174.0</v>
      </c>
      <c r="BD76" s="1" t="s">
        <v>108</v>
      </c>
    </row>
    <row r="77">
      <c r="A77" s="1" t="s">
        <v>799</v>
      </c>
      <c r="B77" s="1" t="s">
        <v>70</v>
      </c>
      <c r="C77" s="1">
        <v>0.0</v>
      </c>
      <c r="D77" s="1" t="s">
        <v>71</v>
      </c>
      <c r="E77" s="1" t="b">
        <v>1</v>
      </c>
      <c r="F77" s="1" t="b">
        <v>0</v>
      </c>
      <c r="G77" s="1" t="s">
        <v>74</v>
      </c>
      <c r="H77" s="1" t="s">
        <v>801</v>
      </c>
      <c r="I77" s="1" t="s">
        <v>803</v>
      </c>
      <c r="J77" s="1" t="s">
        <v>804</v>
      </c>
      <c r="K77" s="1">
        <v>88.0</v>
      </c>
      <c r="L77" s="1">
        <v>5.81980311000006</v>
      </c>
      <c r="M77" s="1">
        <v>0.084302550852824</v>
      </c>
      <c r="N77" s="1">
        <v>1.06109607219696</v>
      </c>
      <c r="O77" s="1">
        <v>9.17011586102572</v>
      </c>
      <c r="P77" s="1">
        <v>0.017044067382812</v>
      </c>
      <c r="S77" s="1">
        <v>88.0</v>
      </c>
      <c r="T77" s="1">
        <v>0.0843025508528243</v>
      </c>
      <c r="U77" s="1">
        <v>0.211902402951195</v>
      </c>
      <c r="V77" s="5">
        <v>3.47511786458198E-7</v>
      </c>
      <c r="W77" s="1">
        <v>1.06109607219696</v>
      </c>
      <c r="X77" s="1">
        <v>1.06109572468517</v>
      </c>
      <c r="Y77" s="1">
        <v>0.311813047528266</v>
      </c>
      <c r="Z77" s="1">
        <v>0.600016492605209</v>
      </c>
      <c r="AA77" s="1">
        <v>0.90700771331787</v>
      </c>
      <c r="AB77" s="1">
        <v>9.17011586102572</v>
      </c>
      <c r="AC77" s="1">
        <v>4.19354327732529</v>
      </c>
      <c r="AD77" s="1">
        <v>0.0170440673828125</v>
      </c>
      <c r="AE77" s="1">
        <v>0.192528228759765</v>
      </c>
      <c r="AF77" s="1">
        <v>1.94829521179199</v>
      </c>
      <c r="AG77" s="1">
        <v>2.89502925872802</v>
      </c>
      <c r="AH77" s="1">
        <v>6.0</v>
      </c>
      <c r="AI77" s="1">
        <v>1.0</v>
      </c>
      <c r="AJ77" s="1">
        <v>0.0</v>
      </c>
      <c r="AK77" s="1">
        <v>0.0</v>
      </c>
      <c r="AL77" s="1">
        <v>0.0681818181818181</v>
      </c>
      <c r="AM77" s="1">
        <v>0.0113636363636363</v>
      </c>
      <c r="AN77" s="1">
        <v>0.0</v>
      </c>
      <c r="AO77" s="1">
        <v>1.0</v>
      </c>
      <c r="AP77" s="1">
        <v>1.0</v>
      </c>
      <c r="AQ77" s="1">
        <v>2.0</v>
      </c>
      <c r="AR77" s="1">
        <v>3.0</v>
      </c>
      <c r="AS77" s="1">
        <v>0.125805364498941</v>
      </c>
      <c r="AT77" s="1">
        <v>1.05183147080242</v>
      </c>
      <c r="AU77" s="1">
        <v>0.268444370077288</v>
      </c>
      <c r="AV77" s="1">
        <v>2.0</v>
      </c>
      <c r="AW77" s="1">
        <v>1.0</v>
      </c>
      <c r="AX77" s="1">
        <v>0.0</v>
      </c>
      <c r="AY77" s="1">
        <v>0.0</v>
      </c>
      <c r="AZ77" s="1">
        <v>1.0</v>
      </c>
      <c r="BA77" s="1">
        <v>10.0</v>
      </c>
      <c r="BB77" s="1">
        <v>318.0</v>
      </c>
      <c r="BC77" s="1">
        <v>332.0</v>
      </c>
      <c r="BD77" s="1" t="s">
        <v>108</v>
      </c>
    </row>
    <row r="78">
      <c r="A78" s="1" t="s">
        <v>806</v>
      </c>
      <c r="B78" s="1" t="s">
        <v>70</v>
      </c>
      <c r="C78" s="1">
        <v>0.0</v>
      </c>
      <c r="D78" s="1" t="s">
        <v>71</v>
      </c>
      <c r="E78" s="1" t="b">
        <v>1</v>
      </c>
      <c r="F78" s="1" t="b">
        <v>0</v>
      </c>
      <c r="G78" s="1" t="s">
        <v>74</v>
      </c>
      <c r="H78" s="1" t="s">
        <v>808</v>
      </c>
      <c r="I78" s="1" t="s">
        <v>809</v>
      </c>
      <c r="J78" s="1" t="s">
        <v>810</v>
      </c>
      <c r="K78" s="1">
        <v>48.0</v>
      </c>
      <c r="L78" s="1">
        <v>3.26594631299985</v>
      </c>
      <c r="M78" s="1">
        <v>0.138982480420471</v>
      </c>
      <c r="N78" s="1">
        <v>1.64028918743133</v>
      </c>
      <c r="O78" s="1">
        <v>7.1596091389656</v>
      </c>
      <c r="P78" s="1">
        <v>0.46875</v>
      </c>
      <c r="S78" s="1">
        <v>48.0</v>
      </c>
      <c r="T78" s="1">
        <v>0.138982480420471</v>
      </c>
      <c r="U78" s="1">
        <v>0.304242080361321</v>
      </c>
      <c r="V78" s="5">
        <v>2.06621716642985E-5</v>
      </c>
      <c r="W78" s="1">
        <v>1.64028918743133</v>
      </c>
      <c r="X78" s="1">
        <v>1.64026852525967</v>
      </c>
      <c r="Y78" s="1">
        <v>0.612672042846679</v>
      </c>
      <c r="Z78" s="1">
        <v>0.705056938529014</v>
      </c>
      <c r="AA78" s="1">
        <v>1.22778017401695</v>
      </c>
      <c r="AB78" s="1">
        <v>7.1596091389656</v>
      </c>
      <c r="AC78" s="1">
        <v>3.81206228806986</v>
      </c>
      <c r="AD78" s="1">
        <v>0.46875</v>
      </c>
      <c r="AE78" s="1">
        <v>0.62296875</v>
      </c>
      <c r="AF78" s="1">
        <v>0.853337669372558</v>
      </c>
      <c r="AG78" s="1">
        <v>1.8491470336914</v>
      </c>
      <c r="AH78" s="1">
        <v>6.0</v>
      </c>
      <c r="AI78" s="1">
        <v>1.0</v>
      </c>
      <c r="AJ78" s="1">
        <v>1.0</v>
      </c>
      <c r="AK78" s="1">
        <v>0.0</v>
      </c>
      <c r="AL78" s="1">
        <v>0.125</v>
      </c>
      <c r="AM78" s="1">
        <v>0.0208333333333333</v>
      </c>
      <c r="AN78" s="1">
        <v>0.0208333333333333</v>
      </c>
      <c r="AO78" s="1">
        <v>0.0</v>
      </c>
      <c r="AP78" s="1">
        <v>0.0</v>
      </c>
      <c r="AQ78" s="1">
        <v>0.0</v>
      </c>
      <c r="AR78" s="1">
        <v>1.0</v>
      </c>
      <c r="AS78" s="1">
        <v>0.227134422467451</v>
      </c>
      <c r="AT78" s="1">
        <v>1.64011326045147</v>
      </c>
      <c r="AU78" s="1">
        <v>0.442330408216556</v>
      </c>
      <c r="AV78" s="1">
        <v>1.0</v>
      </c>
      <c r="AW78" s="1">
        <v>1.0</v>
      </c>
      <c r="AX78" s="1">
        <v>1.0</v>
      </c>
      <c r="AY78" s="1">
        <v>0.0</v>
      </c>
      <c r="AZ78" s="1">
        <v>1.0</v>
      </c>
      <c r="BA78" s="1">
        <v>7.0</v>
      </c>
      <c r="BB78" s="1">
        <v>135.0</v>
      </c>
      <c r="BC78" s="1">
        <v>149.0</v>
      </c>
      <c r="BD78" s="1" t="s">
        <v>108</v>
      </c>
    </row>
    <row r="79">
      <c r="A79" s="1" t="s">
        <v>814</v>
      </c>
      <c r="B79" s="1" t="s">
        <v>70</v>
      </c>
      <c r="C79" s="1">
        <v>0.0</v>
      </c>
      <c r="D79" s="1" t="s">
        <v>71</v>
      </c>
      <c r="E79" s="1" t="b">
        <v>0</v>
      </c>
      <c r="F79" s="1" t="b">
        <v>1</v>
      </c>
      <c r="G79" s="1" t="s">
        <v>815</v>
      </c>
      <c r="H79" s="1" t="s">
        <v>816</v>
      </c>
      <c r="I79" s="1" t="s">
        <v>817</v>
      </c>
      <c r="J79" s="1" t="s">
        <v>818</v>
      </c>
      <c r="K79" s="1">
        <v>26.0</v>
      </c>
      <c r="L79" s="1">
        <v>1.80017856699987</v>
      </c>
      <c r="M79" s="1">
        <v>0.141129266352777</v>
      </c>
      <c r="N79" s="1">
        <v>0.867835462093353</v>
      </c>
      <c r="O79" s="1">
        <v>7.72642627129188</v>
      </c>
      <c r="P79" s="1">
        <v>0.224431991577148</v>
      </c>
      <c r="Q79" s="1" t="s">
        <v>198</v>
      </c>
      <c r="R79" s="1" t="s">
        <v>819</v>
      </c>
      <c r="S79" s="1">
        <v>26.0</v>
      </c>
      <c r="T79" s="1">
        <v>0.141129266352777</v>
      </c>
      <c r="U79" s="1">
        <v>0.244038328018357</v>
      </c>
      <c r="V79" s="5">
        <v>1.61687466970761E-6</v>
      </c>
      <c r="W79" s="1">
        <v>0.867835462093353</v>
      </c>
      <c r="X79" s="1">
        <v>0.867833845218683</v>
      </c>
      <c r="Y79" s="1">
        <v>0.452444940805435</v>
      </c>
      <c r="Z79" s="1">
        <v>0.727037191390991</v>
      </c>
      <c r="AA79" s="1">
        <v>0.843445688486099</v>
      </c>
      <c r="AB79" s="1">
        <v>7.72642627129188</v>
      </c>
      <c r="AC79" s="1">
        <v>4.97941748563978</v>
      </c>
      <c r="AD79" s="1">
        <v>0.224431991577148</v>
      </c>
      <c r="AE79" s="1">
        <v>0.607599258422851</v>
      </c>
      <c r="AF79" s="1">
        <v>1.89382028579711</v>
      </c>
      <c r="AG79" s="1">
        <v>2.47869396209716</v>
      </c>
      <c r="AH79" s="1">
        <v>3.0</v>
      </c>
      <c r="AI79" s="1">
        <v>0.0</v>
      </c>
      <c r="AJ79" s="1">
        <v>0.0</v>
      </c>
      <c r="AK79" s="1">
        <v>0.0</v>
      </c>
      <c r="AL79" s="1">
        <v>0.115384615384615</v>
      </c>
      <c r="AM79" s="1">
        <v>0.0</v>
      </c>
      <c r="AN79" s="1">
        <v>0.0</v>
      </c>
      <c r="AO79" s="1">
        <v>0.0</v>
      </c>
      <c r="AP79" s="1">
        <v>0.0</v>
      </c>
      <c r="AQ79" s="1">
        <v>1.0</v>
      </c>
      <c r="AR79" s="1">
        <v>1.0</v>
      </c>
      <c r="AS79" s="1">
        <v>0.208240536323919</v>
      </c>
      <c r="AT79" s="1">
        <v>0.862091935705393</v>
      </c>
      <c r="AU79" s="1">
        <v>0.332822255592759</v>
      </c>
      <c r="AV79" s="1">
        <v>1.0</v>
      </c>
      <c r="AW79" s="1">
        <v>0.0</v>
      </c>
      <c r="AX79" s="1">
        <v>0.0</v>
      </c>
      <c r="AY79" s="1">
        <v>0.0</v>
      </c>
      <c r="AZ79" s="1">
        <v>0.0</v>
      </c>
      <c r="BA79" s="1">
        <v>2.0</v>
      </c>
      <c r="BB79" s="1">
        <v>53.0</v>
      </c>
      <c r="BC79" s="1">
        <v>67.0</v>
      </c>
      <c r="BD79" s="1" t="s">
        <v>204</v>
      </c>
    </row>
    <row r="80">
      <c r="A80" s="1" t="s">
        <v>820</v>
      </c>
      <c r="B80" s="1" t="s">
        <v>70</v>
      </c>
      <c r="C80" s="1">
        <v>0.0</v>
      </c>
      <c r="D80" s="1" t="s">
        <v>71</v>
      </c>
      <c r="E80" s="1" t="b">
        <v>1</v>
      </c>
      <c r="F80" s="1" t="b">
        <v>0</v>
      </c>
      <c r="G80" s="1" t="s">
        <v>74</v>
      </c>
      <c r="H80" s="1" t="s">
        <v>821</v>
      </c>
      <c r="I80" s="1" t="s">
        <v>822</v>
      </c>
      <c r="J80" s="1" t="s">
        <v>823</v>
      </c>
      <c r="K80" s="1">
        <v>49.0</v>
      </c>
      <c r="L80" s="1">
        <v>3.56398985999976</v>
      </c>
      <c r="M80" s="1">
        <v>0.07402570372767</v>
      </c>
      <c r="N80" s="1">
        <v>1.39627385139465</v>
      </c>
      <c r="O80" s="1">
        <v>9.63023296667605</v>
      </c>
      <c r="P80" s="1">
        <v>0.015625</v>
      </c>
      <c r="S80" s="1">
        <v>49.0</v>
      </c>
      <c r="T80" s="1">
        <v>0.0740257037276705</v>
      </c>
      <c r="U80" s="1">
        <v>0.230161148187962</v>
      </c>
      <c r="V80" s="5">
        <v>1.47178081988386E-6</v>
      </c>
      <c r="W80" s="1">
        <v>1.39627385139465</v>
      </c>
      <c r="X80" s="1">
        <v>1.39627237961383</v>
      </c>
      <c r="Y80" s="1">
        <v>0.164406913518906</v>
      </c>
      <c r="Z80" s="1">
        <v>0.426798200607298</v>
      </c>
      <c r="AA80" s="1">
        <v>1.02436315536498</v>
      </c>
      <c r="AB80" s="1">
        <v>9.63023296667605</v>
      </c>
      <c r="AC80" s="1">
        <v>4.257909965629</v>
      </c>
      <c r="AD80" s="1">
        <v>0.015625</v>
      </c>
      <c r="AE80" s="1">
        <v>0.833125</v>
      </c>
      <c r="AF80" s="1">
        <v>2.17556838989257</v>
      </c>
      <c r="AG80" s="1">
        <v>3.453125</v>
      </c>
      <c r="AH80" s="1">
        <v>3.0</v>
      </c>
      <c r="AI80" s="1">
        <v>1.0</v>
      </c>
      <c r="AJ80" s="1">
        <v>0.0</v>
      </c>
      <c r="AK80" s="1">
        <v>0.0</v>
      </c>
      <c r="AL80" s="1">
        <v>0.0612244897959183</v>
      </c>
      <c r="AM80" s="1">
        <v>0.0204081632653061</v>
      </c>
      <c r="AN80" s="1">
        <v>0.0</v>
      </c>
      <c r="AO80" s="1">
        <v>1.0</v>
      </c>
      <c r="AP80" s="1">
        <v>1.0</v>
      </c>
      <c r="AQ80" s="1">
        <v>1.0</v>
      </c>
      <c r="AR80" s="1">
        <v>1.0</v>
      </c>
      <c r="AS80" s="1">
        <v>0.121821015695563</v>
      </c>
      <c r="AT80" s="1">
        <v>1.39016014896333</v>
      </c>
      <c r="AU80" s="1">
        <v>0.305807118774739</v>
      </c>
      <c r="AV80" s="1">
        <v>1.0</v>
      </c>
      <c r="AW80" s="1">
        <v>1.0</v>
      </c>
      <c r="AX80" s="1">
        <v>0.0</v>
      </c>
      <c r="AY80" s="1">
        <v>0.0</v>
      </c>
      <c r="AZ80" s="1">
        <v>1.0</v>
      </c>
      <c r="BA80" s="1">
        <v>3.0</v>
      </c>
      <c r="BB80" s="1">
        <v>135.0</v>
      </c>
      <c r="BC80" s="1">
        <v>149.0</v>
      </c>
      <c r="BD80" s="1" t="s">
        <v>108</v>
      </c>
    </row>
    <row r="81">
      <c r="A81" s="1" t="s">
        <v>826</v>
      </c>
      <c r="B81" s="1" t="s">
        <v>70</v>
      </c>
      <c r="C81" s="1">
        <v>0.0</v>
      </c>
      <c r="D81" s="1" t="s">
        <v>71</v>
      </c>
      <c r="E81" s="1" t="b">
        <v>1</v>
      </c>
      <c r="F81" s="1" t="b">
        <v>0</v>
      </c>
      <c r="G81" s="1" t="s">
        <v>74</v>
      </c>
      <c r="H81" s="1" t="s">
        <v>827</v>
      </c>
      <c r="I81" s="1" t="s">
        <v>829</v>
      </c>
      <c r="J81" s="1" t="s">
        <v>830</v>
      </c>
      <c r="K81" s="1">
        <v>65.0</v>
      </c>
      <c r="L81" s="1">
        <v>4.40055464799979</v>
      </c>
      <c r="M81" s="1">
        <v>0.06657491518942</v>
      </c>
      <c r="N81" s="1">
        <v>1.22801113128662</v>
      </c>
      <c r="O81" s="1">
        <v>9.29642752133883</v>
      </c>
      <c r="P81" s="1">
        <v>0.453125</v>
      </c>
      <c r="S81" s="1">
        <v>65.0</v>
      </c>
      <c r="T81" s="1">
        <v>0.0665749151894208</v>
      </c>
      <c r="U81" s="1">
        <v>0.202080994289486</v>
      </c>
      <c r="V81" s="5">
        <v>1.81686345968046E-6</v>
      </c>
      <c r="W81" s="1">
        <v>1.22801113128662</v>
      </c>
      <c r="X81" s="1">
        <v>1.22800931442316</v>
      </c>
      <c r="Y81" s="1">
        <v>0.180001413822174</v>
      </c>
      <c r="Z81" s="1">
        <v>0.436034536361693</v>
      </c>
      <c r="AA81" s="1">
        <v>0.906686782836913</v>
      </c>
      <c r="AB81" s="1">
        <v>9.29642752133883</v>
      </c>
      <c r="AC81" s="1">
        <v>4.0167287680054</v>
      </c>
      <c r="AD81" s="1">
        <v>0.453125</v>
      </c>
      <c r="AE81" s="1">
        <v>0.47039794921875</v>
      </c>
      <c r="AF81" s="1">
        <v>1.75880584716796</v>
      </c>
      <c r="AG81" s="1">
        <v>3.72130737304687</v>
      </c>
      <c r="AH81" s="1">
        <v>3.0</v>
      </c>
      <c r="AI81" s="1">
        <v>1.0</v>
      </c>
      <c r="AJ81" s="1">
        <v>0.0</v>
      </c>
      <c r="AK81" s="1">
        <v>0.0</v>
      </c>
      <c r="AL81" s="1">
        <v>0.0461538461538461</v>
      </c>
      <c r="AM81" s="1">
        <v>0.0153846153846153</v>
      </c>
      <c r="AN81" s="1">
        <v>0.0</v>
      </c>
      <c r="AO81" s="1">
        <v>0.0</v>
      </c>
      <c r="AP81" s="1">
        <v>0.0</v>
      </c>
      <c r="AQ81" s="1">
        <v>0.0</v>
      </c>
      <c r="AR81" s="1">
        <v>2.0</v>
      </c>
      <c r="AS81" s="1">
        <v>0.110761580423684</v>
      </c>
      <c r="AT81" s="1">
        <v>1.21995565015822</v>
      </c>
      <c r="AU81" s="1">
        <v>0.282094324246008</v>
      </c>
      <c r="AV81" s="1">
        <v>1.0</v>
      </c>
      <c r="AW81" s="1">
        <v>1.0</v>
      </c>
      <c r="AX81" s="1">
        <v>0.0</v>
      </c>
      <c r="AY81" s="1">
        <v>0.0</v>
      </c>
      <c r="AZ81" s="1">
        <v>1.0</v>
      </c>
      <c r="BA81" s="1">
        <v>8.0</v>
      </c>
      <c r="BB81" s="1">
        <v>211.0</v>
      </c>
      <c r="BC81" s="1">
        <v>225.0</v>
      </c>
      <c r="BD81" s="1" t="s">
        <v>108</v>
      </c>
    </row>
    <row r="82">
      <c r="A82" s="1" t="s">
        <v>834</v>
      </c>
      <c r="B82" s="1" t="s">
        <v>70</v>
      </c>
      <c r="C82" s="1">
        <v>0.0</v>
      </c>
      <c r="D82" s="1" t="s">
        <v>71</v>
      </c>
      <c r="E82" s="1" t="b">
        <v>1</v>
      </c>
      <c r="F82" s="1" t="b">
        <v>0</v>
      </c>
      <c r="G82" s="1" t="s">
        <v>74</v>
      </c>
      <c r="H82" s="1" t="s">
        <v>836</v>
      </c>
      <c r="I82" s="1" t="s">
        <v>837</v>
      </c>
      <c r="J82" s="1" t="s">
        <v>838</v>
      </c>
      <c r="K82" s="1">
        <v>58.0</v>
      </c>
      <c r="L82" s="1">
        <v>3.91361799800006</v>
      </c>
      <c r="M82" s="1">
        <v>0.048685489043691</v>
      </c>
      <c r="N82" s="1">
        <v>0.747792184352874</v>
      </c>
      <c r="O82" s="1">
        <v>9.86298778139311</v>
      </c>
      <c r="P82" s="1">
        <v>0.724431991577148</v>
      </c>
      <c r="S82" s="1">
        <v>58.0</v>
      </c>
      <c r="T82" s="1">
        <v>0.0486854890436916</v>
      </c>
      <c r="U82" s="1">
        <v>0.146869033505695</v>
      </c>
      <c r="V82" s="5">
        <v>1.96999735635472E-6</v>
      </c>
      <c r="W82" s="1">
        <v>0.747792184352874</v>
      </c>
      <c r="X82" s="1">
        <v>0.747790214355518</v>
      </c>
      <c r="Y82" s="1">
        <v>0.0764278851449493</v>
      </c>
      <c r="Z82" s="1">
        <v>0.285509203374385</v>
      </c>
      <c r="AA82" s="1">
        <v>0.684553372263908</v>
      </c>
      <c r="AB82" s="1">
        <v>9.86298778139311</v>
      </c>
      <c r="AC82" s="1">
        <v>3.92664870308845</v>
      </c>
      <c r="AD82" s="1">
        <v>0.724431991577148</v>
      </c>
      <c r="AE82" s="1">
        <v>0.862074432373046</v>
      </c>
      <c r="AF82" s="1">
        <v>2.49673404693603</v>
      </c>
      <c r="AG82" s="1">
        <v>4.67201747894287</v>
      </c>
      <c r="AH82" s="1">
        <v>3.0</v>
      </c>
      <c r="AI82" s="1">
        <v>0.0</v>
      </c>
      <c r="AJ82" s="1">
        <v>0.0</v>
      </c>
      <c r="AK82" s="1">
        <v>0.0</v>
      </c>
      <c r="AL82" s="1">
        <v>0.0517241379310344</v>
      </c>
      <c r="AM82" s="1">
        <v>0.0</v>
      </c>
      <c r="AN82" s="1">
        <v>0.0</v>
      </c>
      <c r="AO82" s="1">
        <v>0.0</v>
      </c>
      <c r="AP82" s="1">
        <v>0.0</v>
      </c>
      <c r="AQ82" s="1">
        <v>0.0</v>
      </c>
      <c r="AR82" s="1">
        <v>0.0</v>
      </c>
      <c r="AS82" s="1">
        <v>0.0859731850102291</v>
      </c>
      <c r="AT82" s="1">
        <v>0.747534964932128</v>
      </c>
      <c r="AU82" s="1">
        <v>0.205667647556261</v>
      </c>
      <c r="AV82" s="1">
        <v>1.0</v>
      </c>
      <c r="AW82" s="1">
        <v>0.0</v>
      </c>
      <c r="AX82" s="1">
        <v>0.0</v>
      </c>
      <c r="AY82" s="1">
        <v>0.0</v>
      </c>
      <c r="AZ82" s="1">
        <v>0.0</v>
      </c>
      <c r="BA82" s="1">
        <v>7.0</v>
      </c>
      <c r="BB82" s="1">
        <v>165.0</v>
      </c>
      <c r="BC82" s="1">
        <v>179.0</v>
      </c>
      <c r="BD82" s="1" t="s">
        <v>108</v>
      </c>
    </row>
    <row r="83">
      <c r="A83" s="1" t="s">
        <v>839</v>
      </c>
      <c r="B83" s="1" t="s">
        <v>70</v>
      </c>
      <c r="C83" s="1">
        <v>0.0</v>
      </c>
      <c r="D83" s="1" t="s">
        <v>71</v>
      </c>
      <c r="E83" s="1" t="b">
        <v>1</v>
      </c>
      <c r="F83" s="1" t="b">
        <v>0</v>
      </c>
      <c r="G83" s="1" t="s">
        <v>74</v>
      </c>
      <c r="H83" s="1" t="s">
        <v>840</v>
      </c>
      <c r="I83" s="1" t="s">
        <v>841</v>
      </c>
      <c r="J83" s="1" t="s">
        <v>842</v>
      </c>
      <c r="K83" s="1">
        <v>154.0</v>
      </c>
      <c r="L83" s="1">
        <v>10.7328352510003</v>
      </c>
      <c r="M83" s="1">
        <v>0.033986611971349</v>
      </c>
      <c r="N83" s="1">
        <v>1.2441987991333</v>
      </c>
      <c r="O83" s="1">
        <v>10.081109307029</v>
      </c>
      <c r="P83" s="1">
        <v>0.076705932617187</v>
      </c>
      <c r="S83" s="1">
        <v>154.0</v>
      </c>
      <c r="T83" s="1">
        <v>0.0339866119713491</v>
      </c>
      <c r="U83" s="1">
        <v>0.152153757821096</v>
      </c>
      <c r="V83" s="5">
        <v>3.58793954546854E-6</v>
      </c>
      <c r="W83" s="1">
        <v>1.2441987991333</v>
      </c>
      <c r="X83" s="1">
        <v>1.24419521119375</v>
      </c>
      <c r="Y83" s="1">
        <v>0.0307243959978223</v>
      </c>
      <c r="Z83" s="1">
        <v>0.0851383820176124</v>
      </c>
      <c r="AA83" s="1">
        <v>0.816678508520125</v>
      </c>
      <c r="AB83" s="1">
        <v>10.081109307029</v>
      </c>
      <c r="AC83" s="1">
        <v>3.18256041347914</v>
      </c>
      <c r="AD83" s="1">
        <v>0.0767059326171875</v>
      </c>
      <c r="AE83" s="1">
        <v>1.37295358657836</v>
      </c>
      <c r="AF83" s="1">
        <v>4.24417638778686</v>
      </c>
      <c r="AG83" s="1">
        <v>6.01946067810058</v>
      </c>
      <c r="AH83" s="1">
        <v>4.0</v>
      </c>
      <c r="AI83" s="1">
        <v>2.0</v>
      </c>
      <c r="AJ83" s="1">
        <v>0.0</v>
      </c>
      <c r="AK83" s="1">
        <v>0.0</v>
      </c>
      <c r="AL83" s="1">
        <v>0.0259740259740259</v>
      </c>
      <c r="AM83" s="1">
        <v>0.0129870129870129</v>
      </c>
      <c r="AN83" s="1">
        <v>0.0</v>
      </c>
      <c r="AO83" s="1">
        <v>0.0</v>
      </c>
      <c r="AP83" s="1">
        <v>1.0</v>
      </c>
      <c r="AQ83" s="1">
        <v>1.0</v>
      </c>
      <c r="AR83" s="1">
        <v>1.0</v>
      </c>
      <c r="AS83" s="1">
        <v>0.0457409404327924</v>
      </c>
      <c r="AT83" s="1">
        <v>1.2027468830347</v>
      </c>
      <c r="AU83" s="1">
        <v>0.166200214530458</v>
      </c>
      <c r="AV83" s="1">
        <v>2.0</v>
      </c>
      <c r="AW83" s="1">
        <v>2.0</v>
      </c>
      <c r="AX83" s="1">
        <v>0.0</v>
      </c>
      <c r="AY83" s="1">
        <v>0.0</v>
      </c>
      <c r="AZ83" s="1">
        <v>2.0</v>
      </c>
      <c r="BA83" s="1">
        <v>2.0</v>
      </c>
      <c r="BB83" s="1">
        <v>317.0</v>
      </c>
      <c r="BC83" s="1">
        <v>331.0</v>
      </c>
      <c r="BD83" s="1" t="s">
        <v>108</v>
      </c>
    </row>
    <row r="84">
      <c r="A84" s="1" t="s">
        <v>843</v>
      </c>
      <c r="B84" s="1" t="s">
        <v>70</v>
      </c>
      <c r="C84" s="1">
        <v>0.0</v>
      </c>
      <c r="D84" s="1" t="s">
        <v>71</v>
      </c>
      <c r="E84" s="1" t="b">
        <v>1</v>
      </c>
      <c r="F84" s="1" t="b">
        <v>0</v>
      </c>
      <c r="G84" s="1" t="s">
        <v>74</v>
      </c>
      <c r="H84" s="1" t="s">
        <v>844</v>
      </c>
      <c r="I84" s="1" t="s">
        <v>845</v>
      </c>
      <c r="J84" s="1" t="s">
        <v>846</v>
      </c>
      <c r="K84" s="1">
        <v>64.0</v>
      </c>
      <c r="L84" s="1">
        <v>4.22835669200003</v>
      </c>
      <c r="M84" s="1">
        <v>0.077991964105175</v>
      </c>
      <c r="N84" s="1">
        <v>1.10064363479614</v>
      </c>
      <c r="O84" s="1">
        <v>9.51914311945438</v>
      </c>
      <c r="P84" s="1">
        <v>0.0625</v>
      </c>
      <c r="S84" s="1">
        <v>64.0</v>
      </c>
      <c r="T84" s="1">
        <v>0.0779919641051751</v>
      </c>
      <c r="U84" s="1">
        <v>0.215332658465364</v>
      </c>
      <c r="V84" s="5">
        <v>1.22145672776241E-6</v>
      </c>
      <c r="W84" s="1">
        <v>1.10064363479614</v>
      </c>
      <c r="X84" s="1">
        <v>1.10064241333941</v>
      </c>
      <c r="Y84" s="1">
        <v>0.269413452595473</v>
      </c>
      <c r="Z84" s="1">
        <v>0.673876172304153</v>
      </c>
      <c r="AA84" s="1">
        <v>0.846861708164214</v>
      </c>
      <c r="AB84" s="1">
        <v>9.51914311945438</v>
      </c>
      <c r="AC84" s="1">
        <v>4.19849576928548</v>
      </c>
      <c r="AD84" s="1">
        <v>0.0625</v>
      </c>
      <c r="AE84" s="1">
        <v>0.0821875</v>
      </c>
      <c r="AF84" s="1">
        <v>1.18323812484741</v>
      </c>
      <c r="AG84" s="1">
        <v>3.23039798736572</v>
      </c>
      <c r="AH84" s="1">
        <v>5.0</v>
      </c>
      <c r="AI84" s="1">
        <v>1.0</v>
      </c>
      <c r="AJ84" s="1">
        <v>0.0</v>
      </c>
      <c r="AK84" s="1">
        <v>0.0</v>
      </c>
      <c r="AL84" s="1">
        <v>0.078125</v>
      </c>
      <c r="AM84" s="1">
        <v>0.015625</v>
      </c>
      <c r="AN84" s="1">
        <v>0.0</v>
      </c>
      <c r="AO84" s="1">
        <v>0.0</v>
      </c>
      <c r="AP84" s="1">
        <v>2.0</v>
      </c>
      <c r="AQ84" s="1">
        <v>3.0</v>
      </c>
      <c r="AR84" s="1">
        <v>3.0</v>
      </c>
      <c r="AS84" s="1">
        <v>0.131912460788617</v>
      </c>
      <c r="AT84" s="1">
        <v>1.08807295840233</v>
      </c>
      <c r="AU84" s="1">
        <v>0.299070322233962</v>
      </c>
      <c r="AV84" s="1">
        <v>1.0</v>
      </c>
      <c r="AW84" s="1">
        <v>1.0</v>
      </c>
      <c r="AX84" s="1">
        <v>0.0</v>
      </c>
      <c r="AY84" s="1">
        <v>0.0</v>
      </c>
      <c r="AZ84" s="1">
        <v>1.0</v>
      </c>
      <c r="BA84" s="1">
        <v>10.0</v>
      </c>
      <c r="BB84" s="1">
        <v>203.0</v>
      </c>
      <c r="BC84" s="1">
        <v>217.0</v>
      </c>
      <c r="BD84" s="1" t="s">
        <v>108</v>
      </c>
    </row>
    <row r="85">
      <c r="A85" s="1" t="s">
        <v>847</v>
      </c>
      <c r="B85" s="1" t="s">
        <v>70</v>
      </c>
      <c r="C85" s="1">
        <v>0.0</v>
      </c>
      <c r="D85" s="1" t="s">
        <v>71</v>
      </c>
      <c r="E85" s="1" t="b">
        <v>0</v>
      </c>
      <c r="F85" s="1" t="b">
        <v>1</v>
      </c>
      <c r="G85" s="1" t="s">
        <v>849</v>
      </c>
      <c r="H85" s="1" t="s">
        <v>851</v>
      </c>
      <c r="I85" s="1" t="s">
        <v>852</v>
      </c>
      <c r="J85" s="1" t="s">
        <v>853</v>
      </c>
      <c r="K85" s="1">
        <v>52.0</v>
      </c>
      <c r="L85" s="1">
        <v>3.40891500399993</v>
      </c>
      <c r="M85" s="1">
        <v>0.088239543932887</v>
      </c>
      <c r="N85" s="1">
        <v>0.800130724906921</v>
      </c>
      <c r="O85" s="1">
        <v>8.2624977001777</v>
      </c>
      <c r="P85" s="1">
        <v>0.349431991577148</v>
      </c>
      <c r="Q85" s="1" t="s">
        <v>198</v>
      </c>
      <c r="R85" s="1" t="s">
        <v>247</v>
      </c>
      <c r="S85" s="1">
        <v>52.0</v>
      </c>
      <c r="T85" s="1">
        <v>0.0882395439328871</v>
      </c>
      <c r="U85" s="1">
        <v>0.197566882305439</v>
      </c>
      <c r="V85" s="5">
        <v>1.15011766865791E-6</v>
      </c>
      <c r="W85" s="1">
        <v>0.800130724906921</v>
      </c>
      <c r="X85" s="1">
        <v>0.800129574789252</v>
      </c>
      <c r="Y85" s="1">
        <v>0.391026383638381</v>
      </c>
      <c r="Z85" s="1">
        <v>0.53737587481737</v>
      </c>
      <c r="AA85" s="1">
        <v>0.775856137871742</v>
      </c>
      <c r="AB85" s="1">
        <v>8.2624977001777</v>
      </c>
      <c r="AC85" s="1">
        <v>4.03291723253037</v>
      </c>
      <c r="AD85" s="1">
        <v>0.349431991577148</v>
      </c>
      <c r="AE85" s="1">
        <v>0.595013847351074</v>
      </c>
      <c r="AF85" s="1">
        <v>1.61697511672973</v>
      </c>
      <c r="AG85" s="1">
        <v>2.30539836883544</v>
      </c>
      <c r="AH85" s="1">
        <v>3.0</v>
      </c>
      <c r="AI85" s="1">
        <v>0.0</v>
      </c>
      <c r="AJ85" s="1">
        <v>0.0</v>
      </c>
      <c r="AK85" s="1">
        <v>0.0</v>
      </c>
      <c r="AL85" s="1">
        <v>0.0576923076923076</v>
      </c>
      <c r="AM85" s="1">
        <v>0.0</v>
      </c>
      <c r="AN85" s="1">
        <v>0.0</v>
      </c>
      <c r="AO85" s="1">
        <v>0.0</v>
      </c>
      <c r="AP85" s="1">
        <v>0.0</v>
      </c>
      <c r="AQ85" s="1">
        <v>0.0</v>
      </c>
      <c r="AR85" s="1">
        <v>1.0</v>
      </c>
      <c r="AS85" s="1">
        <v>0.140434699339877</v>
      </c>
      <c r="AT85" s="1">
        <v>0.796865396667271</v>
      </c>
      <c r="AU85" s="1">
        <v>0.269872403961221</v>
      </c>
      <c r="AV85" s="1">
        <v>1.0</v>
      </c>
      <c r="AW85" s="1">
        <v>0.0</v>
      </c>
      <c r="AX85" s="1">
        <v>0.0</v>
      </c>
      <c r="AY85" s="1">
        <v>0.0</v>
      </c>
      <c r="AZ85" s="1">
        <v>0.0</v>
      </c>
      <c r="BA85" s="1">
        <v>5.0</v>
      </c>
      <c r="BB85" s="1">
        <v>116.0</v>
      </c>
      <c r="BC85" s="1">
        <v>130.0</v>
      </c>
      <c r="BD85" s="1" t="s">
        <v>204</v>
      </c>
    </row>
    <row r="86">
      <c r="A86" s="1" t="s">
        <v>857</v>
      </c>
      <c r="B86" s="1" t="s">
        <v>70</v>
      </c>
      <c r="C86" s="1">
        <v>0.0</v>
      </c>
      <c r="D86" s="1" t="s">
        <v>71</v>
      </c>
      <c r="E86" s="1" t="b">
        <v>1</v>
      </c>
      <c r="F86" s="1" t="b">
        <v>0</v>
      </c>
      <c r="G86" s="1" t="s">
        <v>74</v>
      </c>
      <c r="H86" s="1" t="s">
        <v>860</v>
      </c>
      <c r="I86" s="1" t="s">
        <v>861</v>
      </c>
      <c r="J86" s="1" t="s">
        <v>862</v>
      </c>
      <c r="K86" s="1">
        <v>26.0</v>
      </c>
      <c r="L86" s="1">
        <v>1.80755801800023</v>
      </c>
      <c r="M86" s="1">
        <v>0.106195830084428</v>
      </c>
      <c r="N86" s="1">
        <v>0.963551998138427</v>
      </c>
      <c r="O86" s="1">
        <v>8.41160436776968</v>
      </c>
      <c r="P86" s="1">
        <v>0.519886016845703</v>
      </c>
      <c r="S86" s="1">
        <v>26.0</v>
      </c>
      <c r="T86" s="1">
        <v>0.106195830084428</v>
      </c>
      <c r="U86" s="1">
        <v>0.257529989618831</v>
      </c>
      <c r="V86" s="5">
        <v>1.18985644803615E-5</v>
      </c>
      <c r="W86" s="1">
        <v>0.963551998138427</v>
      </c>
      <c r="X86" s="1">
        <v>0.963540099573947</v>
      </c>
      <c r="Y86" s="1">
        <v>0.391157910227775</v>
      </c>
      <c r="Z86" s="1">
        <v>0.737017780542373</v>
      </c>
      <c r="AA86" s="1">
        <v>0.917211443185806</v>
      </c>
      <c r="AB86" s="1">
        <v>8.41160436776968</v>
      </c>
      <c r="AC86" s="1">
        <v>4.10959134352011</v>
      </c>
      <c r="AD86" s="1">
        <v>0.519886016845703</v>
      </c>
      <c r="AE86" s="1">
        <v>0.678977012634277</v>
      </c>
      <c r="AF86" s="1">
        <v>1.17009973526</v>
      </c>
      <c r="AG86" s="1">
        <v>2.26207447052001</v>
      </c>
      <c r="AH86" s="1">
        <v>3.0</v>
      </c>
      <c r="AI86" s="1">
        <v>0.0</v>
      </c>
      <c r="AJ86" s="1">
        <v>0.0</v>
      </c>
      <c r="AK86" s="1">
        <v>0.0</v>
      </c>
      <c r="AL86" s="1">
        <v>0.115384615384615</v>
      </c>
      <c r="AM86" s="1">
        <v>0.0</v>
      </c>
      <c r="AN86" s="1">
        <v>0.0</v>
      </c>
      <c r="AO86" s="1">
        <v>0.0</v>
      </c>
      <c r="AP86" s="1">
        <v>0.0</v>
      </c>
      <c r="AQ86" s="1">
        <v>0.0</v>
      </c>
      <c r="AR86" s="1">
        <v>0.0</v>
      </c>
      <c r="AS86" s="1">
        <v>0.17970243320582</v>
      </c>
      <c r="AT86" s="1">
        <v>0.961420064559206</v>
      </c>
      <c r="AU86" s="1">
        <v>0.351605551569516</v>
      </c>
      <c r="AV86" s="1">
        <v>1.0</v>
      </c>
      <c r="AW86" s="1">
        <v>0.0</v>
      </c>
      <c r="AX86" s="1">
        <v>0.0</v>
      </c>
      <c r="AY86" s="1">
        <v>0.0</v>
      </c>
      <c r="AZ86" s="1">
        <v>0.0</v>
      </c>
      <c r="BA86" s="1">
        <v>2.0</v>
      </c>
      <c r="BB86" s="1">
        <v>69.0</v>
      </c>
      <c r="BC86" s="1">
        <v>83.0</v>
      </c>
      <c r="BD86" s="1" t="s">
        <v>108</v>
      </c>
    </row>
    <row r="87">
      <c r="A87" s="1" t="s">
        <v>863</v>
      </c>
      <c r="B87" s="1" t="s">
        <v>70</v>
      </c>
      <c r="C87" s="1">
        <v>0.0</v>
      </c>
      <c r="D87" s="1" t="s">
        <v>71</v>
      </c>
      <c r="E87" s="1" t="b">
        <v>1</v>
      </c>
      <c r="F87" s="1" t="b">
        <v>0</v>
      </c>
      <c r="G87" s="1" t="s">
        <v>74</v>
      </c>
      <c r="H87" s="1" t="s">
        <v>864</v>
      </c>
      <c r="I87" s="1" t="s">
        <v>865</v>
      </c>
      <c r="J87" s="1" t="s">
        <v>866</v>
      </c>
      <c r="K87" s="1">
        <v>38.0</v>
      </c>
      <c r="L87" s="1">
        <v>2.50024948100008</v>
      </c>
      <c r="M87" s="1">
        <v>0.04703654087842</v>
      </c>
      <c r="N87" s="1">
        <v>0.663365602493286</v>
      </c>
      <c r="O87" s="1">
        <v>9.88477533742001</v>
      </c>
      <c r="P87" s="1">
        <v>1.28835105895996</v>
      </c>
      <c r="S87" s="1">
        <v>38.0</v>
      </c>
      <c r="T87" s="1">
        <v>0.0470365408784202</v>
      </c>
      <c r="U87" s="1">
        <v>0.143780988050903</v>
      </c>
      <c r="V87" s="5">
        <v>5.54329471924575E-6</v>
      </c>
      <c r="W87" s="1">
        <v>0.663365602493286</v>
      </c>
      <c r="X87" s="1">
        <v>0.663360059198566</v>
      </c>
      <c r="Y87" s="1">
        <v>0.0595743525773288</v>
      </c>
      <c r="Z87" s="1">
        <v>0.376088029146194</v>
      </c>
      <c r="AA87" s="1">
        <v>0.611600915789604</v>
      </c>
      <c r="AB87" s="1">
        <v>9.88477533742001</v>
      </c>
      <c r="AC87" s="1">
        <v>3.83453700347104</v>
      </c>
      <c r="AD87" s="1">
        <v>1.28835105895996</v>
      </c>
      <c r="AE87" s="1">
        <v>1.40712991714477</v>
      </c>
      <c r="AF87" s="1">
        <v>3.25625</v>
      </c>
      <c r="AG87" s="1">
        <v>5.04289817810058</v>
      </c>
      <c r="AH87" s="1">
        <v>2.0</v>
      </c>
      <c r="AI87" s="1">
        <v>0.0</v>
      </c>
      <c r="AJ87" s="1">
        <v>0.0</v>
      </c>
      <c r="AK87" s="1">
        <v>0.0</v>
      </c>
      <c r="AL87" s="1">
        <v>0.0526315789473684</v>
      </c>
      <c r="AM87" s="1">
        <v>0.0</v>
      </c>
      <c r="AN87" s="1">
        <v>0.0</v>
      </c>
      <c r="AO87" s="1">
        <v>0.0</v>
      </c>
      <c r="AP87" s="1">
        <v>0.0</v>
      </c>
      <c r="AQ87" s="1">
        <v>0.0</v>
      </c>
      <c r="AR87" s="1">
        <v>0.0</v>
      </c>
      <c r="AS87" s="1">
        <v>0.0756832797668156</v>
      </c>
      <c r="AT87" s="1">
        <v>0.659238857217133</v>
      </c>
      <c r="AU87" s="1">
        <v>0.182722652187159</v>
      </c>
      <c r="AV87" s="1">
        <v>1.0</v>
      </c>
      <c r="AW87" s="1">
        <v>0.0</v>
      </c>
      <c r="AX87" s="1">
        <v>0.0</v>
      </c>
      <c r="AY87" s="1">
        <v>0.0</v>
      </c>
      <c r="AZ87" s="1">
        <v>0.0</v>
      </c>
      <c r="BA87" s="1">
        <v>2.0</v>
      </c>
      <c r="BB87" s="1">
        <v>87.0</v>
      </c>
      <c r="BC87" s="1">
        <v>101.0</v>
      </c>
      <c r="BD87" s="1" t="s">
        <v>108</v>
      </c>
    </row>
    <row r="88">
      <c r="A88" s="1" t="s">
        <v>867</v>
      </c>
      <c r="B88" s="1" t="s">
        <v>70</v>
      </c>
      <c r="C88" s="1">
        <v>0.0</v>
      </c>
      <c r="D88" s="1" t="s">
        <v>71</v>
      </c>
      <c r="E88" s="1" t="b">
        <v>1</v>
      </c>
      <c r="F88" s="1" t="b">
        <v>0</v>
      </c>
      <c r="G88" s="1" t="s">
        <v>74</v>
      </c>
      <c r="H88" s="1" t="s">
        <v>868</v>
      </c>
      <c r="I88" s="1" t="s">
        <v>869</v>
      </c>
      <c r="J88" s="1" t="s">
        <v>870</v>
      </c>
      <c r="K88" s="1">
        <v>29.0</v>
      </c>
      <c r="L88" s="1">
        <v>2.00083122299975</v>
      </c>
      <c r="M88" s="1">
        <v>0.12797504760777</v>
      </c>
      <c r="N88" s="1">
        <v>0.852358639240264</v>
      </c>
      <c r="O88" s="1">
        <v>7.52260504097774</v>
      </c>
      <c r="P88" s="1">
        <v>0.5</v>
      </c>
      <c r="S88" s="1">
        <v>29.0</v>
      </c>
      <c r="T88" s="1">
        <v>0.12797504760777</v>
      </c>
      <c r="U88" s="1">
        <v>0.236315588510382</v>
      </c>
      <c r="V88" s="5">
        <v>5.31124605913646E-5</v>
      </c>
      <c r="W88" s="1">
        <v>0.852358639240264</v>
      </c>
      <c r="X88" s="1">
        <v>0.852305526779673</v>
      </c>
      <c r="Y88" s="1">
        <v>0.420647382736205</v>
      </c>
      <c r="Z88" s="1">
        <v>0.685133159160613</v>
      </c>
      <c r="AA88" s="1">
        <v>0.827049782276153</v>
      </c>
      <c r="AB88" s="1">
        <v>7.52260504097774</v>
      </c>
      <c r="AC88" s="1">
        <v>4.12756362947202</v>
      </c>
      <c r="AD88" s="1">
        <v>0.5</v>
      </c>
      <c r="AE88" s="1">
        <v>0.58670425415039</v>
      </c>
      <c r="AF88" s="1">
        <v>1.0460220336914</v>
      </c>
      <c r="AG88" s="1">
        <v>2.08011360168457</v>
      </c>
      <c r="AH88" s="1">
        <v>3.0</v>
      </c>
      <c r="AI88" s="1">
        <v>0.0</v>
      </c>
      <c r="AJ88" s="1">
        <v>0.0</v>
      </c>
      <c r="AK88" s="1">
        <v>0.0</v>
      </c>
      <c r="AL88" s="1">
        <v>0.103448275862068</v>
      </c>
      <c r="AM88" s="1">
        <v>0.0</v>
      </c>
      <c r="AN88" s="1">
        <v>0.0</v>
      </c>
      <c r="AO88" s="1">
        <v>0.0</v>
      </c>
      <c r="AP88" s="1">
        <v>0.0</v>
      </c>
      <c r="AQ88" s="1">
        <v>0.0</v>
      </c>
      <c r="AR88" s="1">
        <v>0.0</v>
      </c>
      <c r="AS88" s="1">
        <v>0.207089343277142</v>
      </c>
      <c r="AT88" s="1">
        <v>0.849351729266345</v>
      </c>
      <c r="AU88" s="1">
        <v>0.33039274499023</v>
      </c>
      <c r="AV88" s="1">
        <v>1.0</v>
      </c>
      <c r="AW88" s="1">
        <v>0.0</v>
      </c>
      <c r="AX88" s="1">
        <v>0.0</v>
      </c>
      <c r="AY88" s="1">
        <v>0.0</v>
      </c>
      <c r="AZ88" s="1">
        <v>0.0</v>
      </c>
      <c r="BA88" s="1">
        <v>2.0</v>
      </c>
      <c r="BB88" s="1">
        <v>90.0</v>
      </c>
      <c r="BC88" s="1">
        <v>104.0</v>
      </c>
      <c r="BD88" s="1" t="s">
        <v>108</v>
      </c>
    </row>
    <row r="89">
      <c r="A89" s="1" t="s">
        <v>873</v>
      </c>
      <c r="B89" s="1" t="s">
        <v>70</v>
      </c>
      <c r="C89" s="1">
        <v>0.0</v>
      </c>
      <c r="D89" s="1" t="s">
        <v>71</v>
      </c>
      <c r="E89" s="1" t="b">
        <v>0</v>
      </c>
      <c r="F89" s="1" t="b">
        <v>1</v>
      </c>
      <c r="G89" s="1" t="s">
        <v>875</v>
      </c>
      <c r="H89" s="1" t="s">
        <v>876</v>
      </c>
      <c r="I89" s="1" t="s">
        <v>877</v>
      </c>
      <c r="J89" s="1" t="s">
        <v>878</v>
      </c>
      <c r="K89" s="1">
        <v>62.0</v>
      </c>
      <c r="L89" s="1">
        <v>4.42566524199992</v>
      </c>
      <c r="M89" s="1">
        <v>0.129641986436992</v>
      </c>
      <c r="N89" s="1">
        <v>1.07970321178436</v>
      </c>
      <c r="O89" s="1">
        <v>7.88742922198387</v>
      </c>
      <c r="P89" s="1">
        <v>0.3125</v>
      </c>
      <c r="Q89" s="1" t="s">
        <v>198</v>
      </c>
      <c r="R89" s="1" t="s">
        <v>247</v>
      </c>
      <c r="S89" s="1">
        <v>62.0</v>
      </c>
      <c r="T89" s="1">
        <v>0.129641986436992</v>
      </c>
      <c r="U89" s="1">
        <v>0.251911101634371</v>
      </c>
      <c r="V89" s="5">
        <v>1.42274348036153E-5</v>
      </c>
      <c r="W89" s="1">
        <v>1.07970321178436</v>
      </c>
      <c r="X89" s="1">
        <v>1.07968898434955</v>
      </c>
      <c r="Y89" s="1">
        <v>0.551017171144485</v>
      </c>
      <c r="Z89" s="1">
        <v>0.653093045949935</v>
      </c>
      <c r="AA89" s="1">
        <v>0.941954717636108</v>
      </c>
      <c r="AB89" s="1">
        <v>7.88742922198387</v>
      </c>
      <c r="AC89" s="1">
        <v>4.22773902507652</v>
      </c>
      <c r="AD89" s="1">
        <v>0.3125</v>
      </c>
      <c r="AE89" s="1">
        <v>0.395680866241455</v>
      </c>
      <c r="AF89" s="1">
        <v>1.01541309356689</v>
      </c>
      <c r="AG89" s="1">
        <v>1.58650569915771</v>
      </c>
      <c r="AH89" s="1">
        <v>8.0</v>
      </c>
      <c r="AI89" s="1">
        <v>1.0</v>
      </c>
      <c r="AJ89" s="1">
        <v>0.0</v>
      </c>
      <c r="AK89" s="1">
        <v>0.0</v>
      </c>
      <c r="AL89" s="1">
        <v>0.129032258064516</v>
      </c>
      <c r="AM89" s="1">
        <v>0.0161290322580645</v>
      </c>
      <c r="AN89" s="1">
        <v>0.0</v>
      </c>
      <c r="AO89" s="1">
        <v>0.0</v>
      </c>
      <c r="AP89" s="1">
        <v>0.0</v>
      </c>
      <c r="AQ89" s="1">
        <v>0.0</v>
      </c>
      <c r="AR89" s="1">
        <v>2.0</v>
      </c>
      <c r="AS89" s="1">
        <v>0.223220616190746</v>
      </c>
      <c r="AT89" s="1">
        <v>1.07959648134419</v>
      </c>
      <c r="AU89" s="1">
        <v>0.374342914266516</v>
      </c>
      <c r="AV89" s="1">
        <v>1.0</v>
      </c>
      <c r="AW89" s="1">
        <v>1.0</v>
      </c>
      <c r="AX89" s="1">
        <v>0.0</v>
      </c>
      <c r="AY89" s="1">
        <v>0.0</v>
      </c>
      <c r="AZ89" s="1">
        <v>1.0</v>
      </c>
      <c r="BA89" s="1">
        <v>7.0</v>
      </c>
      <c r="BB89" s="1">
        <v>222.0</v>
      </c>
      <c r="BC89" s="1">
        <v>236.0</v>
      </c>
      <c r="BD89" s="1" t="s">
        <v>204</v>
      </c>
    </row>
    <row r="90">
      <c r="A90" s="1" t="s">
        <v>883</v>
      </c>
      <c r="B90" s="1" t="s">
        <v>70</v>
      </c>
      <c r="C90" s="1">
        <v>0.0</v>
      </c>
      <c r="D90" s="1" t="s">
        <v>71</v>
      </c>
      <c r="E90" s="1" t="b">
        <v>1</v>
      </c>
      <c r="F90" s="1" t="b">
        <v>0</v>
      </c>
      <c r="G90" s="1" t="s">
        <v>74</v>
      </c>
      <c r="H90" s="1" t="s">
        <v>884</v>
      </c>
      <c r="I90" s="1" t="s">
        <v>885</v>
      </c>
      <c r="J90" s="1" t="s">
        <v>886</v>
      </c>
      <c r="K90" s="1">
        <v>65.0</v>
      </c>
      <c r="L90" s="1">
        <v>4.46992219699996</v>
      </c>
      <c r="M90" s="1">
        <v>0.117630571622168</v>
      </c>
      <c r="N90" s="1">
        <v>1.44131088256835</v>
      </c>
      <c r="O90" s="1">
        <v>9.13528235508845</v>
      </c>
      <c r="P90" s="1">
        <v>0.029829025268554</v>
      </c>
      <c r="S90" s="1">
        <v>65.0</v>
      </c>
      <c r="T90" s="1">
        <v>0.117630571622168</v>
      </c>
      <c r="U90" s="1">
        <v>0.266870830387574</v>
      </c>
      <c r="V90" s="5">
        <v>1.69307645592198E-6</v>
      </c>
      <c r="W90" s="1">
        <v>1.44131088256835</v>
      </c>
      <c r="X90" s="1">
        <v>1.4413091894919</v>
      </c>
      <c r="Y90" s="1">
        <v>0.487277507781982</v>
      </c>
      <c r="Z90" s="1">
        <v>0.664703083038329</v>
      </c>
      <c r="AA90" s="1">
        <v>1.1140721130371</v>
      </c>
      <c r="AB90" s="1">
        <v>9.13528235508845</v>
      </c>
      <c r="AC90" s="1">
        <v>4.81356314064427</v>
      </c>
      <c r="AD90" s="1">
        <v>0.0298290252685546</v>
      </c>
      <c r="AE90" s="1">
        <v>0.0816478729248046</v>
      </c>
      <c r="AF90" s="1">
        <v>0.607386779785156</v>
      </c>
      <c r="AG90" s="1">
        <v>1.93323860168457</v>
      </c>
      <c r="AH90" s="1">
        <v>7.0</v>
      </c>
      <c r="AI90" s="1">
        <v>1.0</v>
      </c>
      <c r="AJ90" s="1">
        <v>0.0</v>
      </c>
      <c r="AK90" s="1">
        <v>0.0</v>
      </c>
      <c r="AL90" s="1">
        <v>0.107692307692307</v>
      </c>
      <c r="AM90" s="1">
        <v>0.0153846153846153</v>
      </c>
      <c r="AN90" s="1">
        <v>0.0</v>
      </c>
      <c r="AO90" s="1">
        <v>1.0</v>
      </c>
      <c r="AP90" s="1">
        <v>1.0</v>
      </c>
      <c r="AQ90" s="1">
        <v>2.0</v>
      </c>
      <c r="AR90" s="1">
        <v>4.0</v>
      </c>
      <c r="AS90" s="1">
        <v>0.167593263033943</v>
      </c>
      <c r="AT90" s="1">
        <v>1.43555500637739</v>
      </c>
      <c r="AU90" s="1">
        <v>0.334028827097389</v>
      </c>
      <c r="AV90" s="1">
        <v>2.0</v>
      </c>
      <c r="AW90" s="1">
        <v>1.0</v>
      </c>
      <c r="AX90" s="1">
        <v>0.0</v>
      </c>
      <c r="AY90" s="1">
        <v>0.0</v>
      </c>
      <c r="AZ90" s="1">
        <v>1.0</v>
      </c>
      <c r="BA90" s="1">
        <v>11.0</v>
      </c>
      <c r="BB90" s="1">
        <v>244.0</v>
      </c>
      <c r="BC90" s="1">
        <v>258.0</v>
      </c>
      <c r="BD90" s="1" t="s">
        <v>108</v>
      </c>
    </row>
    <row r="91">
      <c r="A91" s="1" t="s">
        <v>887</v>
      </c>
      <c r="B91" s="1" t="s">
        <v>70</v>
      </c>
      <c r="C91" s="1">
        <v>0.0</v>
      </c>
      <c r="D91" s="1" t="s">
        <v>71</v>
      </c>
      <c r="E91" s="1" t="b">
        <v>1</v>
      </c>
      <c r="F91" s="1" t="b">
        <v>0</v>
      </c>
      <c r="G91" s="1" t="s">
        <v>74</v>
      </c>
      <c r="H91" s="1" t="s">
        <v>888</v>
      </c>
      <c r="I91" s="1" t="s">
        <v>889</v>
      </c>
      <c r="J91" s="1" t="s">
        <v>890</v>
      </c>
      <c r="K91" s="1">
        <v>112.0</v>
      </c>
      <c r="L91" s="1">
        <v>7.49343849100023</v>
      </c>
      <c r="M91" s="1">
        <v>0.079846799106499</v>
      </c>
      <c r="N91" s="1">
        <v>1.38235902786254</v>
      </c>
      <c r="O91" s="1">
        <v>10.0524557232856</v>
      </c>
      <c r="P91" s="1">
        <v>0.34375</v>
      </c>
      <c r="S91" s="1">
        <v>112.0</v>
      </c>
      <c r="T91" s="1">
        <v>0.0798467991064991</v>
      </c>
      <c r="U91" s="1">
        <v>0.262087314615948</v>
      </c>
      <c r="V91" s="5">
        <v>1.89135403161344E-6</v>
      </c>
      <c r="W91" s="1">
        <v>1.38235902786254</v>
      </c>
      <c r="X91" s="1">
        <v>1.38235713650851</v>
      </c>
      <c r="Y91" s="1">
        <v>0.0887427508831025</v>
      </c>
      <c r="Z91" s="1">
        <v>0.815600979328155</v>
      </c>
      <c r="AA91" s="1">
        <v>1.29803622484207</v>
      </c>
      <c r="AB91" s="1">
        <v>10.0524557232856</v>
      </c>
      <c r="AC91" s="1">
        <v>4.03429785061627</v>
      </c>
      <c r="AD91" s="1">
        <v>0.34375</v>
      </c>
      <c r="AE91" s="1">
        <v>0.5290625</v>
      </c>
      <c r="AF91" s="1">
        <v>1.44552583694458</v>
      </c>
      <c r="AG91" s="1">
        <v>4.07571029663086</v>
      </c>
      <c r="AH91" s="1">
        <v>7.0</v>
      </c>
      <c r="AI91" s="1">
        <v>3.0</v>
      </c>
      <c r="AJ91" s="1">
        <v>0.0</v>
      </c>
      <c r="AK91" s="1">
        <v>0.0</v>
      </c>
      <c r="AL91" s="1">
        <v>0.0625</v>
      </c>
      <c r="AM91" s="1">
        <v>0.0267857142857142</v>
      </c>
      <c r="AN91" s="1">
        <v>0.0</v>
      </c>
      <c r="AO91" s="1">
        <v>0.0</v>
      </c>
      <c r="AP91" s="1">
        <v>0.0</v>
      </c>
      <c r="AQ91" s="1">
        <v>0.0</v>
      </c>
      <c r="AR91" s="1">
        <v>2.0</v>
      </c>
      <c r="AS91" s="1">
        <v>0.146474694684424</v>
      </c>
      <c r="AT91" s="1">
        <v>1.38225255184079</v>
      </c>
      <c r="AU91" s="1">
        <v>0.374147404389946</v>
      </c>
      <c r="AV91" s="1">
        <v>1.0</v>
      </c>
      <c r="AW91" s="1">
        <v>1.0</v>
      </c>
      <c r="AX91" s="1">
        <v>0.0</v>
      </c>
      <c r="AY91" s="1">
        <v>0.0</v>
      </c>
      <c r="AZ91" s="1">
        <v>1.0</v>
      </c>
      <c r="BA91" s="1">
        <v>12.0</v>
      </c>
      <c r="BB91" s="1">
        <v>398.0</v>
      </c>
      <c r="BC91" s="1">
        <v>412.0</v>
      </c>
      <c r="BD91" s="1" t="s">
        <v>108</v>
      </c>
    </row>
    <row r="92">
      <c r="A92" s="1" t="s">
        <v>893</v>
      </c>
      <c r="B92" s="1" t="s">
        <v>70</v>
      </c>
      <c r="C92" s="1">
        <v>0.0</v>
      </c>
      <c r="D92" s="1" t="s">
        <v>71</v>
      </c>
      <c r="E92" s="1" t="b">
        <v>1</v>
      </c>
      <c r="F92" s="1" t="b">
        <v>0</v>
      </c>
      <c r="G92" s="1" t="s">
        <v>74</v>
      </c>
      <c r="H92" s="1" t="s">
        <v>894</v>
      </c>
      <c r="I92" s="1" t="s">
        <v>895</v>
      </c>
      <c r="J92" s="1" t="s">
        <v>896</v>
      </c>
      <c r="K92" s="1">
        <v>37.0</v>
      </c>
      <c r="L92" s="1">
        <v>2.51658977199986</v>
      </c>
      <c r="M92" s="1">
        <v>0.093430242881171</v>
      </c>
      <c r="N92" s="1">
        <v>1.60042905807495</v>
      </c>
      <c r="O92" s="1">
        <v>9.04326660568649</v>
      </c>
      <c r="P92" s="1">
        <v>0.03125</v>
      </c>
      <c r="S92" s="1">
        <v>37.0</v>
      </c>
      <c r="T92" s="1">
        <v>0.0934302428811713</v>
      </c>
      <c r="U92" s="1">
        <v>0.298394073750344</v>
      </c>
      <c r="V92" s="5">
        <v>3.62866740033496E-6</v>
      </c>
      <c r="W92" s="1">
        <v>1.60042905807495</v>
      </c>
      <c r="X92" s="1">
        <v>1.60042542940755</v>
      </c>
      <c r="Y92" s="1">
        <v>0.1564287006855</v>
      </c>
      <c r="Z92" s="1">
        <v>0.560594677925108</v>
      </c>
      <c r="AA92" s="1">
        <v>1.31360851764679</v>
      </c>
      <c r="AB92" s="1">
        <v>9.04326660568649</v>
      </c>
      <c r="AC92" s="1">
        <v>3.96412016357855</v>
      </c>
      <c r="AD92" s="1">
        <v>0.03125</v>
      </c>
      <c r="AE92" s="1">
        <v>0.293067932128906</v>
      </c>
      <c r="AF92" s="1">
        <v>1.79943084716796</v>
      </c>
      <c r="AG92" s="1">
        <v>3.58948822021484</v>
      </c>
      <c r="AH92" s="1">
        <v>2.0</v>
      </c>
      <c r="AI92" s="1">
        <v>1.0</v>
      </c>
      <c r="AJ92" s="1">
        <v>1.0</v>
      </c>
      <c r="AK92" s="1">
        <v>0.0</v>
      </c>
      <c r="AL92" s="1">
        <v>0.054054054054054</v>
      </c>
      <c r="AM92" s="1">
        <v>0.027027027027027</v>
      </c>
      <c r="AN92" s="1">
        <v>0.027027027027027</v>
      </c>
      <c r="AO92" s="1">
        <v>1.0</v>
      </c>
      <c r="AP92" s="1">
        <v>1.0</v>
      </c>
      <c r="AQ92" s="1">
        <v>1.0</v>
      </c>
      <c r="AR92" s="1">
        <v>1.0</v>
      </c>
      <c r="AS92" s="1">
        <v>0.137087327446048</v>
      </c>
      <c r="AT92" s="1">
        <v>1.6003865917446</v>
      </c>
      <c r="AU92" s="1">
        <v>0.36400957106509</v>
      </c>
      <c r="AV92" s="1">
        <v>1.0</v>
      </c>
      <c r="AW92" s="1">
        <v>1.0</v>
      </c>
      <c r="AX92" s="1">
        <v>1.0</v>
      </c>
      <c r="AY92" s="1">
        <v>0.0</v>
      </c>
      <c r="AZ92" s="1">
        <v>1.0</v>
      </c>
      <c r="BA92" s="1">
        <v>3.0</v>
      </c>
      <c r="BB92" s="1">
        <v>115.0</v>
      </c>
      <c r="BC92" s="1">
        <v>129.0</v>
      </c>
      <c r="BD92" s="1" t="s">
        <v>108</v>
      </c>
    </row>
    <row r="93">
      <c r="A93" s="1" t="s">
        <v>898</v>
      </c>
      <c r="B93" s="1" t="s">
        <v>70</v>
      </c>
      <c r="C93" s="1">
        <v>0.0</v>
      </c>
      <c r="D93" s="1" t="s">
        <v>71</v>
      </c>
      <c r="E93" s="1" t="b">
        <v>1</v>
      </c>
      <c r="F93" s="1" t="b">
        <v>0</v>
      </c>
      <c r="G93" s="1" t="s">
        <v>74</v>
      </c>
      <c r="H93" s="1" t="s">
        <v>901</v>
      </c>
      <c r="I93" s="1" t="s">
        <v>902</v>
      </c>
      <c r="J93" s="1" t="s">
        <v>904</v>
      </c>
      <c r="K93" s="1">
        <v>43.0</v>
      </c>
      <c r="L93" s="1">
        <v>2.91511864999984</v>
      </c>
      <c r="M93" s="1">
        <v>0.135583345615698</v>
      </c>
      <c r="N93" s="1">
        <v>0.805813908576965</v>
      </c>
      <c r="O93" s="1">
        <v>7.31360675013342</v>
      </c>
      <c r="P93" s="1">
        <v>0.0625</v>
      </c>
      <c r="S93" s="1">
        <v>43.0</v>
      </c>
      <c r="T93" s="1">
        <v>0.135583345615698</v>
      </c>
      <c r="U93" s="1">
        <v>0.237249389214821</v>
      </c>
      <c r="V93" s="5">
        <v>5.26447456650203E-6</v>
      </c>
      <c r="W93" s="1">
        <v>0.805813908576965</v>
      </c>
      <c r="X93" s="1">
        <v>0.805808644102398</v>
      </c>
      <c r="Y93" s="1">
        <v>0.456613850593566</v>
      </c>
      <c r="Z93" s="1">
        <v>0.73269994854927</v>
      </c>
      <c r="AA93" s="1">
        <v>0.803438386917114</v>
      </c>
      <c r="AB93" s="1">
        <v>7.31360675013342</v>
      </c>
      <c r="AC93" s="1">
        <v>4.15519234972193</v>
      </c>
      <c r="AD93" s="1">
        <v>0.0625</v>
      </c>
      <c r="AE93" s="1">
        <v>0.4825</v>
      </c>
      <c r="AF93" s="1">
        <v>1.43053970336914</v>
      </c>
      <c r="AG93" s="1">
        <v>1.80653419494628</v>
      </c>
      <c r="AH93" s="1">
        <v>4.0</v>
      </c>
      <c r="AI93" s="1">
        <v>0.0</v>
      </c>
      <c r="AJ93" s="1">
        <v>0.0</v>
      </c>
      <c r="AK93" s="1">
        <v>0.0</v>
      </c>
      <c r="AL93" s="1">
        <v>0.0930232558139534</v>
      </c>
      <c r="AM93" s="1">
        <v>0.0</v>
      </c>
      <c r="AN93" s="1">
        <v>0.0</v>
      </c>
      <c r="AO93" s="1">
        <v>0.0</v>
      </c>
      <c r="AP93" s="1">
        <v>1.0</v>
      </c>
      <c r="AQ93" s="1">
        <v>1.0</v>
      </c>
      <c r="AR93" s="1">
        <v>1.0</v>
      </c>
      <c r="AS93" s="1">
        <v>0.230581954019336</v>
      </c>
      <c r="AT93" s="1">
        <v>0.802553246030584</v>
      </c>
      <c r="AU93" s="1">
        <v>0.350063027956842</v>
      </c>
      <c r="AV93" s="1">
        <v>1.0</v>
      </c>
      <c r="AW93" s="1">
        <v>0.0</v>
      </c>
      <c r="AX93" s="1">
        <v>0.0</v>
      </c>
      <c r="AY93" s="1">
        <v>0.0</v>
      </c>
      <c r="AZ93" s="1">
        <v>0.0</v>
      </c>
      <c r="BA93" s="1">
        <v>5.0</v>
      </c>
      <c r="BB93" s="1">
        <v>141.0</v>
      </c>
      <c r="BC93" s="1">
        <v>155.0</v>
      </c>
      <c r="BD93" s="1" t="s">
        <v>108</v>
      </c>
    </row>
    <row r="94">
      <c r="A94" s="1" t="s">
        <v>907</v>
      </c>
      <c r="B94" s="1" t="s">
        <v>70</v>
      </c>
      <c r="C94" s="1">
        <v>0.0</v>
      </c>
      <c r="D94" s="1" t="s">
        <v>71</v>
      </c>
      <c r="E94" s="1" t="b">
        <v>1</v>
      </c>
      <c r="F94" s="1" t="b">
        <v>0</v>
      </c>
      <c r="G94" s="1" t="s">
        <v>74</v>
      </c>
      <c r="H94" s="1" t="s">
        <v>908</v>
      </c>
      <c r="I94" s="1" t="s">
        <v>909</v>
      </c>
      <c r="J94" s="1" t="s">
        <v>910</v>
      </c>
      <c r="K94" s="1">
        <v>59.0</v>
      </c>
      <c r="L94" s="1">
        <v>3.98684722500001</v>
      </c>
      <c r="M94" s="1">
        <v>0.073336207859988</v>
      </c>
      <c r="N94" s="1">
        <v>1.15000832080841</v>
      </c>
      <c r="O94" s="1">
        <v>9.61710359282412</v>
      </c>
      <c r="P94" s="1">
        <v>0.21875</v>
      </c>
      <c r="S94" s="1">
        <v>59.0</v>
      </c>
      <c r="T94" s="1">
        <v>0.0733362078599885</v>
      </c>
      <c r="U94" s="1">
        <v>0.226338847966383</v>
      </c>
      <c r="V94" s="5">
        <v>1.89324987331929E-6</v>
      </c>
      <c r="W94" s="1">
        <v>1.15000832080841</v>
      </c>
      <c r="X94" s="1">
        <v>1.15000642755853</v>
      </c>
      <c r="Y94" s="1">
        <v>0.120718601346016</v>
      </c>
      <c r="Z94" s="1">
        <v>0.509274721145628</v>
      </c>
      <c r="AA94" s="1">
        <v>1.07564973115921</v>
      </c>
      <c r="AB94" s="1">
        <v>9.61710359282412</v>
      </c>
      <c r="AC94" s="1">
        <v>3.93578426403417</v>
      </c>
      <c r="AD94" s="1">
        <v>0.21875</v>
      </c>
      <c r="AE94" s="1">
        <v>0.4</v>
      </c>
      <c r="AF94" s="1">
        <v>1.67158966064453</v>
      </c>
      <c r="AG94" s="1">
        <v>3.78693237304687</v>
      </c>
      <c r="AH94" s="1">
        <v>3.0</v>
      </c>
      <c r="AI94" s="1">
        <v>2.0</v>
      </c>
      <c r="AJ94" s="1">
        <v>0.0</v>
      </c>
      <c r="AK94" s="1">
        <v>0.0</v>
      </c>
      <c r="AL94" s="1">
        <v>0.0508474576271186</v>
      </c>
      <c r="AM94" s="1">
        <v>0.0338983050847457</v>
      </c>
      <c r="AN94" s="1">
        <v>0.0</v>
      </c>
      <c r="AO94" s="1">
        <v>0.0</v>
      </c>
      <c r="AP94" s="1">
        <v>0.0</v>
      </c>
      <c r="AQ94" s="1">
        <v>1.0</v>
      </c>
      <c r="AR94" s="1">
        <v>1.0</v>
      </c>
      <c r="AS94" s="1">
        <v>0.121097241316568</v>
      </c>
      <c r="AT94" s="1">
        <v>1.14999315666864</v>
      </c>
      <c r="AU94" s="1">
        <v>0.30543439779078</v>
      </c>
      <c r="AV94" s="1">
        <v>1.0</v>
      </c>
      <c r="AW94" s="1">
        <v>1.0</v>
      </c>
      <c r="AX94" s="1">
        <v>0.0</v>
      </c>
      <c r="AY94" s="1">
        <v>0.0</v>
      </c>
      <c r="AZ94" s="1">
        <v>1.0</v>
      </c>
      <c r="BA94" s="1">
        <v>2.0</v>
      </c>
      <c r="BB94" s="1">
        <v>150.0</v>
      </c>
      <c r="BC94" s="1">
        <v>164.0</v>
      </c>
      <c r="BD94" s="1" t="s">
        <v>108</v>
      </c>
    </row>
    <row r="95">
      <c r="A95" s="1" t="s">
        <v>911</v>
      </c>
      <c r="B95" s="1" t="s">
        <v>70</v>
      </c>
      <c r="C95" s="1">
        <v>0.0</v>
      </c>
      <c r="D95" s="1" t="s">
        <v>71</v>
      </c>
      <c r="E95" s="1" t="b">
        <v>0</v>
      </c>
      <c r="F95" s="1" t="b">
        <v>1</v>
      </c>
      <c r="G95" s="1" t="s">
        <v>912</v>
      </c>
      <c r="H95" s="1" t="s">
        <v>913</v>
      </c>
      <c r="I95" s="1" t="s">
        <v>914</v>
      </c>
      <c r="J95" s="1" t="s">
        <v>915</v>
      </c>
      <c r="K95" s="1">
        <v>98.0</v>
      </c>
      <c r="L95" s="1">
        <v>6.5596256509998</v>
      </c>
      <c r="M95" s="1">
        <v>0.151214481091533</v>
      </c>
      <c r="N95" s="1">
        <v>2.05708122253417</v>
      </c>
      <c r="O95" s="1">
        <v>7.67878913879394</v>
      </c>
      <c r="P95" s="1">
        <v>0.046875</v>
      </c>
      <c r="Q95" s="1" t="s">
        <v>198</v>
      </c>
      <c r="R95" s="1" t="s">
        <v>917</v>
      </c>
      <c r="S95" s="1">
        <v>98.0</v>
      </c>
      <c r="T95" s="1">
        <v>0.151214481091533</v>
      </c>
      <c r="U95" s="1">
        <v>0.333073812815752</v>
      </c>
      <c r="V95" s="5">
        <v>4.11181463277898E-6</v>
      </c>
      <c r="W95" s="1">
        <v>2.05708122253417</v>
      </c>
      <c r="X95" s="1">
        <v>2.05707711071954</v>
      </c>
      <c r="Y95" s="1">
        <v>0.51905613541603</v>
      </c>
      <c r="Z95" s="1">
        <v>0.846943992376326</v>
      </c>
      <c r="AA95" s="1">
        <v>1.22150714159011</v>
      </c>
      <c r="AB95" s="1">
        <v>7.67878913879394</v>
      </c>
      <c r="AC95" s="1">
        <v>4.10547862014028</v>
      </c>
      <c r="AD95" s="1">
        <v>0.046875</v>
      </c>
      <c r="AE95" s="1">
        <v>0.180526409149169</v>
      </c>
      <c r="AF95" s="1">
        <v>0.910156345367431</v>
      </c>
      <c r="AG95" s="1">
        <v>2.08792629241943</v>
      </c>
      <c r="AH95" s="1">
        <v>11.0</v>
      </c>
      <c r="AI95" s="1">
        <v>4.0</v>
      </c>
      <c r="AJ95" s="1">
        <v>1.0</v>
      </c>
      <c r="AK95" s="1">
        <v>1.0</v>
      </c>
      <c r="AL95" s="1">
        <v>0.112244897959183</v>
      </c>
      <c r="AM95" s="1">
        <v>0.0408163265306122</v>
      </c>
      <c r="AN95" s="1">
        <v>0.010204081632653</v>
      </c>
      <c r="AO95" s="1">
        <v>1.0</v>
      </c>
      <c r="AP95" s="1">
        <v>1.0</v>
      </c>
      <c r="AQ95" s="1">
        <v>2.0</v>
      </c>
      <c r="AR95" s="1">
        <v>3.0</v>
      </c>
      <c r="AS95" s="1">
        <v>0.252138496145374</v>
      </c>
      <c r="AT95" s="1">
        <v>2.0521634160541</v>
      </c>
      <c r="AU95" s="1">
        <v>0.484452660616112</v>
      </c>
      <c r="AV95" s="1">
        <v>1.0</v>
      </c>
      <c r="AW95" s="1">
        <v>1.0</v>
      </c>
      <c r="AX95" s="1">
        <v>1.0</v>
      </c>
      <c r="AY95" s="1">
        <v>1.0</v>
      </c>
      <c r="AZ95" s="1">
        <v>1.0</v>
      </c>
      <c r="BA95" s="1">
        <v>6.0</v>
      </c>
      <c r="BB95" s="1">
        <v>288.0</v>
      </c>
      <c r="BC95" s="1">
        <v>302.0</v>
      </c>
      <c r="BD95" s="1" t="s">
        <v>204</v>
      </c>
    </row>
    <row r="96">
      <c r="A96" s="1" t="s">
        <v>921</v>
      </c>
      <c r="B96" s="1" t="s">
        <v>70</v>
      </c>
      <c r="C96" s="1">
        <v>0.0</v>
      </c>
      <c r="D96" s="1" t="s">
        <v>71</v>
      </c>
      <c r="E96" s="1" t="b">
        <v>0</v>
      </c>
      <c r="F96" s="1" t="b">
        <v>1</v>
      </c>
      <c r="G96" s="1" t="s">
        <v>922</v>
      </c>
      <c r="H96" s="1" t="s">
        <v>923</v>
      </c>
      <c r="I96" s="1" t="s">
        <v>924</v>
      </c>
      <c r="J96" s="1" t="s">
        <v>926</v>
      </c>
      <c r="K96" s="1">
        <v>109.0</v>
      </c>
      <c r="L96" s="1">
        <v>7.69723926300002</v>
      </c>
      <c r="M96" s="1">
        <v>0.068586961010054</v>
      </c>
      <c r="N96" s="1">
        <v>1.03109443187713</v>
      </c>
      <c r="O96" s="1">
        <v>10.0519577691314</v>
      </c>
      <c r="P96" s="1">
        <v>0.282669067382812</v>
      </c>
      <c r="Q96" s="1" t="s">
        <v>198</v>
      </c>
      <c r="R96" s="1" t="s">
        <v>927</v>
      </c>
      <c r="S96" s="1">
        <v>109.0</v>
      </c>
      <c r="T96" s="1">
        <v>0.0685869610100543</v>
      </c>
      <c r="U96" s="1">
        <v>0.189740361052665</v>
      </c>
      <c r="V96" s="5">
        <v>2.98325221592676E-6</v>
      </c>
      <c r="W96" s="1">
        <v>1.03109443187713</v>
      </c>
      <c r="X96" s="1">
        <v>1.03109144862492</v>
      </c>
      <c r="Y96" s="1">
        <v>0.2652503490448</v>
      </c>
      <c r="Z96" s="1">
        <v>0.560451304912566</v>
      </c>
      <c r="AA96" s="1">
        <v>0.746143281459808</v>
      </c>
      <c r="AB96" s="1">
        <v>10.0519577691314</v>
      </c>
      <c r="AC96" s="1">
        <v>4.14943956101339</v>
      </c>
      <c r="AD96" s="1">
        <v>0.282669067382812</v>
      </c>
      <c r="AE96" s="1">
        <v>0.643352737426757</v>
      </c>
      <c r="AF96" s="1">
        <v>1.74318161010742</v>
      </c>
      <c r="AG96" s="1">
        <v>3.025</v>
      </c>
      <c r="AH96" s="1">
        <v>7.0</v>
      </c>
      <c r="AI96" s="1">
        <v>1.0</v>
      </c>
      <c r="AJ96" s="1">
        <v>0.0</v>
      </c>
      <c r="AK96" s="1">
        <v>0.0</v>
      </c>
      <c r="AL96" s="1">
        <v>0.0642201834862385</v>
      </c>
      <c r="AM96" s="1">
        <v>0.0091743119266055</v>
      </c>
      <c r="AN96" s="1">
        <v>0.0</v>
      </c>
      <c r="AO96" s="1">
        <v>0.0</v>
      </c>
      <c r="AP96" s="1">
        <v>0.0</v>
      </c>
      <c r="AQ96" s="1">
        <v>0.0</v>
      </c>
      <c r="AR96" s="1">
        <v>1.0</v>
      </c>
      <c r="AS96" s="1">
        <v>0.11559839466684</v>
      </c>
      <c r="AT96" s="1">
        <v>1.02267922181636</v>
      </c>
      <c r="AU96" s="1">
        <v>0.251462586847529</v>
      </c>
      <c r="AV96" s="1">
        <v>2.0</v>
      </c>
      <c r="AW96" s="1">
        <v>1.0</v>
      </c>
      <c r="AX96" s="1">
        <v>0.0</v>
      </c>
      <c r="AY96" s="1">
        <v>0.0</v>
      </c>
      <c r="AZ96" s="1">
        <v>1.0</v>
      </c>
      <c r="BA96" s="1">
        <v>6.0</v>
      </c>
      <c r="BB96" s="1">
        <v>186.0</v>
      </c>
      <c r="BC96" s="1">
        <v>358.0</v>
      </c>
      <c r="BD96" s="1" t="s">
        <v>204</v>
      </c>
    </row>
    <row r="97">
      <c r="A97" s="1" t="s">
        <v>931</v>
      </c>
      <c r="B97" s="1" t="s">
        <v>70</v>
      </c>
      <c r="C97" s="1">
        <v>0.0</v>
      </c>
      <c r="D97" s="1" t="s">
        <v>71</v>
      </c>
      <c r="E97" s="1" t="b">
        <v>0</v>
      </c>
      <c r="F97" s="1" t="b">
        <v>1</v>
      </c>
      <c r="G97" s="1" t="s">
        <v>932</v>
      </c>
      <c r="H97" s="1" t="s">
        <v>933</v>
      </c>
      <c r="I97" s="1" t="s">
        <v>934</v>
      </c>
      <c r="J97" s="1" t="s">
        <v>935</v>
      </c>
      <c r="K97" s="1">
        <v>66.0</v>
      </c>
      <c r="L97" s="1">
        <v>4.510616389</v>
      </c>
      <c r="M97" s="1">
        <v>0.141982416122556</v>
      </c>
      <c r="N97" s="1">
        <v>1.45643067359924</v>
      </c>
      <c r="O97" s="1">
        <v>8.85250993208451</v>
      </c>
      <c r="P97" s="1">
        <v>0.078125</v>
      </c>
      <c r="Q97" s="1" t="s">
        <v>198</v>
      </c>
      <c r="R97" s="1" t="s">
        <v>936</v>
      </c>
      <c r="S97" s="1">
        <v>66.0</v>
      </c>
      <c r="T97" s="1">
        <v>0.141982416122556</v>
      </c>
      <c r="U97" s="1">
        <v>0.354986845026516</v>
      </c>
      <c r="V97" s="5">
        <v>2.85506735053786E-6</v>
      </c>
      <c r="W97" s="1">
        <v>1.45643067359924</v>
      </c>
      <c r="X97" s="1">
        <v>1.45642781853189</v>
      </c>
      <c r="Y97" s="1">
        <v>0.717845171689987</v>
      </c>
      <c r="Z97" s="1">
        <v>1.05668559670448</v>
      </c>
      <c r="AA97" s="1">
        <v>1.39422976374626</v>
      </c>
      <c r="AB97" s="1">
        <v>8.85250993208451</v>
      </c>
      <c r="AC97" s="1">
        <v>4.3038685754606</v>
      </c>
      <c r="AD97" s="1">
        <v>0.078125</v>
      </c>
      <c r="AE97" s="1">
        <v>0.078125</v>
      </c>
      <c r="AF97" s="1">
        <v>0.38671875</v>
      </c>
      <c r="AG97" s="1">
        <v>1.40554046630859</v>
      </c>
      <c r="AH97" s="1">
        <v>8.0</v>
      </c>
      <c r="AI97" s="1">
        <v>5.0</v>
      </c>
      <c r="AJ97" s="1">
        <v>0.0</v>
      </c>
      <c r="AK97" s="1">
        <v>0.0</v>
      </c>
      <c r="AL97" s="1">
        <v>0.121212121212121</v>
      </c>
      <c r="AM97" s="1">
        <v>0.0757575757575757</v>
      </c>
      <c r="AN97" s="1">
        <v>0.0</v>
      </c>
      <c r="AO97" s="1">
        <v>0.0</v>
      </c>
      <c r="AP97" s="1">
        <v>2.0</v>
      </c>
      <c r="AQ97" s="1">
        <v>3.0</v>
      </c>
      <c r="AR97" s="1">
        <v>4.0</v>
      </c>
      <c r="AS97" s="1">
        <v>0.193404335764863</v>
      </c>
      <c r="AT97" s="1">
        <v>1.45567576558096</v>
      </c>
      <c r="AU97" s="1">
        <v>0.426917729017131</v>
      </c>
      <c r="AV97" s="1">
        <v>2.0</v>
      </c>
      <c r="AW97" s="1">
        <v>2.0</v>
      </c>
      <c r="AX97" s="1">
        <v>0.0</v>
      </c>
      <c r="AY97" s="1">
        <v>2.0</v>
      </c>
      <c r="AZ97" s="1">
        <v>2.0</v>
      </c>
      <c r="BA97" s="1">
        <v>8.0</v>
      </c>
      <c r="BB97" s="1">
        <v>242.0</v>
      </c>
      <c r="BC97" s="1">
        <v>256.0</v>
      </c>
      <c r="BD97" s="1" t="s">
        <v>204</v>
      </c>
    </row>
    <row r="98">
      <c r="A98" s="1" t="s">
        <v>937</v>
      </c>
      <c r="B98" s="1" t="s">
        <v>70</v>
      </c>
      <c r="C98" s="1">
        <v>0.0</v>
      </c>
      <c r="D98" s="1" t="s">
        <v>71</v>
      </c>
      <c r="E98" s="1" t="b">
        <v>0</v>
      </c>
      <c r="F98" s="1" t="b">
        <v>1</v>
      </c>
      <c r="G98" s="1" t="s">
        <v>938</v>
      </c>
      <c r="H98" s="1" t="s">
        <v>939</v>
      </c>
      <c r="I98" s="1" t="s">
        <v>940</v>
      </c>
      <c r="J98" s="1" t="s">
        <v>941</v>
      </c>
      <c r="K98" s="1">
        <v>92.0</v>
      </c>
      <c r="L98" s="1">
        <v>6.23488935300019</v>
      </c>
      <c r="M98" s="1">
        <v>0.067704655903466</v>
      </c>
      <c r="N98" s="1">
        <v>1.02152836322784</v>
      </c>
      <c r="O98" s="1">
        <v>10.3503431548242</v>
      </c>
      <c r="P98" s="1">
        <v>0.082386016845703</v>
      </c>
      <c r="Q98" s="1" t="s">
        <v>198</v>
      </c>
      <c r="R98" s="1" t="s">
        <v>942</v>
      </c>
      <c r="S98" s="1">
        <v>92.0</v>
      </c>
      <c r="T98" s="1">
        <v>0.0677046559034668</v>
      </c>
      <c r="U98" s="1">
        <v>0.203605859798233</v>
      </c>
      <c r="V98" s="5">
        <v>3.83587439500843E-6</v>
      </c>
      <c r="W98" s="1">
        <v>1.02152836322784</v>
      </c>
      <c r="X98" s="1">
        <v>1.02152452735344</v>
      </c>
      <c r="Y98" s="1">
        <v>0.0835910692811012</v>
      </c>
      <c r="Z98" s="1">
        <v>0.624610632658005</v>
      </c>
      <c r="AA98" s="1">
        <v>0.870297824144364</v>
      </c>
      <c r="AB98" s="1">
        <v>10.3503431548242</v>
      </c>
      <c r="AC98" s="1">
        <v>4.05674757843947</v>
      </c>
      <c r="AD98" s="1">
        <v>0.0823860168457031</v>
      </c>
      <c r="AE98" s="1">
        <v>0.304715404510498</v>
      </c>
      <c r="AF98" s="1">
        <v>1.57769927978515</v>
      </c>
      <c r="AG98" s="1">
        <v>4.35426139831543</v>
      </c>
      <c r="AH98" s="1">
        <v>8.0</v>
      </c>
      <c r="AI98" s="1">
        <v>1.0</v>
      </c>
      <c r="AJ98" s="1">
        <v>0.0</v>
      </c>
      <c r="AK98" s="1">
        <v>0.0</v>
      </c>
      <c r="AL98" s="1">
        <v>0.0869565217391304</v>
      </c>
      <c r="AM98" s="1">
        <v>0.0108695652173913</v>
      </c>
      <c r="AN98" s="1">
        <v>0.0</v>
      </c>
      <c r="AO98" s="1">
        <v>0.0</v>
      </c>
      <c r="AP98" s="1">
        <v>1.0</v>
      </c>
      <c r="AQ98" s="1">
        <v>1.0</v>
      </c>
      <c r="AR98" s="1">
        <v>2.0</v>
      </c>
      <c r="AS98" s="1">
        <v>0.0997151718291426</v>
      </c>
      <c r="AT98" s="1">
        <v>1.021321544089</v>
      </c>
      <c r="AU98" s="1">
        <v>0.25293763161741</v>
      </c>
      <c r="AV98" s="1">
        <v>2.0</v>
      </c>
      <c r="AW98" s="1">
        <v>1.0</v>
      </c>
      <c r="AX98" s="1">
        <v>0.0</v>
      </c>
      <c r="AY98" s="1">
        <v>0.0</v>
      </c>
      <c r="AZ98" s="1">
        <v>1.0</v>
      </c>
      <c r="BA98" s="1">
        <v>6.0</v>
      </c>
      <c r="BB98" s="1">
        <v>132.0</v>
      </c>
      <c r="BC98" s="1">
        <v>312.0</v>
      </c>
      <c r="BD98" s="1" t="s">
        <v>204</v>
      </c>
    </row>
    <row r="99">
      <c r="A99" s="1" t="s">
        <v>945</v>
      </c>
      <c r="B99" s="1" t="s">
        <v>70</v>
      </c>
      <c r="C99" s="1">
        <v>0.0</v>
      </c>
      <c r="D99" s="1" t="s">
        <v>71</v>
      </c>
      <c r="E99" s="1" t="b">
        <v>1</v>
      </c>
      <c r="F99" s="1" t="b">
        <v>0</v>
      </c>
      <c r="G99" s="1" t="s">
        <v>74</v>
      </c>
      <c r="H99" s="1" t="s">
        <v>947</v>
      </c>
      <c r="I99" s="1" t="s">
        <v>948</v>
      </c>
      <c r="J99" s="1" t="s">
        <v>949</v>
      </c>
      <c r="K99" s="1">
        <v>28.0</v>
      </c>
      <c r="L99" s="1">
        <v>1.92656658799978</v>
      </c>
      <c r="M99" s="1">
        <v>0.049201166157648</v>
      </c>
      <c r="N99" s="1">
        <v>0.802169978618621</v>
      </c>
      <c r="O99" s="1">
        <v>10.1138904775891</v>
      </c>
      <c r="P99" s="1">
        <v>0.723011016845703</v>
      </c>
      <c r="S99" s="1">
        <v>28.0</v>
      </c>
      <c r="T99" s="1">
        <v>0.0492011661576482</v>
      </c>
      <c r="U99" s="1">
        <v>0.156505428868106</v>
      </c>
      <c r="V99" s="5">
        <v>1.49785091707599E-6</v>
      </c>
      <c r="W99" s="1">
        <v>0.802169978618621</v>
      </c>
      <c r="X99" s="1">
        <v>0.802168480767704</v>
      </c>
      <c r="Y99" s="1">
        <v>0.0972667507827282</v>
      </c>
      <c r="Z99" s="1">
        <v>0.201157549023628</v>
      </c>
      <c r="AA99" s="1">
        <v>0.65005475461483</v>
      </c>
      <c r="AB99" s="1">
        <v>10.1138904775891</v>
      </c>
      <c r="AC99" s="1">
        <v>4.36056950924883</v>
      </c>
      <c r="AD99" s="1">
        <v>0.723011016845703</v>
      </c>
      <c r="AE99" s="1">
        <v>1.41450286865234</v>
      </c>
      <c r="AF99" s="1">
        <v>3.60575351715087</v>
      </c>
      <c r="AG99" s="1">
        <v>4.243892288208</v>
      </c>
      <c r="AH99" s="1">
        <v>1.0</v>
      </c>
      <c r="AI99" s="1">
        <v>0.0</v>
      </c>
      <c r="AJ99" s="1">
        <v>0.0</v>
      </c>
      <c r="AK99" s="1">
        <v>0.0</v>
      </c>
      <c r="AL99" s="1">
        <v>0.0357142857142857</v>
      </c>
      <c r="AM99" s="1">
        <v>0.0</v>
      </c>
      <c r="AN99" s="1">
        <v>0.0</v>
      </c>
      <c r="AO99" s="1">
        <v>0.0</v>
      </c>
      <c r="AP99" s="1">
        <v>0.0</v>
      </c>
      <c r="AQ99" s="1">
        <v>0.0</v>
      </c>
      <c r="AR99" s="1">
        <v>0.0</v>
      </c>
      <c r="AS99" s="1">
        <v>0.0598807678907009</v>
      </c>
      <c r="AT99" s="1">
        <v>0.79915293958038</v>
      </c>
      <c r="AU99" s="1">
        <v>0.166682581494848</v>
      </c>
      <c r="AV99" s="1">
        <v>1.0</v>
      </c>
      <c r="AW99" s="1">
        <v>0.0</v>
      </c>
      <c r="AX99" s="1">
        <v>0.0</v>
      </c>
      <c r="AY99" s="1">
        <v>0.0</v>
      </c>
      <c r="AZ99" s="1">
        <v>0.0</v>
      </c>
      <c r="BA99" s="1">
        <v>2.0</v>
      </c>
      <c r="BB99" s="1">
        <v>50.0</v>
      </c>
      <c r="BC99" s="1">
        <v>64.0</v>
      </c>
      <c r="BD99" s="1" t="s">
        <v>108</v>
      </c>
    </row>
    <row r="100">
      <c r="A100" s="1" t="s">
        <v>953</v>
      </c>
      <c r="B100" s="1" t="s">
        <v>70</v>
      </c>
      <c r="C100" s="1">
        <v>0.0</v>
      </c>
      <c r="D100" s="1" t="s">
        <v>71</v>
      </c>
      <c r="E100" s="1" t="b">
        <v>1</v>
      </c>
      <c r="F100" s="1" t="b">
        <v>0</v>
      </c>
      <c r="G100" s="1" t="s">
        <v>74</v>
      </c>
      <c r="H100" s="1" t="s">
        <v>955</v>
      </c>
      <c r="I100" s="1" t="s">
        <v>956</v>
      </c>
      <c r="J100" s="1" t="s">
        <v>957</v>
      </c>
      <c r="K100" s="1">
        <v>39.0</v>
      </c>
      <c r="L100" s="1">
        <v>2.57295006699996</v>
      </c>
      <c r="M100" s="1">
        <v>0.096030829357445</v>
      </c>
      <c r="N100" s="1">
        <v>0.962643027305603</v>
      </c>
      <c r="O100" s="1">
        <v>9.08382528256147</v>
      </c>
      <c r="P100" s="1">
        <v>0.961648941040039</v>
      </c>
      <c r="S100" s="1">
        <v>39.0</v>
      </c>
      <c r="T100" s="1">
        <v>0.0960308293574456</v>
      </c>
      <c r="U100" s="1">
        <v>0.219830337561587</v>
      </c>
      <c r="V100" s="5">
        <v>1.60858590447787E-7</v>
      </c>
      <c r="W100" s="1">
        <v>0.962643027305603</v>
      </c>
      <c r="X100" s="1">
        <v>0.962642866447012</v>
      </c>
      <c r="Y100" s="1">
        <v>0.424062776565552</v>
      </c>
      <c r="Z100" s="1">
        <v>0.576106429100036</v>
      </c>
      <c r="AA100" s="1">
        <v>0.845216974020003</v>
      </c>
      <c r="AB100" s="1">
        <v>9.08382528256147</v>
      </c>
      <c r="AC100" s="1">
        <v>4.40790672723658</v>
      </c>
      <c r="AD100" s="1">
        <v>0.961648941040039</v>
      </c>
      <c r="AE100" s="1">
        <v>1.18241493225097</v>
      </c>
      <c r="AF100" s="1">
        <v>1.65</v>
      </c>
      <c r="AG100" s="1">
        <v>2.40625</v>
      </c>
      <c r="AH100" s="1">
        <v>4.0</v>
      </c>
      <c r="AI100" s="1">
        <v>0.0</v>
      </c>
      <c r="AJ100" s="1">
        <v>0.0</v>
      </c>
      <c r="AK100" s="1">
        <v>0.0</v>
      </c>
      <c r="AL100" s="1">
        <v>0.102564102564102</v>
      </c>
      <c r="AM100" s="1">
        <v>0.0</v>
      </c>
      <c r="AN100" s="1">
        <v>0.0</v>
      </c>
      <c r="AO100" s="1">
        <v>0.0</v>
      </c>
      <c r="AP100" s="1">
        <v>0.0</v>
      </c>
      <c r="AQ100" s="1">
        <v>0.0</v>
      </c>
      <c r="AR100" s="1">
        <v>0.0</v>
      </c>
      <c r="AS100" s="1">
        <v>0.143973518834465</v>
      </c>
      <c r="AT100" s="1">
        <v>0.956543670967221</v>
      </c>
      <c r="AU100" s="1">
        <v>0.286498967317757</v>
      </c>
      <c r="AV100" s="1">
        <v>1.0</v>
      </c>
      <c r="AW100" s="1">
        <v>0.0</v>
      </c>
      <c r="AX100" s="1">
        <v>0.0</v>
      </c>
      <c r="AY100" s="1">
        <v>0.0</v>
      </c>
      <c r="AZ100" s="1">
        <v>0.0</v>
      </c>
      <c r="BA100" s="1">
        <v>2.0</v>
      </c>
      <c r="BB100" s="1">
        <v>93.0</v>
      </c>
      <c r="BC100" s="1">
        <v>107.0</v>
      </c>
      <c r="BD100" s="1" t="s">
        <v>108</v>
      </c>
    </row>
    <row r="101">
      <c r="A101" s="1" t="s">
        <v>958</v>
      </c>
      <c r="B101" s="1" t="s">
        <v>70</v>
      </c>
      <c r="C101" s="1">
        <v>0.0</v>
      </c>
      <c r="D101" s="1" t="s">
        <v>71</v>
      </c>
      <c r="E101" s="1" t="b">
        <v>1</v>
      </c>
      <c r="F101" s="1" t="b">
        <v>0</v>
      </c>
      <c r="G101" s="1" t="s">
        <v>74</v>
      </c>
      <c r="H101" s="1" t="s">
        <v>959</v>
      </c>
      <c r="I101" s="1" t="s">
        <v>960</v>
      </c>
      <c r="J101" s="1" t="s">
        <v>961</v>
      </c>
      <c r="K101" s="1">
        <v>56.0</v>
      </c>
      <c r="L101" s="1">
        <v>3.8193974159999</v>
      </c>
      <c r="M101" s="1">
        <v>0.149953284150082</v>
      </c>
      <c r="N101" s="1">
        <v>1.26663410663604</v>
      </c>
      <c r="O101" s="1">
        <v>7.84563997813633</v>
      </c>
      <c r="P101" s="1">
        <v>0.201704025268554</v>
      </c>
      <c r="S101" s="1">
        <v>56.0</v>
      </c>
      <c r="T101" s="1">
        <v>0.149953284150082</v>
      </c>
      <c r="U101" s="1">
        <v>0.303556562335178</v>
      </c>
      <c r="V101" s="5">
        <v>4.41584052168764E-5</v>
      </c>
      <c r="W101" s="1">
        <v>1.26663410663604</v>
      </c>
      <c r="X101" s="1">
        <v>1.26658994823083</v>
      </c>
      <c r="Y101" s="1">
        <v>0.640451908111572</v>
      </c>
      <c r="Z101" s="1">
        <v>0.802619144320488</v>
      </c>
      <c r="AA101" s="1">
        <v>1.21442054510116</v>
      </c>
      <c r="AB101" s="1">
        <v>7.84563997813633</v>
      </c>
      <c r="AC101" s="1">
        <v>4.00063169844814</v>
      </c>
      <c r="AD101" s="1">
        <v>0.201704025268554</v>
      </c>
      <c r="AE101" s="1">
        <v>0.374360561370849</v>
      </c>
      <c r="AF101" s="1">
        <v>1.40944576263427</v>
      </c>
      <c r="AG101" s="1">
        <v>1.76704597473144</v>
      </c>
      <c r="AH101" s="1">
        <v>8.0</v>
      </c>
      <c r="AI101" s="1">
        <v>2.0</v>
      </c>
      <c r="AJ101" s="1">
        <v>0.0</v>
      </c>
      <c r="AK101" s="1">
        <v>0.0</v>
      </c>
      <c r="AL101" s="1">
        <v>0.142857142857142</v>
      </c>
      <c r="AM101" s="1">
        <v>0.0357142857142857</v>
      </c>
      <c r="AN101" s="1">
        <v>0.0</v>
      </c>
      <c r="AO101" s="1">
        <v>0.0</v>
      </c>
      <c r="AP101" s="1">
        <v>0.0</v>
      </c>
      <c r="AQ101" s="1">
        <v>1.0</v>
      </c>
      <c r="AR101" s="1">
        <v>1.0</v>
      </c>
      <c r="AS101" s="1">
        <v>0.229770400448284</v>
      </c>
      <c r="AT101" s="1">
        <v>1.25108908955007</v>
      </c>
      <c r="AU101" s="1">
        <v>0.398890310112899</v>
      </c>
      <c r="AV101" s="1">
        <v>2.0</v>
      </c>
      <c r="AW101" s="1">
        <v>1.0</v>
      </c>
      <c r="AX101" s="1">
        <v>0.0</v>
      </c>
      <c r="AY101" s="1">
        <v>0.0</v>
      </c>
      <c r="AZ101" s="1">
        <v>1.0</v>
      </c>
      <c r="BA101" s="1">
        <v>8.0</v>
      </c>
      <c r="BB101" s="1">
        <v>196.0</v>
      </c>
      <c r="BC101" s="1">
        <v>210.0</v>
      </c>
      <c r="BD101" s="1" t="s">
        <v>108</v>
      </c>
    </row>
    <row r="102">
      <c r="A102" s="1" t="s">
        <v>963</v>
      </c>
      <c r="B102" s="1" t="s">
        <v>70</v>
      </c>
      <c r="C102" s="1">
        <v>0.0</v>
      </c>
      <c r="D102" s="1" t="s">
        <v>71</v>
      </c>
      <c r="E102" s="1" t="b">
        <v>1</v>
      </c>
      <c r="F102" s="1" t="b">
        <v>0</v>
      </c>
      <c r="G102" s="1" t="s">
        <v>74</v>
      </c>
      <c r="H102" s="1" t="s">
        <v>965</v>
      </c>
      <c r="I102" s="1" t="s">
        <v>966</v>
      </c>
      <c r="J102" s="1" t="s">
        <v>967</v>
      </c>
      <c r="K102" s="1">
        <v>70.0</v>
      </c>
      <c r="L102" s="1">
        <v>4.72494875499978</v>
      </c>
      <c r="M102" s="1">
        <v>0.075442614076821</v>
      </c>
      <c r="N102" s="1">
        <v>1.62022233009338</v>
      </c>
      <c r="O102" s="1">
        <v>8.75393701280866</v>
      </c>
      <c r="P102" s="1">
        <v>0.46875</v>
      </c>
      <c r="S102" s="1">
        <v>70.0</v>
      </c>
      <c r="T102" s="1">
        <v>0.0754426140768211</v>
      </c>
      <c r="U102" s="1">
        <v>0.234167839029811</v>
      </c>
      <c r="V102" s="5">
        <v>8.74198804012849E-7</v>
      </c>
      <c r="W102" s="1">
        <v>1.62022233009338</v>
      </c>
      <c r="X102" s="1">
        <v>1.62022145589457</v>
      </c>
      <c r="Y102" s="1">
        <v>0.147886461019516</v>
      </c>
      <c r="Z102" s="1">
        <v>0.383890418708324</v>
      </c>
      <c r="AA102" s="1">
        <v>1.02726567149162</v>
      </c>
      <c r="AB102" s="1">
        <v>8.75393701280866</v>
      </c>
      <c r="AC102" s="1">
        <v>3.6688934132549</v>
      </c>
      <c r="AD102" s="1">
        <v>0.46875</v>
      </c>
      <c r="AE102" s="1">
        <v>0.654971351623535</v>
      </c>
      <c r="AF102" s="1">
        <v>2.13579416275024</v>
      </c>
      <c r="AG102" s="1">
        <v>3.78750114440918</v>
      </c>
      <c r="AH102" s="1">
        <v>3.0</v>
      </c>
      <c r="AI102" s="1">
        <v>1.0</v>
      </c>
      <c r="AJ102" s="1">
        <v>1.0</v>
      </c>
      <c r="AK102" s="1">
        <v>0.0</v>
      </c>
      <c r="AL102" s="1">
        <v>0.0428571428571428</v>
      </c>
      <c r="AM102" s="1">
        <v>0.0142857142857142</v>
      </c>
      <c r="AN102" s="1">
        <v>0.0142857142857142</v>
      </c>
      <c r="AO102" s="1">
        <v>0.0</v>
      </c>
      <c r="AP102" s="1">
        <v>0.0</v>
      </c>
      <c r="AQ102" s="1">
        <v>0.0</v>
      </c>
      <c r="AR102" s="1">
        <v>1.0</v>
      </c>
      <c r="AS102" s="1">
        <v>0.12291886344226</v>
      </c>
      <c r="AT102" s="1">
        <v>1.61991349881282</v>
      </c>
      <c r="AU102" s="1">
        <v>0.324906616361993</v>
      </c>
      <c r="AV102" s="1">
        <v>1.0</v>
      </c>
      <c r="AW102" s="1">
        <v>1.0</v>
      </c>
      <c r="AX102" s="1">
        <v>1.0</v>
      </c>
      <c r="AY102" s="1">
        <v>0.0</v>
      </c>
      <c r="AZ102" s="1">
        <v>1.0</v>
      </c>
      <c r="BA102" s="1">
        <v>10.0</v>
      </c>
      <c r="BB102" s="1">
        <v>238.0</v>
      </c>
      <c r="BC102" s="1">
        <v>252.0</v>
      </c>
      <c r="BD102" s="1" t="s">
        <v>108</v>
      </c>
    </row>
    <row r="103">
      <c r="A103" s="1" t="s">
        <v>968</v>
      </c>
      <c r="B103" s="1" t="s">
        <v>70</v>
      </c>
      <c r="C103" s="1">
        <v>0.0</v>
      </c>
      <c r="D103" s="1" t="s">
        <v>71</v>
      </c>
      <c r="E103" s="1" t="b">
        <v>1</v>
      </c>
      <c r="F103" s="1" t="b">
        <v>0</v>
      </c>
      <c r="G103" s="1" t="s">
        <v>74</v>
      </c>
      <c r="H103" s="1" t="s">
        <v>971</v>
      </c>
      <c r="I103" s="1" t="s">
        <v>973</v>
      </c>
      <c r="J103" s="1" t="s">
        <v>974</v>
      </c>
      <c r="K103" s="1">
        <v>19.0</v>
      </c>
      <c r="L103" s="1">
        <v>1.33095600800015</v>
      </c>
      <c r="M103" s="1">
        <v>0.149493321421782</v>
      </c>
      <c r="N103" s="1">
        <v>0.985301494598388</v>
      </c>
      <c r="O103" s="1">
        <v>7.15879229495399</v>
      </c>
      <c r="P103" s="1">
        <v>0.515625</v>
      </c>
      <c r="S103" s="1">
        <v>19.0</v>
      </c>
      <c r="T103" s="1">
        <v>0.149493321421782</v>
      </c>
      <c r="U103" s="1">
        <v>0.274907623481854</v>
      </c>
      <c r="V103" s="1">
        <v>1.73453052411787E-4</v>
      </c>
      <c r="W103" s="1">
        <v>0.985301494598388</v>
      </c>
      <c r="X103" s="1">
        <v>0.985128041545976</v>
      </c>
      <c r="Y103" s="1">
        <v>0.444272124767303</v>
      </c>
      <c r="Z103" s="1">
        <v>0.736870735883712</v>
      </c>
      <c r="AA103" s="1">
        <v>0.935615342855453</v>
      </c>
      <c r="AB103" s="1">
        <v>7.15879229495399</v>
      </c>
      <c r="AC103" s="1">
        <v>4.1349593958122</v>
      </c>
      <c r="AD103" s="1">
        <v>0.515625</v>
      </c>
      <c r="AE103" s="1">
        <v>0.534289741516113</v>
      </c>
      <c r="AF103" s="1">
        <v>0.608948707580566</v>
      </c>
      <c r="AG103" s="1">
        <v>1.98636360168457</v>
      </c>
      <c r="AH103" s="1">
        <v>2.0</v>
      </c>
      <c r="AI103" s="1">
        <v>0.0</v>
      </c>
      <c r="AJ103" s="1">
        <v>0.0</v>
      </c>
      <c r="AK103" s="1">
        <v>0.0</v>
      </c>
      <c r="AL103" s="1">
        <v>0.105263157894736</v>
      </c>
      <c r="AM103" s="1">
        <v>0.0</v>
      </c>
      <c r="AN103" s="1">
        <v>0.0</v>
      </c>
      <c r="AO103" s="1">
        <v>0.0</v>
      </c>
      <c r="AP103" s="1">
        <v>0.0</v>
      </c>
      <c r="AQ103" s="1">
        <v>0.0</v>
      </c>
      <c r="AR103" s="1">
        <v>0.0</v>
      </c>
      <c r="AS103" s="1">
        <v>0.176362132309198</v>
      </c>
      <c r="AT103" s="1">
        <v>0.982440908206626</v>
      </c>
      <c r="AU103" s="1">
        <v>0.33983137221003</v>
      </c>
      <c r="AV103" s="1">
        <v>1.0</v>
      </c>
      <c r="AW103" s="1">
        <v>0.0</v>
      </c>
      <c r="AX103" s="1">
        <v>0.0</v>
      </c>
      <c r="AY103" s="1">
        <v>0.0</v>
      </c>
      <c r="AZ103" s="1">
        <v>0.0</v>
      </c>
      <c r="BA103" s="1">
        <v>2.0</v>
      </c>
      <c r="BB103" s="1">
        <v>59.0</v>
      </c>
      <c r="BC103" s="1">
        <v>73.0</v>
      </c>
      <c r="BD103" s="1" t="s">
        <v>108</v>
      </c>
    </row>
    <row r="104">
      <c r="A104" s="1" t="s">
        <v>977</v>
      </c>
      <c r="B104" s="1" t="s">
        <v>70</v>
      </c>
      <c r="C104" s="1">
        <v>0.0</v>
      </c>
      <c r="D104" s="1" t="s">
        <v>71</v>
      </c>
      <c r="E104" s="1" t="b">
        <v>1</v>
      </c>
      <c r="F104" s="1" t="b">
        <v>0</v>
      </c>
      <c r="G104" s="1" t="s">
        <v>74</v>
      </c>
      <c r="H104" s="1" t="s">
        <v>978</v>
      </c>
      <c r="I104" s="1" t="s">
        <v>979</v>
      </c>
      <c r="J104" s="1" t="s">
        <v>980</v>
      </c>
      <c r="K104" s="1">
        <v>56.0</v>
      </c>
      <c r="L104" s="1">
        <v>3.75707845599981</v>
      </c>
      <c r="M104" s="1">
        <v>0.066143796531796</v>
      </c>
      <c r="N104" s="1">
        <v>1.34035074710845</v>
      </c>
      <c r="O104" s="1">
        <v>10.0593805483409</v>
      </c>
      <c r="P104" s="1">
        <v>0.292612075805664</v>
      </c>
      <c r="S104" s="1">
        <v>56.0</v>
      </c>
      <c r="T104" s="1">
        <v>0.0661437965317962</v>
      </c>
      <c r="U104" s="1">
        <v>0.218702221128346</v>
      </c>
      <c r="V104" s="5">
        <v>2.10055054594704E-6</v>
      </c>
      <c r="W104" s="1">
        <v>1.34035074710845</v>
      </c>
      <c r="X104" s="1">
        <v>1.34034864655791</v>
      </c>
      <c r="Y104" s="1">
        <v>0.0951534733176231</v>
      </c>
      <c r="Z104" s="1">
        <v>0.501502305269241</v>
      </c>
      <c r="AA104" s="1">
        <v>0.979924786090852</v>
      </c>
      <c r="AB104" s="1">
        <v>10.0593805483409</v>
      </c>
      <c r="AC104" s="1">
        <v>4.11256047562362</v>
      </c>
      <c r="AD104" s="1">
        <v>0.292612075805664</v>
      </c>
      <c r="AE104" s="1">
        <v>0.651206016540527</v>
      </c>
      <c r="AF104" s="1">
        <v>1.68004274368286</v>
      </c>
      <c r="AG104" s="1">
        <v>4.60511398315429</v>
      </c>
      <c r="AH104" s="1">
        <v>3.0</v>
      </c>
      <c r="AI104" s="1">
        <v>1.0</v>
      </c>
      <c r="AJ104" s="1">
        <v>0.0</v>
      </c>
      <c r="AK104" s="1">
        <v>0.0</v>
      </c>
      <c r="AL104" s="1">
        <v>0.0535714285714285</v>
      </c>
      <c r="AM104" s="1">
        <v>0.0178571428571428</v>
      </c>
      <c r="AN104" s="1">
        <v>0.0</v>
      </c>
      <c r="AO104" s="1">
        <v>0.0</v>
      </c>
      <c r="AP104" s="1">
        <v>0.0</v>
      </c>
      <c r="AQ104" s="1">
        <v>0.0</v>
      </c>
      <c r="AR104" s="1">
        <v>1.0</v>
      </c>
      <c r="AS104" s="1">
        <v>0.110448012827319</v>
      </c>
      <c r="AT104" s="1">
        <v>1.34025060515705</v>
      </c>
      <c r="AU104" s="1">
        <v>0.29093809588181</v>
      </c>
      <c r="AV104" s="1">
        <v>1.0</v>
      </c>
      <c r="AW104" s="1">
        <v>1.0</v>
      </c>
      <c r="AX104" s="1">
        <v>0.0</v>
      </c>
      <c r="AY104" s="1">
        <v>0.0</v>
      </c>
      <c r="AZ104" s="1">
        <v>1.0</v>
      </c>
      <c r="BA104" s="1">
        <v>7.0</v>
      </c>
      <c r="BB104" s="1">
        <v>149.0</v>
      </c>
      <c r="BC104" s="1">
        <v>163.0</v>
      </c>
      <c r="BD104" s="1" t="s">
        <v>108</v>
      </c>
    </row>
    <row r="105">
      <c r="A105" s="1" t="s">
        <v>981</v>
      </c>
      <c r="B105" s="1" t="s">
        <v>70</v>
      </c>
      <c r="C105" s="1">
        <v>0.0</v>
      </c>
      <c r="D105" s="1" t="s">
        <v>71</v>
      </c>
      <c r="E105" s="1" t="b">
        <v>1</v>
      </c>
      <c r="F105" s="1" t="b">
        <v>0</v>
      </c>
      <c r="G105" s="1" t="s">
        <v>74</v>
      </c>
      <c r="H105" s="1" t="s">
        <v>982</v>
      </c>
      <c r="I105" s="1" t="s">
        <v>983</v>
      </c>
      <c r="J105" s="1" t="s">
        <v>984</v>
      </c>
      <c r="K105" s="1">
        <v>41.0</v>
      </c>
      <c r="L105" s="1">
        <v>2.81342366799981</v>
      </c>
      <c r="M105" s="1">
        <v>0.039364060015897</v>
      </c>
      <c r="N105" s="1">
        <v>0.514835238456726</v>
      </c>
      <c r="O105" s="1">
        <v>9.33363405088099</v>
      </c>
      <c r="P105" s="1">
        <v>1.453125</v>
      </c>
      <c r="S105" s="1">
        <v>41.0</v>
      </c>
      <c r="T105" s="1">
        <v>0.0393640600158971</v>
      </c>
      <c r="U105" s="1">
        <v>0.105520837931967</v>
      </c>
      <c r="V105" s="5">
        <v>8.26038194645661E-6</v>
      </c>
      <c r="W105" s="1">
        <v>0.514835238456726</v>
      </c>
      <c r="X105" s="1">
        <v>0.514826978074779</v>
      </c>
      <c r="Y105" s="1">
        <v>0.0999732166528701</v>
      </c>
      <c r="Z105" s="1">
        <v>0.212557435035705</v>
      </c>
      <c r="AA105" s="1">
        <v>0.4636838555336</v>
      </c>
      <c r="AB105" s="1">
        <v>9.33363405088099</v>
      </c>
      <c r="AC105" s="1">
        <v>3.60742418899988</v>
      </c>
      <c r="AD105" s="1">
        <v>1.453125</v>
      </c>
      <c r="AE105" s="1">
        <v>1.82130661010742</v>
      </c>
      <c r="AF105" s="1">
        <v>3.12642097473144</v>
      </c>
      <c r="AG105" s="1">
        <v>4.53125</v>
      </c>
      <c r="AH105" s="1">
        <v>1.0</v>
      </c>
      <c r="AI105" s="1">
        <v>0.0</v>
      </c>
      <c r="AJ105" s="1">
        <v>0.0</v>
      </c>
      <c r="AK105" s="1">
        <v>0.0</v>
      </c>
      <c r="AL105" s="1">
        <v>0.024390243902439</v>
      </c>
      <c r="AM105" s="1">
        <v>0.0</v>
      </c>
      <c r="AN105" s="1">
        <v>0.0</v>
      </c>
      <c r="AO105" s="1">
        <v>0.0</v>
      </c>
      <c r="AP105" s="1">
        <v>0.0</v>
      </c>
      <c r="AQ105" s="1">
        <v>0.0</v>
      </c>
      <c r="AR105" s="1">
        <v>0.0</v>
      </c>
      <c r="AS105" s="1">
        <v>0.0674762623949391</v>
      </c>
      <c r="AT105" s="1">
        <v>0.514708171613165</v>
      </c>
      <c r="AU105" s="1">
        <v>0.145999177526536</v>
      </c>
      <c r="AV105" s="1">
        <v>1.0</v>
      </c>
      <c r="AW105" s="1">
        <v>0.0</v>
      </c>
      <c r="AX105" s="1">
        <v>0.0</v>
      </c>
      <c r="AY105" s="1">
        <v>0.0</v>
      </c>
      <c r="AZ105" s="1">
        <v>0.0</v>
      </c>
      <c r="BA105" s="1">
        <v>5.0</v>
      </c>
      <c r="BB105" s="1">
        <v>103.0</v>
      </c>
      <c r="BC105" s="1">
        <v>117.0</v>
      </c>
      <c r="BD105" s="1" t="s">
        <v>108</v>
      </c>
    </row>
    <row r="106">
      <c r="A106" s="1" t="s">
        <v>987</v>
      </c>
      <c r="B106" s="1" t="s">
        <v>70</v>
      </c>
      <c r="C106" s="1">
        <v>0.0</v>
      </c>
      <c r="D106" s="1" t="s">
        <v>71</v>
      </c>
      <c r="E106" s="1" t="b">
        <v>1</v>
      </c>
      <c r="F106" s="1" t="b">
        <v>0</v>
      </c>
      <c r="G106" s="1" t="s">
        <v>74</v>
      </c>
      <c r="H106" s="1" t="s">
        <v>989</v>
      </c>
      <c r="I106" s="1" t="s">
        <v>990</v>
      </c>
      <c r="J106" s="1" t="s">
        <v>991</v>
      </c>
      <c r="K106" s="1">
        <v>77.0</v>
      </c>
      <c r="L106" s="1">
        <v>5.16222948499989</v>
      </c>
      <c r="M106" s="1">
        <v>0.078339230139878</v>
      </c>
      <c r="N106" s="1">
        <v>0.936366558074951</v>
      </c>
      <c r="O106" s="1">
        <v>10.2154575075422</v>
      </c>
      <c r="P106" s="1">
        <v>0.458806991577148</v>
      </c>
      <c r="S106" s="1">
        <v>77.0</v>
      </c>
      <c r="T106" s="1">
        <v>0.0783392301398785</v>
      </c>
      <c r="U106" s="1">
        <v>0.202698087056506</v>
      </c>
      <c r="V106" s="5">
        <v>1.66834399806248E-6</v>
      </c>
      <c r="W106" s="1">
        <v>0.936366558074951</v>
      </c>
      <c r="X106" s="1">
        <v>0.936364889730953</v>
      </c>
      <c r="Y106" s="1">
        <v>0.291096729040146</v>
      </c>
      <c r="Z106" s="1">
        <v>0.606520438194275</v>
      </c>
      <c r="AA106" s="1">
        <v>0.834929811954497</v>
      </c>
      <c r="AB106" s="1">
        <v>10.2154575075422</v>
      </c>
      <c r="AC106" s="1">
        <v>4.73407195700221</v>
      </c>
      <c r="AD106" s="1">
        <v>0.458806991577148</v>
      </c>
      <c r="AE106" s="1">
        <v>0.804260482788085</v>
      </c>
      <c r="AF106" s="1">
        <v>1.15284080505371</v>
      </c>
      <c r="AG106" s="1">
        <v>2.50511322021484</v>
      </c>
      <c r="AH106" s="1">
        <v>6.0</v>
      </c>
      <c r="AI106" s="1">
        <v>0.0</v>
      </c>
      <c r="AJ106" s="1">
        <v>0.0</v>
      </c>
      <c r="AK106" s="1">
        <v>0.0</v>
      </c>
      <c r="AL106" s="1">
        <v>0.0779220779220779</v>
      </c>
      <c r="AM106" s="1">
        <v>0.0</v>
      </c>
      <c r="AN106" s="1">
        <v>0.0</v>
      </c>
      <c r="AO106" s="1">
        <v>0.0</v>
      </c>
      <c r="AP106" s="1">
        <v>0.0</v>
      </c>
      <c r="AQ106" s="1">
        <v>0.0</v>
      </c>
      <c r="AR106" s="1">
        <v>1.0</v>
      </c>
      <c r="AS106" s="1">
        <v>0.138062986482895</v>
      </c>
      <c r="AT106" s="1">
        <v>0.933733372949063</v>
      </c>
      <c r="AU106" s="1">
        <v>0.28974772772362</v>
      </c>
      <c r="AV106" s="1">
        <v>1.0</v>
      </c>
      <c r="AW106" s="1">
        <v>0.0</v>
      </c>
      <c r="AX106" s="1">
        <v>0.0</v>
      </c>
      <c r="AY106" s="1">
        <v>0.0</v>
      </c>
      <c r="AZ106" s="1">
        <v>0.0</v>
      </c>
      <c r="BA106" s="1">
        <v>10.0</v>
      </c>
      <c r="BB106" s="1">
        <v>261.0</v>
      </c>
      <c r="BC106" s="1">
        <v>275.0</v>
      </c>
      <c r="BD106" s="1" t="s">
        <v>108</v>
      </c>
    </row>
    <row r="107">
      <c r="A107" s="1" t="s">
        <v>995</v>
      </c>
      <c r="B107" s="1" t="s">
        <v>70</v>
      </c>
      <c r="C107" s="1">
        <v>0.0</v>
      </c>
      <c r="D107" s="1" t="s">
        <v>71</v>
      </c>
      <c r="E107" s="1" t="b">
        <v>1</v>
      </c>
      <c r="F107" s="1" t="b">
        <v>0</v>
      </c>
      <c r="G107" s="1" t="s">
        <v>74</v>
      </c>
      <c r="H107" s="1" t="s">
        <v>997</v>
      </c>
      <c r="I107" s="1" t="s">
        <v>998</v>
      </c>
      <c r="J107" s="1" t="s">
        <v>999</v>
      </c>
      <c r="K107" s="1">
        <v>131.0</v>
      </c>
      <c r="L107" s="1">
        <v>9.13136057199972</v>
      </c>
      <c r="M107" s="1">
        <v>0.109016845858453</v>
      </c>
      <c r="N107" s="1">
        <v>1.95967411994934</v>
      </c>
      <c r="O107" s="1">
        <v>9.53840158913881</v>
      </c>
      <c r="P107" s="1">
        <v>0.09375</v>
      </c>
      <c r="S107" s="1">
        <v>131.0</v>
      </c>
      <c r="T107" s="1">
        <v>0.109016845858453</v>
      </c>
      <c r="U107" s="1">
        <v>0.307839393509212</v>
      </c>
      <c r="V107" s="5">
        <v>1.46623597174766E-6</v>
      </c>
      <c r="W107" s="1">
        <v>1.95967411994934</v>
      </c>
      <c r="X107" s="1">
        <v>1.95967265371336</v>
      </c>
      <c r="Y107" s="1">
        <v>0.417115211486816</v>
      </c>
      <c r="Z107" s="1">
        <v>0.773546993732452</v>
      </c>
      <c r="AA107" s="1">
        <v>1.42588955163955</v>
      </c>
      <c r="AB107" s="1">
        <v>9.53840158913881</v>
      </c>
      <c r="AC107" s="1">
        <v>4.36071635340238</v>
      </c>
      <c r="AD107" s="1">
        <v>0.09375</v>
      </c>
      <c r="AE107" s="1">
        <v>0.136364364624023</v>
      </c>
      <c r="AF107" s="1">
        <v>0.985794067382812</v>
      </c>
      <c r="AG107" s="1">
        <v>2.13920402526855</v>
      </c>
      <c r="AH107" s="1">
        <v>13.0</v>
      </c>
      <c r="AI107" s="1">
        <v>3.0</v>
      </c>
      <c r="AJ107" s="1">
        <v>2.0</v>
      </c>
      <c r="AK107" s="1">
        <v>0.0</v>
      </c>
      <c r="AL107" s="1">
        <v>0.099236641221374</v>
      </c>
      <c r="AM107" s="1">
        <v>0.0229007633587786</v>
      </c>
      <c r="AN107" s="1">
        <v>0.015267175572519</v>
      </c>
      <c r="AO107" s="1">
        <v>0.0</v>
      </c>
      <c r="AP107" s="1">
        <v>1.0</v>
      </c>
      <c r="AQ107" s="1">
        <v>4.0</v>
      </c>
      <c r="AR107" s="1">
        <v>6.0</v>
      </c>
      <c r="AS107" s="1">
        <v>0.129781897827185</v>
      </c>
      <c r="AT107" s="1">
        <v>1.94831512775272</v>
      </c>
      <c r="AU107" s="1">
        <v>0.330883077051797</v>
      </c>
      <c r="AV107" s="1">
        <v>4.0</v>
      </c>
      <c r="AW107" s="1">
        <v>1.0</v>
      </c>
      <c r="AX107" s="1">
        <v>1.0</v>
      </c>
      <c r="AY107" s="1">
        <v>0.0</v>
      </c>
      <c r="AZ107" s="1">
        <v>1.0</v>
      </c>
      <c r="BA107" s="1">
        <v>16.0</v>
      </c>
      <c r="BB107" s="1">
        <v>422.0</v>
      </c>
      <c r="BC107" s="1">
        <v>436.0</v>
      </c>
      <c r="BD107" s="1" t="s">
        <v>108</v>
      </c>
    </row>
    <row r="108">
      <c r="A108" s="1" t="s">
        <v>1000</v>
      </c>
      <c r="B108" s="1" t="s">
        <v>70</v>
      </c>
      <c r="C108" s="1">
        <v>0.0</v>
      </c>
      <c r="D108" s="1" t="s">
        <v>71</v>
      </c>
      <c r="E108" s="1" t="b">
        <v>1</v>
      </c>
      <c r="F108" s="1" t="b">
        <v>0</v>
      </c>
      <c r="G108" s="1" t="s">
        <v>74</v>
      </c>
      <c r="H108" s="1" t="s">
        <v>1001</v>
      </c>
      <c r="I108" s="1" t="s">
        <v>1002</v>
      </c>
      <c r="J108" s="1" t="s">
        <v>1003</v>
      </c>
      <c r="K108" s="1">
        <v>68.0</v>
      </c>
      <c r="L108" s="1">
        <v>4.58540250300029</v>
      </c>
      <c r="M108" s="1">
        <v>0.05188970404798</v>
      </c>
      <c r="N108" s="1">
        <v>1.01236951351165</v>
      </c>
      <c r="O108" s="1">
        <v>9.81341938411488</v>
      </c>
      <c r="P108" s="1">
        <v>0.328125</v>
      </c>
      <c r="S108" s="1">
        <v>68.0</v>
      </c>
      <c r="T108" s="1">
        <v>0.0518897040479808</v>
      </c>
      <c r="U108" s="1">
        <v>0.179057993855224</v>
      </c>
      <c r="V108" s="5">
        <v>4.60760793430381E-6</v>
      </c>
      <c r="W108" s="1">
        <v>1.01236951351165</v>
      </c>
      <c r="X108" s="1">
        <v>1.01236490590372</v>
      </c>
      <c r="Y108" s="1">
        <v>0.0639981850981712</v>
      </c>
      <c r="Z108" s="1">
        <v>0.262696259468793</v>
      </c>
      <c r="AA108" s="1">
        <v>0.850196298360824</v>
      </c>
      <c r="AB108" s="1">
        <v>9.81341938411488</v>
      </c>
      <c r="AC108" s="1">
        <v>3.76543893704462</v>
      </c>
      <c r="AD108" s="1">
        <v>0.328125</v>
      </c>
      <c r="AE108" s="1">
        <v>0.45375</v>
      </c>
      <c r="AF108" s="1">
        <v>2.7125</v>
      </c>
      <c r="AG108" s="1">
        <v>4.95071010589599</v>
      </c>
      <c r="AH108" s="1">
        <v>3.0</v>
      </c>
      <c r="AI108" s="1">
        <v>1.0</v>
      </c>
      <c r="AJ108" s="1">
        <v>0.0</v>
      </c>
      <c r="AK108" s="1">
        <v>0.0</v>
      </c>
      <c r="AL108" s="1">
        <v>0.0441176470588235</v>
      </c>
      <c r="AM108" s="1">
        <v>0.0147058823529411</v>
      </c>
      <c r="AN108" s="1">
        <v>0.0</v>
      </c>
      <c r="AO108" s="1">
        <v>0.0</v>
      </c>
      <c r="AP108" s="1">
        <v>0.0</v>
      </c>
      <c r="AQ108" s="1">
        <v>0.0</v>
      </c>
      <c r="AR108" s="1">
        <v>1.0</v>
      </c>
      <c r="AS108" s="1">
        <v>0.0855887796954841</v>
      </c>
      <c r="AT108" s="1">
        <v>1.0083588398993</v>
      </c>
      <c r="AU108" s="1">
        <v>0.235987245218092</v>
      </c>
      <c r="AV108" s="1">
        <v>1.0</v>
      </c>
      <c r="AW108" s="1">
        <v>1.0</v>
      </c>
      <c r="AX108" s="1">
        <v>0.0</v>
      </c>
      <c r="AY108" s="1">
        <v>0.0</v>
      </c>
      <c r="AZ108" s="1">
        <v>1.0</v>
      </c>
      <c r="BA108" s="1">
        <v>10.0</v>
      </c>
      <c r="BB108" s="1">
        <v>226.0</v>
      </c>
      <c r="BC108" s="1">
        <v>240.0</v>
      </c>
      <c r="BD108" s="1" t="s">
        <v>108</v>
      </c>
    </row>
    <row r="109">
      <c r="A109" s="1" t="s">
        <v>1006</v>
      </c>
      <c r="B109" s="1" t="s">
        <v>70</v>
      </c>
      <c r="C109" s="1">
        <v>0.0</v>
      </c>
      <c r="D109" s="1" t="s">
        <v>71</v>
      </c>
      <c r="E109" s="1" t="b">
        <v>1</v>
      </c>
      <c r="F109" s="1" t="b">
        <v>0</v>
      </c>
      <c r="G109" s="1" t="s">
        <v>74</v>
      </c>
      <c r="H109" s="1" t="s">
        <v>1007</v>
      </c>
      <c r="I109" s="1" t="s">
        <v>1008</v>
      </c>
      <c r="J109" s="1" t="s">
        <v>1009</v>
      </c>
      <c r="K109" s="1">
        <v>101.0</v>
      </c>
      <c r="L109" s="1">
        <v>6.93227708600034</v>
      </c>
      <c r="M109" s="1">
        <v>0.060465334687691</v>
      </c>
      <c r="N109" s="1">
        <v>1.29460191726684</v>
      </c>
      <c r="O109" s="1">
        <v>10.5556302212252</v>
      </c>
      <c r="P109" s="1">
        <v>0.14772605895996</v>
      </c>
      <c r="S109" s="1">
        <v>101.0</v>
      </c>
      <c r="T109" s="1">
        <v>0.0604653346876911</v>
      </c>
      <c r="U109" s="1">
        <v>0.198310058065054</v>
      </c>
      <c r="V109" s="5">
        <v>9.70253836385381E-7</v>
      </c>
      <c r="W109" s="1">
        <v>1.29460191726684</v>
      </c>
      <c r="X109" s="1">
        <v>1.294600947013</v>
      </c>
      <c r="Y109" s="1">
        <v>0.0910443365573883</v>
      </c>
      <c r="Z109" s="1">
        <v>0.569668889045715</v>
      </c>
      <c r="AA109" s="1">
        <v>0.774011611938476</v>
      </c>
      <c r="AB109" s="1">
        <v>10.5556302212252</v>
      </c>
      <c r="AC109" s="1">
        <v>4.15264530343119</v>
      </c>
      <c r="AD109" s="1">
        <v>0.14772605895996</v>
      </c>
      <c r="AE109" s="1">
        <v>0.703125</v>
      </c>
      <c r="AF109" s="1">
        <v>1.60511398315429</v>
      </c>
      <c r="AG109" s="1">
        <v>4.43181800842285</v>
      </c>
      <c r="AH109" s="1">
        <v>7.0</v>
      </c>
      <c r="AI109" s="1">
        <v>1.0</v>
      </c>
      <c r="AJ109" s="1">
        <v>0.0</v>
      </c>
      <c r="AK109" s="1">
        <v>0.0</v>
      </c>
      <c r="AL109" s="1">
        <v>0.0693069306930693</v>
      </c>
      <c r="AM109" s="1">
        <v>0.0099009900990099</v>
      </c>
      <c r="AN109" s="1">
        <v>0.0</v>
      </c>
      <c r="AO109" s="1">
        <v>0.0</v>
      </c>
      <c r="AP109" s="1">
        <v>0.0</v>
      </c>
      <c r="AQ109" s="1">
        <v>1.0</v>
      </c>
      <c r="AR109" s="1">
        <v>1.0</v>
      </c>
      <c r="AS109" s="1">
        <v>0.107654174141964</v>
      </c>
      <c r="AT109" s="1">
        <v>1.28922573151066</v>
      </c>
      <c r="AU109" s="1">
        <v>0.279882155268072</v>
      </c>
      <c r="AV109" s="1">
        <v>1.0</v>
      </c>
      <c r="AW109" s="1">
        <v>1.0</v>
      </c>
      <c r="AX109" s="1">
        <v>0.0</v>
      </c>
      <c r="AY109" s="1">
        <v>0.0</v>
      </c>
      <c r="AZ109" s="1">
        <v>1.0</v>
      </c>
      <c r="BA109" s="1">
        <v>15.0</v>
      </c>
      <c r="BB109" s="1">
        <v>339.0</v>
      </c>
      <c r="BC109" s="1">
        <v>353.0</v>
      </c>
      <c r="BD109" s="1" t="s">
        <v>108</v>
      </c>
    </row>
    <row r="110">
      <c r="A110" s="1" t="s">
        <v>1013</v>
      </c>
      <c r="B110" s="1" t="s">
        <v>70</v>
      </c>
      <c r="C110" s="1">
        <v>0.0</v>
      </c>
      <c r="D110" s="1" t="s">
        <v>71</v>
      </c>
      <c r="E110" s="1" t="b">
        <v>0</v>
      </c>
      <c r="F110" s="1" t="b">
        <v>1</v>
      </c>
      <c r="G110" s="1" t="s">
        <v>1016</v>
      </c>
      <c r="H110" s="1" t="s">
        <v>1017</v>
      </c>
      <c r="I110" s="1" t="s">
        <v>1018</v>
      </c>
      <c r="J110" s="1" t="s">
        <v>1019</v>
      </c>
      <c r="K110" s="1">
        <v>36.0</v>
      </c>
      <c r="L110" s="1">
        <v>2.46878843200011</v>
      </c>
      <c r="M110" s="1">
        <v>0.122429677336084</v>
      </c>
      <c r="N110" s="1">
        <v>0.777848243713378</v>
      </c>
      <c r="O110" s="1">
        <v>6.8615059322781</v>
      </c>
      <c r="P110" s="1">
        <v>0.3125</v>
      </c>
      <c r="Q110" s="1" t="s">
        <v>198</v>
      </c>
      <c r="R110" s="1" t="s">
        <v>247</v>
      </c>
      <c r="S110" s="1">
        <v>36.0</v>
      </c>
      <c r="T110" s="1">
        <v>0.122429677336084</v>
      </c>
      <c r="U110" s="1">
        <v>0.204338920699602</v>
      </c>
      <c r="V110" s="5">
        <v>5.0994745834032E-5</v>
      </c>
      <c r="W110" s="1">
        <v>0.777848243713378</v>
      </c>
      <c r="X110" s="1">
        <v>0.777797248967544</v>
      </c>
      <c r="Y110" s="1">
        <v>0.398483857512474</v>
      </c>
      <c r="Z110" s="1">
        <v>0.568347498774528</v>
      </c>
      <c r="AA110" s="1">
        <v>0.712225976586341</v>
      </c>
      <c r="AB110" s="1">
        <v>6.8615059322781</v>
      </c>
      <c r="AC110" s="1">
        <v>3.67388147649286</v>
      </c>
      <c r="AD110" s="1">
        <v>0.3125</v>
      </c>
      <c r="AE110" s="1">
        <v>0.544673538208007</v>
      </c>
      <c r="AF110" s="1">
        <v>1.56498479843139</v>
      </c>
      <c r="AG110" s="1">
        <v>1.96306800842285</v>
      </c>
      <c r="AH110" s="1">
        <v>3.0</v>
      </c>
      <c r="AI110" s="1">
        <v>0.0</v>
      </c>
      <c r="AJ110" s="1">
        <v>0.0</v>
      </c>
      <c r="AK110" s="1">
        <v>0.0</v>
      </c>
      <c r="AL110" s="1">
        <v>0.0833333333333333</v>
      </c>
      <c r="AM110" s="1">
        <v>0.0</v>
      </c>
      <c r="AN110" s="1">
        <v>0.0</v>
      </c>
      <c r="AO110" s="1">
        <v>0.0</v>
      </c>
      <c r="AP110" s="1">
        <v>0.0</v>
      </c>
      <c r="AQ110" s="1">
        <v>0.0</v>
      </c>
      <c r="AR110" s="1">
        <v>1.0</v>
      </c>
      <c r="AS110" s="1">
        <v>0.174286037607193</v>
      </c>
      <c r="AT110" s="1">
        <v>0.772733112797141</v>
      </c>
      <c r="AU110" s="1">
        <v>0.256791253895084</v>
      </c>
      <c r="AV110" s="1">
        <v>2.0</v>
      </c>
      <c r="AW110" s="1">
        <v>0.0</v>
      </c>
      <c r="AX110" s="1">
        <v>0.0</v>
      </c>
      <c r="AY110" s="1">
        <v>0.0</v>
      </c>
      <c r="AZ110" s="1">
        <v>0.0</v>
      </c>
      <c r="BA110" s="1">
        <v>2.0</v>
      </c>
      <c r="BB110" s="1">
        <v>103.0</v>
      </c>
      <c r="BC110" s="1">
        <v>117.0</v>
      </c>
      <c r="BD110" s="1" t="s">
        <v>204</v>
      </c>
    </row>
    <row r="111">
      <c r="A111" s="1" t="s">
        <v>1020</v>
      </c>
      <c r="B111" s="1" t="s">
        <v>70</v>
      </c>
      <c r="C111" s="1">
        <v>0.0</v>
      </c>
      <c r="D111" s="1" t="s">
        <v>71</v>
      </c>
      <c r="E111" s="1" t="b">
        <v>1</v>
      </c>
      <c r="F111" s="1" t="b">
        <v>0</v>
      </c>
      <c r="G111" s="1" t="s">
        <v>74</v>
      </c>
      <c r="H111" s="1" t="s">
        <v>1021</v>
      </c>
      <c r="I111" s="1" t="s">
        <v>1022</v>
      </c>
      <c r="J111" s="1" t="s">
        <v>1023</v>
      </c>
      <c r="K111" s="1">
        <v>89.0</v>
      </c>
      <c r="L111" s="1">
        <v>6.27301731899979</v>
      </c>
      <c r="M111" s="1">
        <v>0.143436210634018</v>
      </c>
      <c r="N111" s="1">
        <v>1.7022932767868</v>
      </c>
      <c r="O111" s="1">
        <v>8.32295425286453</v>
      </c>
      <c r="P111" s="1">
        <v>0.258522033691406</v>
      </c>
      <c r="S111" s="1">
        <v>89.0</v>
      </c>
      <c r="T111" s="1">
        <v>0.143436210634018</v>
      </c>
      <c r="U111" s="1">
        <v>0.295569867194091</v>
      </c>
      <c r="V111" s="5">
        <v>3.17079366141115E-6</v>
      </c>
      <c r="W111" s="1">
        <v>1.7022932767868</v>
      </c>
      <c r="X111" s="1">
        <v>1.70229010599314</v>
      </c>
      <c r="Y111" s="1">
        <v>0.494336700439453</v>
      </c>
      <c r="Z111" s="1">
        <v>0.700569128990173</v>
      </c>
      <c r="AA111" s="1">
        <v>1.11120860576629</v>
      </c>
      <c r="AB111" s="1">
        <v>8.32295425286453</v>
      </c>
      <c r="AC111" s="1">
        <v>4.51873645373903</v>
      </c>
      <c r="AD111" s="1">
        <v>0.258522033691406</v>
      </c>
      <c r="AE111" s="1">
        <v>0.273522491455078</v>
      </c>
      <c r="AF111" s="1">
        <v>0.898295593261718</v>
      </c>
      <c r="AG111" s="1">
        <v>1.85539855957031</v>
      </c>
      <c r="AH111" s="1">
        <v>9.0</v>
      </c>
      <c r="AI111" s="1">
        <v>3.0</v>
      </c>
      <c r="AJ111" s="1">
        <v>1.0</v>
      </c>
      <c r="AK111" s="1">
        <v>0.0</v>
      </c>
      <c r="AL111" s="1">
        <v>0.101123595505617</v>
      </c>
      <c r="AM111" s="1">
        <v>0.0337078651685393</v>
      </c>
      <c r="AN111" s="1">
        <v>0.0112359550561797</v>
      </c>
      <c r="AO111" s="1">
        <v>0.0</v>
      </c>
      <c r="AP111" s="1">
        <v>0.0</v>
      </c>
      <c r="AQ111" s="1">
        <v>0.0</v>
      </c>
      <c r="AR111" s="1">
        <v>2.0</v>
      </c>
      <c r="AS111" s="1">
        <v>0.240983527012169</v>
      </c>
      <c r="AT111" s="1">
        <v>1.68535948917269</v>
      </c>
      <c r="AU111" s="1">
        <v>0.418837144214381</v>
      </c>
      <c r="AV111" s="1">
        <v>2.0</v>
      </c>
      <c r="AW111" s="1">
        <v>1.0</v>
      </c>
      <c r="AX111" s="1">
        <v>1.0</v>
      </c>
      <c r="AY111" s="1">
        <v>0.0</v>
      </c>
      <c r="AZ111" s="1">
        <v>1.0</v>
      </c>
      <c r="BA111" s="1">
        <v>16.0</v>
      </c>
      <c r="BB111" s="1">
        <v>279.0</v>
      </c>
      <c r="BC111" s="1">
        <v>293.0</v>
      </c>
      <c r="BD111" s="1" t="s">
        <v>108</v>
      </c>
    </row>
    <row r="112">
      <c r="A112" s="1" t="s">
        <v>1026</v>
      </c>
      <c r="B112" s="1" t="s">
        <v>70</v>
      </c>
      <c r="C112" s="1">
        <v>0.0</v>
      </c>
      <c r="D112" s="1" t="s">
        <v>71</v>
      </c>
      <c r="E112" s="1" t="b">
        <v>1</v>
      </c>
      <c r="F112" s="1" t="b">
        <v>0</v>
      </c>
      <c r="G112" s="1" t="s">
        <v>74</v>
      </c>
      <c r="H112" s="1" t="s">
        <v>1028</v>
      </c>
      <c r="I112" s="1" t="s">
        <v>1029</v>
      </c>
      <c r="J112" s="1" t="s">
        <v>1030</v>
      </c>
      <c r="K112" s="1">
        <v>76.0</v>
      </c>
      <c r="L112" s="1">
        <v>5.20995554000001</v>
      </c>
      <c r="M112" s="1">
        <v>0.090298519071498</v>
      </c>
      <c r="N112" s="1">
        <v>0.827691674232482</v>
      </c>
      <c r="O112" s="1">
        <v>9.83147100398415</v>
      </c>
      <c r="P112" s="1">
        <v>0.164772033691406</v>
      </c>
      <c r="S112" s="1">
        <v>76.0</v>
      </c>
      <c r="T112" s="1">
        <v>0.0902985190714987</v>
      </c>
      <c r="U112" s="1">
        <v>0.20322624440622</v>
      </c>
      <c r="V112" s="5">
        <v>2.1517130335269E-6</v>
      </c>
      <c r="W112" s="1">
        <v>0.827691674232482</v>
      </c>
      <c r="X112" s="1">
        <v>0.827689522519449</v>
      </c>
      <c r="Y112" s="1">
        <v>0.472879827022552</v>
      </c>
      <c r="Z112" s="1">
        <v>0.588985115289688</v>
      </c>
      <c r="AA112" s="1">
        <v>0.779685944318771</v>
      </c>
      <c r="AB112" s="1">
        <v>9.83147100398415</v>
      </c>
      <c r="AC112" s="1">
        <v>4.74187850119548</v>
      </c>
      <c r="AD112" s="1">
        <v>0.164772033691406</v>
      </c>
      <c r="AE112" s="1">
        <v>0.193536758422851</v>
      </c>
      <c r="AF112" s="1">
        <v>1.18252897262573</v>
      </c>
      <c r="AG112" s="1">
        <v>1.86576747894287</v>
      </c>
      <c r="AH112" s="1">
        <v>7.0</v>
      </c>
      <c r="AI112" s="1">
        <v>0.0</v>
      </c>
      <c r="AJ112" s="1">
        <v>0.0</v>
      </c>
      <c r="AK112" s="1">
        <v>0.0</v>
      </c>
      <c r="AL112" s="1">
        <v>0.0921052631578947</v>
      </c>
      <c r="AM112" s="1">
        <v>0.0</v>
      </c>
      <c r="AN112" s="1">
        <v>0.0</v>
      </c>
      <c r="AO112" s="1">
        <v>0.0</v>
      </c>
      <c r="AP112" s="1">
        <v>0.0</v>
      </c>
      <c r="AQ112" s="1">
        <v>2.0</v>
      </c>
      <c r="AR112" s="1">
        <v>2.0</v>
      </c>
      <c r="AS112" s="1">
        <v>0.107470318083505</v>
      </c>
      <c r="AT112" s="1">
        <v>0.627308115363121</v>
      </c>
      <c r="AU112" s="1">
        <v>0.216865313077966</v>
      </c>
      <c r="AV112" s="1">
        <v>2.0</v>
      </c>
      <c r="AW112" s="1">
        <v>0.0</v>
      </c>
      <c r="AX112" s="1">
        <v>0.0</v>
      </c>
      <c r="AY112" s="1">
        <v>0.0</v>
      </c>
      <c r="AZ112" s="1">
        <v>0.0</v>
      </c>
      <c r="BA112" s="1">
        <v>4.0</v>
      </c>
      <c r="BB112" s="1">
        <v>198.0</v>
      </c>
      <c r="BC112" s="1">
        <v>212.0</v>
      </c>
      <c r="BD112" s="1" t="s">
        <v>108</v>
      </c>
    </row>
    <row r="113">
      <c r="A113" s="1" t="s">
        <v>1035</v>
      </c>
      <c r="B113" s="1" t="s">
        <v>70</v>
      </c>
      <c r="C113" s="1">
        <v>0.0</v>
      </c>
      <c r="D113" s="1" t="s">
        <v>71</v>
      </c>
      <c r="E113" s="1" t="b">
        <v>1</v>
      </c>
      <c r="F113" s="1" t="b">
        <v>0</v>
      </c>
      <c r="G113" s="1" t="s">
        <v>74</v>
      </c>
      <c r="H113" s="1" t="s">
        <v>1036</v>
      </c>
      <c r="I113" s="1" t="s">
        <v>1037</v>
      </c>
      <c r="J113" s="1" t="s">
        <v>1038</v>
      </c>
      <c r="K113" s="1">
        <v>63.0</v>
      </c>
      <c r="L113" s="1">
        <v>4.26490966699975</v>
      </c>
      <c r="M113" s="1">
        <v>0.098510025653655</v>
      </c>
      <c r="N113" s="1">
        <v>1.24427962303161</v>
      </c>
      <c r="O113" s="1">
        <v>8.90276681809198</v>
      </c>
      <c r="P113" s="1">
        <v>0.46875</v>
      </c>
      <c r="S113" s="1">
        <v>63.0</v>
      </c>
      <c r="T113" s="1">
        <v>0.0985100256536555</v>
      </c>
      <c r="U113" s="1">
        <v>0.24485413328342</v>
      </c>
      <c r="V113" s="5">
        <v>5.77221408093464E-6</v>
      </c>
      <c r="W113" s="1">
        <v>1.24427962303161</v>
      </c>
      <c r="X113" s="1">
        <v>1.24427385081753</v>
      </c>
      <c r="Y113" s="1">
        <v>0.361121118068695</v>
      </c>
      <c r="Z113" s="1">
        <v>0.65518085360527</v>
      </c>
      <c r="AA113" s="1">
        <v>1.01092677831649</v>
      </c>
      <c r="AB113" s="1">
        <v>8.90276681809198</v>
      </c>
      <c r="AC113" s="1">
        <v>4.25442053548902</v>
      </c>
      <c r="AD113" s="1">
        <v>0.46875</v>
      </c>
      <c r="AE113" s="1">
        <v>0.583237991333007</v>
      </c>
      <c r="AF113" s="1">
        <v>1.41377830505371</v>
      </c>
      <c r="AG113" s="1">
        <v>2.29431838989257</v>
      </c>
      <c r="AH113" s="1">
        <v>5.0</v>
      </c>
      <c r="AI113" s="1">
        <v>1.0</v>
      </c>
      <c r="AJ113" s="1">
        <v>0.0</v>
      </c>
      <c r="AK113" s="1">
        <v>0.0</v>
      </c>
      <c r="AL113" s="1">
        <v>0.0793650793650793</v>
      </c>
      <c r="AM113" s="1">
        <v>0.0158730158730158</v>
      </c>
      <c r="AN113" s="1">
        <v>0.0</v>
      </c>
      <c r="AO113" s="1">
        <v>0.0</v>
      </c>
      <c r="AP113" s="1">
        <v>0.0</v>
      </c>
      <c r="AQ113" s="1">
        <v>0.0</v>
      </c>
      <c r="AR113" s="1">
        <v>1.0</v>
      </c>
      <c r="AS113" s="1">
        <v>0.169774480588623</v>
      </c>
      <c r="AT113" s="1">
        <v>1.24427385081753</v>
      </c>
      <c r="AU113" s="1">
        <v>0.34861749732578</v>
      </c>
      <c r="AV113" s="1">
        <v>1.0</v>
      </c>
      <c r="AW113" s="1">
        <v>1.0</v>
      </c>
      <c r="AX113" s="1">
        <v>0.0</v>
      </c>
      <c r="AY113" s="1">
        <v>0.0</v>
      </c>
      <c r="AZ113" s="1">
        <v>1.0</v>
      </c>
      <c r="BA113" s="1">
        <v>9.0</v>
      </c>
      <c r="BB113" s="1">
        <v>261.0</v>
      </c>
      <c r="BC113" s="1">
        <v>275.0</v>
      </c>
      <c r="BD113" s="1" t="s">
        <v>108</v>
      </c>
    </row>
    <row r="114">
      <c r="A114" s="1" t="s">
        <v>1039</v>
      </c>
      <c r="B114" s="1" t="s">
        <v>70</v>
      </c>
      <c r="C114" s="1">
        <v>0.0</v>
      </c>
      <c r="D114" s="1" t="s">
        <v>71</v>
      </c>
      <c r="E114" s="1" t="b">
        <v>1</v>
      </c>
      <c r="F114" s="1" t="b">
        <v>0</v>
      </c>
      <c r="G114" s="1" t="s">
        <v>74</v>
      </c>
      <c r="H114" s="1" t="s">
        <v>1040</v>
      </c>
      <c r="I114" s="1" t="s">
        <v>1041</v>
      </c>
      <c r="J114" s="1" t="s">
        <v>1042</v>
      </c>
      <c r="K114" s="1">
        <v>40.0</v>
      </c>
      <c r="L114" s="1">
        <v>2.75333156399983</v>
      </c>
      <c r="M114" s="1">
        <v>0.1213796419363</v>
      </c>
      <c r="N114" s="1">
        <v>1.29774260520935</v>
      </c>
      <c r="O114" s="1">
        <v>8.47800111770629</v>
      </c>
      <c r="P114" s="1">
        <v>0.923294067382812</v>
      </c>
      <c r="S114" s="1">
        <v>40.0</v>
      </c>
      <c r="T114" s="1">
        <v>0.1213796419363</v>
      </c>
      <c r="U114" s="1">
        <v>0.289755542440061</v>
      </c>
      <c r="V114" s="5">
        <v>2.31161538977175E-6</v>
      </c>
      <c r="W114" s="1">
        <v>1.29774260520935</v>
      </c>
      <c r="X114" s="1">
        <v>1.29774029359396</v>
      </c>
      <c r="Y114" s="1">
        <v>0.660945904254913</v>
      </c>
      <c r="Z114" s="1">
        <v>0.744997704029083</v>
      </c>
      <c r="AA114" s="1">
        <v>1.10183676242828</v>
      </c>
      <c r="AB114" s="1">
        <v>8.47800111770629</v>
      </c>
      <c r="AC114" s="1">
        <v>4.34004159630626</v>
      </c>
      <c r="AD114" s="1">
        <v>0.923294067382812</v>
      </c>
      <c r="AE114" s="1">
        <v>0.949331607818603</v>
      </c>
      <c r="AF114" s="1">
        <v>1.02919034957885</v>
      </c>
      <c r="AG114" s="1">
        <v>1.52059688568115</v>
      </c>
      <c r="AH114" s="1">
        <v>5.0</v>
      </c>
      <c r="AI114" s="1">
        <v>1.0</v>
      </c>
      <c r="AJ114" s="1">
        <v>0.0</v>
      </c>
      <c r="AK114" s="1">
        <v>0.0</v>
      </c>
      <c r="AL114" s="1">
        <v>0.125</v>
      </c>
      <c r="AM114" s="1">
        <v>0.025</v>
      </c>
      <c r="AN114" s="1">
        <v>0.0</v>
      </c>
      <c r="AO114" s="1">
        <v>0.0</v>
      </c>
      <c r="AP114" s="1">
        <v>0.0</v>
      </c>
      <c r="AQ114" s="1">
        <v>0.0</v>
      </c>
      <c r="AR114" s="1">
        <v>0.0</v>
      </c>
      <c r="AS114" s="1">
        <v>0.211899339792207</v>
      </c>
      <c r="AT114" s="1">
        <v>1.29772223653708</v>
      </c>
      <c r="AU114" s="1">
        <v>0.41160058171767</v>
      </c>
      <c r="AV114" s="1">
        <v>1.0</v>
      </c>
      <c r="AW114" s="1">
        <v>1.0</v>
      </c>
      <c r="AX114" s="1">
        <v>0.0</v>
      </c>
      <c r="AY114" s="1">
        <v>0.0</v>
      </c>
      <c r="AZ114" s="1">
        <v>1.0</v>
      </c>
      <c r="BA114" s="1">
        <v>3.0</v>
      </c>
      <c r="BB114" s="1">
        <v>129.0</v>
      </c>
      <c r="BC114" s="1">
        <v>143.0</v>
      </c>
      <c r="BD114" s="1" t="s">
        <v>108</v>
      </c>
    </row>
    <row r="115">
      <c r="A115" s="1" t="s">
        <v>1046</v>
      </c>
      <c r="B115" s="1" t="s">
        <v>70</v>
      </c>
      <c r="C115" s="1">
        <v>0.0</v>
      </c>
      <c r="D115" s="1" t="s">
        <v>71</v>
      </c>
      <c r="E115" s="1" t="b">
        <v>1</v>
      </c>
      <c r="F115" s="1" t="b">
        <v>0</v>
      </c>
      <c r="G115" s="1" t="s">
        <v>74</v>
      </c>
      <c r="H115" s="1" t="s">
        <v>1047</v>
      </c>
      <c r="I115" s="1" t="s">
        <v>1049</v>
      </c>
      <c r="J115" s="1" t="s">
        <v>1051</v>
      </c>
      <c r="K115" s="1">
        <v>110.0</v>
      </c>
      <c r="L115" s="1">
        <v>7.46894556300003</v>
      </c>
      <c r="M115" s="1">
        <v>0.045401017879459</v>
      </c>
      <c r="N115" s="1">
        <v>0.878011643886566</v>
      </c>
      <c r="O115" s="1">
        <v>9.95641183853149</v>
      </c>
      <c r="P115" s="1">
        <v>0.585227966308593</v>
      </c>
      <c r="S115" s="1">
        <v>110.0</v>
      </c>
      <c r="T115" s="1">
        <v>0.0454010178794595</v>
      </c>
      <c r="U115" s="1">
        <v>0.151520927063281</v>
      </c>
      <c r="V115" s="5">
        <v>9.03179397937492E-7</v>
      </c>
      <c r="W115" s="1">
        <v>0.878011643886566</v>
      </c>
      <c r="X115" s="1">
        <v>0.878010740707168</v>
      </c>
      <c r="Y115" s="1">
        <v>0.0361895885318519</v>
      </c>
      <c r="Z115" s="1">
        <v>0.398943822085857</v>
      </c>
      <c r="AA115" s="1">
        <v>0.780256202220916</v>
      </c>
      <c r="AB115" s="1">
        <v>9.95641183853149</v>
      </c>
      <c r="AC115" s="1">
        <v>3.48811098771209</v>
      </c>
      <c r="AD115" s="1">
        <v>0.585227966308593</v>
      </c>
      <c r="AE115" s="1">
        <v>1.66080997467041</v>
      </c>
      <c r="AF115" s="1">
        <v>1.9640625</v>
      </c>
      <c r="AG115" s="1">
        <v>5.91690444946289</v>
      </c>
      <c r="AH115" s="1">
        <v>4.0</v>
      </c>
      <c r="AI115" s="1">
        <v>0.0</v>
      </c>
      <c r="AJ115" s="1">
        <v>0.0</v>
      </c>
      <c r="AK115" s="1">
        <v>0.0</v>
      </c>
      <c r="AL115" s="1">
        <v>0.0363636363636363</v>
      </c>
      <c r="AM115" s="1">
        <v>0.0</v>
      </c>
      <c r="AN115" s="1">
        <v>0.0</v>
      </c>
      <c r="AO115" s="1">
        <v>0.0</v>
      </c>
      <c r="AP115" s="1">
        <v>0.0</v>
      </c>
      <c r="AQ115" s="1">
        <v>0.0</v>
      </c>
      <c r="AR115" s="1">
        <v>0.0</v>
      </c>
      <c r="AS115" s="1">
        <v>0.0717598953543704</v>
      </c>
      <c r="AT115" s="1">
        <v>0.874402956338599</v>
      </c>
      <c r="AU115" s="1">
        <v>0.201528713583363</v>
      </c>
      <c r="AV115" s="1">
        <v>1.0</v>
      </c>
      <c r="AW115" s="1">
        <v>0.0</v>
      </c>
      <c r="AX115" s="1">
        <v>0.0</v>
      </c>
      <c r="AY115" s="1">
        <v>0.0</v>
      </c>
      <c r="AZ115" s="1">
        <v>0.0</v>
      </c>
      <c r="BA115" s="1">
        <v>2.0</v>
      </c>
      <c r="BB115" s="1">
        <v>277.0</v>
      </c>
      <c r="BC115" s="1">
        <v>291.0</v>
      </c>
      <c r="BD115" s="1" t="s">
        <v>108</v>
      </c>
    </row>
    <row r="116">
      <c r="A116" s="1" t="s">
        <v>1055</v>
      </c>
      <c r="B116" s="1" t="s">
        <v>70</v>
      </c>
      <c r="C116" s="1">
        <v>0.0</v>
      </c>
      <c r="D116" s="1" t="s">
        <v>71</v>
      </c>
      <c r="E116" s="1" t="b">
        <v>1</v>
      </c>
      <c r="F116" s="1" t="b">
        <v>0</v>
      </c>
      <c r="G116" s="1" t="s">
        <v>74</v>
      </c>
      <c r="H116" s="1" t="s">
        <v>1056</v>
      </c>
      <c r="I116" s="1" t="s">
        <v>1057</v>
      </c>
      <c r="J116" s="1" t="s">
        <v>1058</v>
      </c>
      <c r="K116" s="1">
        <v>61.0</v>
      </c>
      <c r="L116" s="1">
        <v>4.0499903079999</v>
      </c>
      <c r="M116" s="1">
        <v>0.06006876674747</v>
      </c>
      <c r="N116" s="1">
        <v>0.794737815856933</v>
      </c>
      <c r="O116" s="1">
        <v>9.95758483448966</v>
      </c>
      <c r="P116" s="1">
        <v>0.535512924194335</v>
      </c>
      <c r="S116" s="1">
        <v>61.0</v>
      </c>
      <c r="T116" s="1">
        <v>0.0600687667474703</v>
      </c>
      <c r="U116" s="1">
        <v>0.177902174065413</v>
      </c>
      <c r="V116" s="5">
        <v>2.15445638218625E-7</v>
      </c>
      <c r="W116" s="1">
        <v>0.794737815856933</v>
      </c>
      <c r="X116" s="1">
        <v>0.794737600411295</v>
      </c>
      <c r="Y116" s="1">
        <v>0.0933131650090217</v>
      </c>
      <c r="Z116" s="1">
        <v>0.515167117118835</v>
      </c>
      <c r="AA116" s="1">
        <v>0.772373270988464</v>
      </c>
      <c r="AB116" s="1">
        <v>9.95758483448966</v>
      </c>
      <c r="AC116" s="1">
        <v>4.07280120146815</v>
      </c>
      <c r="AD116" s="1">
        <v>0.535512924194335</v>
      </c>
      <c r="AE116" s="1">
        <v>1.03409194946289</v>
      </c>
      <c r="AF116" s="1">
        <v>2.2428970336914</v>
      </c>
      <c r="AG116" s="1">
        <v>3.99715995788574</v>
      </c>
      <c r="AH116" s="1">
        <v>4.0</v>
      </c>
      <c r="AI116" s="1">
        <v>0.0</v>
      </c>
      <c r="AJ116" s="1">
        <v>0.0</v>
      </c>
      <c r="AK116" s="1">
        <v>0.0</v>
      </c>
      <c r="AL116" s="1">
        <v>0.0655737704918032</v>
      </c>
      <c r="AM116" s="1">
        <v>0.0</v>
      </c>
      <c r="AN116" s="1">
        <v>0.0</v>
      </c>
      <c r="AO116" s="1">
        <v>0.0</v>
      </c>
      <c r="AP116" s="1">
        <v>0.0</v>
      </c>
      <c r="AQ116" s="1">
        <v>0.0</v>
      </c>
      <c r="AR116" s="1">
        <v>0.0</v>
      </c>
      <c r="AS116" s="1">
        <v>0.109221554395678</v>
      </c>
      <c r="AT116" s="1">
        <v>0.789659251458942</v>
      </c>
      <c r="AU116" s="1">
        <v>0.253682865217261</v>
      </c>
      <c r="AV116" s="1">
        <v>1.0</v>
      </c>
      <c r="AW116" s="1">
        <v>0.0</v>
      </c>
      <c r="AX116" s="1">
        <v>0.0</v>
      </c>
      <c r="AY116" s="1">
        <v>0.0</v>
      </c>
      <c r="AZ116" s="1">
        <v>0.0</v>
      </c>
      <c r="BA116" s="1">
        <v>7.0</v>
      </c>
      <c r="BB116" s="1">
        <v>206.0</v>
      </c>
      <c r="BC116" s="1">
        <v>220.0</v>
      </c>
      <c r="BD116" s="1" t="s">
        <v>108</v>
      </c>
    </row>
    <row r="117">
      <c r="A117" s="1" t="s">
        <v>1059</v>
      </c>
      <c r="B117" s="1" t="s">
        <v>70</v>
      </c>
      <c r="C117" s="1">
        <v>0.0</v>
      </c>
      <c r="D117" s="1" t="s">
        <v>71</v>
      </c>
      <c r="E117" s="1" t="b">
        <v>1</v>
      </c>
      <c r="F117" s="1" t="b">
        <v>0</v>
      </c>
      <c r="G117" s="1" t="s">
        <v>74</v>
      </c>
      <c r="H117" s="1" t="s">
        <v>1060</v>
      </c>
      <c r="I117" s="1" t="s">
        <v>1062</v>
      </c>
      <c r="J117" s="1" t="s">
        <v>1063</v>
      </c>
      <c r="K117" s="1">
        <v>28.0</v>
      </c>
      <c r="L117" s="1">
        <v>2.12993965600026</v>
      </c>
      <c r="M117" s="1">
        <v>0.121897670588623</v>
      </c>
      <c r="N117" s="1">
        <v>1.00581991672515</v>
      </c>
      <c r="O117" s="1">
        <v>7.5689685004098</v>
      </c>
      <c r="P117" s="1">
        <v>0.859375</v>
      </c>
      <c r="S117" s="1">
        <v>28.0</v>
      </c>
      <c r="T117" s="1">
        <v>0.121897670588623</v>
      </c>
      <c r="U117" s="1">
        <v>0.258771154542567</v>
      </c>
      <c r="V117" s="5">
        <v>3.96016512240748E-5</v>
      </c>
      <c r="W117" s="1">
        <v>1.00581991672515</v>
      </c>
      <c r="X117" s="1">
        <v>1.00578031507393</v>
      </c>
      <c r="Y117" s="1">
        <v>0.427750998735427</v>
      </c>
      <c r="Z117" s="1">
        <v>0.726178374886512</v>
      </c>
      <c r="AA117" s="1">
        <v>0.962846164703369</v>
      </c>
      <c r="AB117" s="1">
        <v>7.5689685004098</v>
      </c>
      <c r="AC117" s="1">
        <v>3.82068571982633</v>
      </c>
      <c r="AD117" s="1">
        <v>0.859375</v>
      </c>
      <c r="AE117" s="1">
        <v>1.08603702545166</v>
      </c>
      <c r="AF117" s="1">
        <v>1.88977289199829</v>
      </c>
      <c r="AG117" s="1">
        <v>2.42329540252685</v>
      </c>
      <c r="AH117" s="1">
        <v>3.0</v>
      </c>
      <c r="AI117" s="1">
        <v>1.0</v>
      </c>
      <c r="AJ117" s="1">
        <v>0.0</v>
      </c>
      <c r="AK117" s="1">
        <v>0.0</v>
      </c>
      <c r="AL117" s="1">
        <v>0.107142857142857</v>
      </c>
      <c r="AM117" s="1">
        <v>0.0357142857142857</v>
      </c>
      <c r="AN117" s="1">
        <v>0.0</v>
      </c>
      <c r="AO117" s="1">
        <v>0.0</v>
      </c>
      <c r="AP117" s="1">
        <v>0.0</v>
      </c>
      <c r="AQ117" s="1">
        <v>0.0</v>
      </c>
      <c r="AR117" s="1">
        <v>0.0</v>
      </c>
      <c r="AS117" s="1">
        <v>0.210031503672157</v>
      </c>
      <c r="AT117" s="1">
        <v>1.00098215043544</v>
      </c>
      <c r="AU117" s="1">
        <v>0.376762999981078</v>
      </c>
      <c r="AV117" s="1">
        <v>1.0</v>
      </c>
      <c r="AW117" s="1">
        <v>1.0</v>
      </c>
      <c r="AX117" s="1">
        <v>0.0</v>
      </c>
      <c r="AY117" s="1">
        <v>0.0</v>
      </c>
      <c r="AZ117" s="1">
        <v>1.0</v>
      </c>
      <c r="BA117" s="1">
        <v>2.0</v>
      </c>
      <c r="BB117" s="1">
        <v>92.0</v>
      </c>
      <c r="BC117" s="1">
        <v>106.0</v>
      </c>
      <c r="BD117" s="1" t="s">
        <v>108</v>
      </c>
    </row>
    <row r="118">
      <c r="A118" s="1" t="s">
        <v>1067</v>
      </c>
      <c r="B118" s="1" t="s">
        <v>70</v>
      </c>
      <c r="C118" s="1">
        <v>0.0</v>
      </c>
      <c r="D118" s="1" t="s">
        <v>71</v>
      </c>
      <c r="E118" s="1" t="b">
        <v>1</v>
      </c>
      <c r="F118" s="1" t="b">
        <v>0</v>
      </c>
      <c r="G118" s="1" t="s">
        <v>74</v>
      </c>
      <c r="H118" s="1" t="s">
        <v>1068</v>
      </c>
      <c r="I118" s="1" t="s">
        <v>1069</v>
      </c>
      <c r="J118" s="1" t="s">
        <v>1071</v>
      </c>
      <c r="K118" s="1">
        <v>29.0</v>
      </c>
      <c r="L118" s="1">
        <v>2.02194898600009</v>
      </c>
      <c r="M118" s="1">
        <v>0.073838814889188</v>
      </c>
      <c r="N118" s="1">
        <v>0.985436975955963</v>
      </c>
      <c r="O118" s="1">
        <v>7.74892280841695</v>
      </c>
      <c r="P118" s="1">
        <v>0.636363983154296</v>
      </c>
      <c r="S118" s="1">
        <v>29.0</v>
      </c>
      <c r="T118" s="1">
        <v>0.0738388148891882</v>
      </c>
      <c r="U118" s="1">
        <v>0.197839689878294</v>
      </c>
      <c r="V118" s="5">
        <v>5.90195377299096E-5</v>
      </c>
      <c r="W118" s="1">
        <v>0.985436975955963</v>
      </c>
      <c r="X118" s="1">
        <v>0.985377956418233</v>
      </c>
      <c r="Y118" s="1">
        <v>0.150499722361564</v>
      </c>
      <c r="Z118" s="1">
        <v>0.344239503145217</v>
      </c>
      <c r="AA118" s="1">
        <v>0.835445091724395</v>
      </c>
      <c r="AB118" s="1">
        <v>7.74892280841695</v>
      </c>
      <c r="AC118" s="1">
        <v>3.13058233096362</v>
      </c>
      <c r="AD118" s="1">
        <v>0.636363983154296</v>
      </c>
      <c r="AE118" s="1">
        <v>1.0762506866455</v>
      </c>
      <c r="AF118" s="1">
        <v>2.5619327545166</v>
      </c>
      <c r="AG118" s="1">
        <v>3.49602355957031</v>
      </c>
      <c r="AH118" s="1">
        <v>1.0</v>
      </c>
      <c r="AI118" s="1">
        <v>0.0</v>
      </c>
      <c r="AJ118" s="1">
        <v>0.0</v>
      </c>
      <c r="AK118" s="1">
        <v>0.0</v>
      </c>
      <c r="AL118" s="1">
        <v>0.0344827586206896</v>
      </c>
      <c r="AM118" s="1">
        <v>0.0</v>
      </c>
      <c r="AN118" s="1">
        <v>0.0</v>
      </c>
      <c r="AO118" s="1">
        <v>0.0</v>
      </c>
      <c r="AP118" s="1">
        <v>0.0</v>
      </c>
      <c r="AQ118" s="1">
        <v>0.0</v>
      </c>
      <c r="AR118" s="1">
        <v>0.0</v>
      </c>
      <c r="AS118" s="1">
        <v>0.101331807985064</v>
      </c>
      <c r="AT118" s="1">
        <v>0.981399618089199</v>
      </c>
      <c r="AU118" s="1">
        <v>0.22011542363589</v>
      </c>
      <c r="AV118" s="1">
        <v>1.0</v>
      </c>
      <c r="AW118" s="1">
        <v>0.0</v>
      </c>
      <c r="AX118" s="1">
        <v>0.0</v>
      </c>
      <c r="AY118" s="1">
        <v>0.0</v>
      </c>
      <c r="AZ118" s="1">
        <v>0.0</v>
      </c>
      <c r="BA118" s="1">
        <v>2.0</v>
      </c>
      <c r="BB118" s="1">
        <v>81.0</v>
      </c>
      <c r="BC118" s="1">
        <v>95.0</v>
      </c>
      <c r="BD118" s="1" t="s">
        <v>108</v>
      </c>
    </row>
    <row r="119">
      <c r="A119" s="1" t="s">
        <v>1074</v>
      </c>
      <c r="B119" s="1" t="s">
        <v>70</v>
      </c>
      <c r="C119" s="1">
        <v>0.0</v>
      </c>
      <c r="D119" s="1" t="s">
        <v>71</v>
      </c>
      <c r="E119" s="1" t="b">
        <v>1</v>
      </c>
      <c r="F119" s="1" t="b">
        <v>0</v>
      </c>
      <c r="G119" s="1" t="s">
        <v>74</v>
      </c>
      <c r="H119" s="1" t="s">
        <v>1075</v>
      </c>
      <c r="I119" s="1" t="s">
        <v>1076</v>
      </c>
      <c r="J119" s="1" t="s">
        <v>1077</v>
      </c>
      <c r="K119" s="1">
        <v>78.0</v>
      </c>
      <c r="L119" s="1">
        <v>5.32137671400005</v>
      </c>
      <c r="M119" s="1">
        <v>0.110555764007061</v>
      </c>
      <c r="N119" s="1">
        <v>1.44310498237609</v>
      </c>
      <c r="O119" s="1">
        <v>8.55073610941569</v>
      </c>
      <c r="P119" s="1">
        <v>0.078125</v>
      </c>
      <c r="S119" s="1">
        <v>78.0</v>
      </c>
      <c r="T119" s="1">
        <v>0.110555764007061</v>
      </c>
      <c r="U119" s="1">
        <v>0.253499881635713</v>
      </c>
      <c r="V119" s="5">
        <v>1.11785184344626E-5</v>
      </c>
      <c r="W119" s="1">
        <v>1.44310498237609</v>
      </c>
      <c r="X119" s="1">
        <v>1.44309380385766</v>
      </c>
      <c r="Y119" s="1">
        <v>0.548266148567199</v>
      </c>
      <c r="Z119" s="1">
        <v>0.685370361804962</v>
      </c>
      <c r="AA119" s="1">
        <v>0.885242460370066</v>
      </c>
      <c r="AB119" s="1">
        <v>8.55073610941569</v>
      </c>
      <c r="AC119" s="1">
        <v>4.07403773296298</v>
      </c>
      <c r="AD119" s="1">
        <v>0.078125</v>
      </c>
      <c r="AE119" s="1">
        <v>0.25859375</v>
      </c>
      <c r="AF119" s="1">
        <v>1.19659128189086</v>
      </c>
      <c r="AG119" s="1">
        <v>2.32883529663085</v>
      </c>
      <c r="AH119" s="1">
        <v>9.0</v>
      </c>
      <c r="AI119" s="1">
        <v>1.0</v>
      </c>
      <c r="AJ119" s="1">
        <v>0.0</v>
      </c>
      <c r="AK119" s="1">
        <v>0.0</v>
      </c>
      <c r="AL119" s="1">
        <v>0.115384615384615</v>
      </c>
      <c r="AM119" s="1">
        <v>0.0128205128205128</v>
      </c>
      <c r="AN119" s="1">
        <v>0.0</v>
      </c>
      <c r="AO119" s="1">
        <v>0.0</v>
      </c>
      <c r="AP119" s="1">
        <v>1.0</v>
      </c>
      <c r="AQ119" s="1">
        <v>1.0</v>
      </c>
      <c r="AR119" s="1">
        <v>3.0</v>
      </c>
      <c r="AS119" s="1">
        <v>0.183789579678473</v>
      </c>
      <c r="AT119" s="1">
        <v>1.43843172350898</v>
      </c>
      <c r="AU119" s="1">
        <v>0.362357627032165</v>
      </c>
      <c r="AV119" s="1">
        <v>2.0</v>
      </c>
      <c r="AW119" s="1">
        <v>1.0</v>
      </c>
      <c r="AX119" s="1">
        <v>0.0</v>
      </c>
      <c r="AY119" s="1">
        <v>0.0</v>
      </c>
      <c r="AZ119" s="1">
        <v>1.0</v>
      </c>
      <c r="BA119" s="1">
        <v>13.0</v>
      </c>
      <c r="BB119" s="1">
        <v>292.0</v>
      </c>
      <c r="BC119" s="1">
        <v>306.0</v>
      </c>
      <c r="BD119" s="1" t="s">
        <v>108</v>
      </c>
    </row>
    <row r="120">
      <c r="A120" s="1" t="s">
        <v>1078</v>
      </c>
      <c r="B120" s="1" t="s">
        <v>70</v>
      </c>
      <c r="C120" s="1">
        <v>0.0</v>
      </c>
      <c r="D120" s="1" t="s">
        <v>71</v>
      </c>
      <c r="E120" s="1" t="b">
        <v>1</v>
      </c>
      <c r="F120" s="1" t="b">
        <v>0</v>
      </c>
      <c r="G120" s="1" t="s">
        <v>74</v>
      </c>
      <c r="H120" s="1" t="s">
        <v>1081</v>
      </c>
      <c r="I120" s="1" t="s">
        <v>1082</v>
      </c>
      <c r="J120" s="1" t="s">
        <v>1083</v>
      </c>
      <c r="K120" s="1">
        <v>75.0</v>
      </c>
      <c r="L120" s="1">
        <v>5.06708806899996</v>
      </c>
      <c r="M120" s="1">
        <v>0.054192611767956</v>
      </c>
      <c r="N120" s="1">
        <v>1.08019697666168</v>
      </c>
      <c r="O120" s="1">
        <v>9.95316324869791</v>
      </c>
      <c r="P120" s="1">
        <v>1.59375</v>
      </c>
      <c r="S120" s="1">
        <v>75.0</v>
      </c>
      <c r="T120" s="1">
        <v>0.0541926117679562</v>
      </c>
      <c r="U120" s="1">
        <v>0.167984388290576</v>
      </c>
      <c r="V120" s="5">
        <v>1.2311196542214E-6</v>
      </c>
      <c r="W120" s="1">
        <v>1.08019697666168</v>
      </c>
      <c r="X120" s="1">
        <v>1.08019574554202</v>
      </c>
      <c r="Y120" s="1">
        <v>0.135833114385605</v>
      </c>
      <c r="Z120" s="1">
        <v>0.36042023897171</v>
      </c>
      <c r="AA120" s="1">
        <v>0.808348153829576</v>
      </c>
      <c r="AB120" s="1">
        <v>9.95316324869791</v>
      </c>
      <c r="AC120" s="1">
        <v>3.92113621102829</v>
      </c>
      <c r="AD120" s="1">
        <v>1.59375</v>
      </c>
      <c r="AE120" s="1">
        <v>1.7325</v>
      </c>
      <c r="AF120" s="1">
        <v>2.4015625</v>
      </c>
      <c r="AG120" s="1">
        <v>3.9875</v>
      </c>
      <c r="AH120" s="1">
        <v>2.0</v>
      </c>
      <c r="AI120" s="1">
        <v>1.0</v>
      </c>
      <c r="AJ120" s="1">
        <v>0.0</v>
      </c>
      <c r="AK120" s="1">
        <v>0.0</v>
      </c>
      <c r="AL120" s="1">
        <v>0.0266666666666666</v>
      </c>
      <c r="AM120" s="1">
        <v>0.0133333333333333</v>
      </c>
      <c r="AN120" s="1">
        <v>0.0</v>
      </c>
      <c r="AO120" s="1">
        <v>0.0</v>
      </c>
      <c r="AP120" s="1">
        <v>0.0</v>
      </c>
      <c r="AQ120" s="1">
        <v>0.0</v>
      </c>
      <c r="AR120" s="1">
        <v>0.0</v>
      </c>
      <c r="AS120" s="1">
        <v>0.0901916228676198</v>
      </c>
      <c r="AT120" s="1">
        <v>1.07943857618374</v>
      </c>
      <c r="AU120" s="1">
        <v>0.227563449612966</v>
      </c>
      <c r="AV120" s="1">
        <v>1.0</v>
      </c>
      <c r="AW120" s="1">
        <v>1.0</v>
      </c>
      <c r="AX120" s="1">
        <v>0.0</v>
      </c>
      <c r="AY120" s="1">
        <v>0.0</v>
      </c>
      <c r="AZ120" s="1">
        <v>1.0</v>
      </c>
      <c r="BA120" s="1">
        <v>6.0</v>
      </c>
      <c r="BB120" s="1">
        <v>223.0</v>
      </c>
      <c r="BC120" s="1">
        <v>237.0</v>
      </c>
      <c r="BD120" s="1" t="s">
        <v>108</v>
      </c>
    </row>
    <row r="121">
      <c r="A121" s="1" t="s">
        <v>1085</v>
      </c>
      <c r="B121" s="1" t="s">
        <v>70</v>
      </c>
      <c r="C121" s="1">
        <v>0.0</v>
      </c>
      <c r="D121" s="1" t="s">
        <v>71</v>
      </c>
      <c r="E121" s="1" t="b">
        <v>1</v>
      </c>
      <c r="F121" s="1" t="b">
        <v>0</v>
      </c>
      <c r="G121" s="1" t="s">
        <v>74</v>
      </c>
      <c r="H121" s="1" t="s">
        <v>1087</v>
      </c>
      <c r="I121" s="1" t="s">
        <v>1089</v>
      </c>
      <c r="J121" s="1" t="s">
        <v>1090</v>
      </c>
      <c r="K121" s="1">
        <v>121.0</v>
      </c>
      <c r="L121" s="1">
        <v>8.19454085300003</v>
      </c>
      <c r="M121" s="1">
        <v>0.058457900573237</v>
      </c>
      <c r="N121" s="1">
        <v>1.84457325935363</v>
      </c>
      <c r="O121" s="1">
        <v>10.9585724743929</v>
      </c>
      <c r="P121" s="1">
        <v>0.109375</v>
      </c>
      <c r="S121" s="1">
        <v>121.0</v>
      </c>
      <c r="T121" s="1">
        <v>0.0584579005732375</v>
      </c>
      <c r="U121" s="1">
        <v>0.228840072751898</v>
      </c>
      <c r="V121" s="5">
        <v>5.30022248312889E-8</v>
      </c>
      <c r="W121" s="1">
        <v>1.84457325935363</v>
      </c>
      <c r="X121" s="1">
        <v>1.84457320635141</v>
      </c>
      <c r="Y121" s="1">
        <v>0.0994056761264801</v>
      </c>
      <c r="Z121" s="1">
        <v>0.340526103973388</v>
      </c>
      <c r="AA121" s="1">
        <v>1.17202904224395</v>
      </c>
      <c r="AB121" s="1">
        <v>10.9585724743929</v>
      </c>
      <c r="AC121" s="1">
        <v>4.38532200815576</v>
      </c>
      <c r="AD121" s="1">
        <v>0.109375</v>
      </c>
      <c r="AE121" s="1">
        <v>0.348295593261718</v>
      </c>
      <c r="AF121" s="1">
        <v>2.51420593261718</v>
      </c>
      <c r="AG121" s="1">
        <v>4.14488792419433</v>
      </c>
      <c r="AH121" s="1">
        <v>5.0</v>
      </c>
      <c r="AI121" s="1">
        <v>2.0</v>
      </c>
      <c r="AJ121" s="1">
        <v>1.0</v>
      </c>
      <c r="AK121" s="1">
        <v>0.0</v>
      </c>
      <c r="AL121" s="1">
        <v>0.0413223140495867</v>
      </c>
      <c r="AM121" s="1">
        <v>0.0165289256198347</v>
      </c>
      <c r="AN121" s="1">
        <v>0.00826446280991735</v>
      </c>
      <c r="AO121" s="1">
        <v>0.0</v>
      </c>
      <c r="AP121" s="1">
        <v>0.0</v>
      </c>
      <c r="AQ121" s="1">
        <v>1.0</v>
      </c>
      <c r="AR121" s="1">
        <v>3.0</v>
      </c>
      <c r="AS121" s="1">
        <v>0.0855425444736904</v>
      </c>
      <c r="AT121" s="1">
        <v>1.84451846189767</v>
      </c>
      <c r="AU121" s="1">
        <v>0.291994610548326</v>
      </c>
      <c r="AV121" s="1">
        <v>1.0</v>
      </c>
      <c r="AW121" s="1">
        <v>1.0</v>
      </c>
      <c r="AX121" s="1">
        <v>1.0</v>
      </c>
      <c r="AY121" s="1">
        <v>0.0</v>
      </c>
      <c r="AZ121" s="1">
        <v>1.0</v>
      </c>
      <c r="BA121" s="1">
        <v>15.0</v>
      </c>
      <c r="BB121" s="1">
        <v>422.0</v>
      </c>
      <c r="BC121" s="1">
        <v>436.0</v>
      </c>
      <c r="BD121" s="1" t="s">
        <v>108</v>
      </c>
    </row>
    <row r="122">
      <c r="A122" s="1" t="s">
        <v>1093</v>
      </c>
      <c r="B122" s="1" t="s">
        <v>70</v>
      </c>
      <c r="C122" s="1">
        <v>0.0</v>
      </c>
      <c r="D122" s="1" t="s">
        <v>71</v>
      </c>
      <c r="E122" s="1" t="b">
        <v>0</v>
      </c>
      <c r="F122" s="1" t="b">
        <v>1</v>
      </c>
      <c r="G122" s="1" t="s">
        <v>1094</v>
      </c>
      <c r="H122" s="1" t="s">
        <v>1095</v>
      </c>
      <c r="I122" s="1" t="s">
        <v>1096</v>
      </c>
      <c r="J122" s="1" t="s">
        <v>1097</v>
      </c>
      <c r="K122" s="1">
        <v>18.0</v>
      </c>
      <c r="L122" s="1">
        <v>1.44275401200002</v>
      </c>
      <c r="M122" s="1">
        <v>0.183088722047816</v>
      </c>
      <c r="N122" s="1">
        <v>1.07205879688262</v>
      </c>
      <c r="O122" s="1">
        <v>6.80058447519938</v>
      </c>
      <c r="P122" s="1">
        <v>0.865056991577148</v>
      </c>
      <c r="Q122" s="1" t="s">
        <v>198</v>
      </c>
      <c r="R122" s="1" t="s">
        <v>247</v>
      </c>
      <c r="S122" s="1">
        <v>18.0</v>
      </c>
      <c r="T122" s="1">
        <v>0.183088722047816</v>
      </c>
      <c r="U122" s="1">
        <v>0.321681406144617</v>
      </c>
      <c r="V122" s="1">
        <v>1.4892169565428E-4</v>
      </c>
      <c r="W122" s="1">
        <v>1.07205879688262</v>
      </c>
      <c r="X122" s="1">
        <v>1.07190987518697</v>
      </c>
      <c r="Y122" s="1">
        <v>0.643458497524261</v>
      </c>
      <c r="Z122" s="1">
        <v>0.708431380987166</v>
      </c>
      <c r="AA122" s="1">
        <v>0.999333313703536</v>
      </c>
      <c r="AB122" s="1">
        <v>6.80058447519938</v>
      </c>
      <c r="AC122" s="1">
        <v>3.58643757575902</v>
      </c>
      <c r="AD122" s="1">
        <v>0.865056991577148</v>
      </c>
      <c r="AE122" s="1">
        <v>0.887997303009033</v>
      </c>
      <c r="AF122" s="1">
        <v>0.979758548736572</v>
      </c>
      <c r="AG122" s="1">
        <v>1.74971675872802</v>
      </c>
      <c r="AH122" s="1">
        <v>4.0</v>
      </c>
      <c r="AI122" s="1">
        <v>1.0</v>
      </c>
      <c r="AJ122" s="1">
        <v>0.0</v>
      </c>
      <c r="AK122" s="1">
        <v>0.0</v>
      </c>
      <c r="AL122" s="1">
        <v>0.222222222222222</v>
      </c>
      <c r="AM122" s="1">
        <v>0.0555555555555555</v>
      </c>
      <c r="AN122" s="1">
        <v>0.0</v>
      </c>
      <c r="AO122" s="1">
        <v>0.0</v>
      </c>
      <c r="AP122" s="1">
        <v>0.0</v>
      </c>
      <c r="AQ122" s="1">
        <v>0.0</v>
      </c>
      <c r="AR122" s="1">
        <v>0.0</v>
      </c>
      <c r="AS122" s="1">
        <v>0.300124104030307</v>
      </c>
      <c r="AT122" s="1">
        <v>1.0682640299201</v>
      </c>
      <c r="AU122" s="1">
        <v>0.439608664681745</v>
      </c>
      <c r="AV122" s="1">
        <v>1.0</v>
      </c>
      <c r="AW122" s="1">
        <v>1.0</v>
      </c>
      <c r="AX122" s="1">
        <v>0.0</v>
      </c>
      <c r="AY122" s="1">
        <v>0.0</v>
      </c>
      <c r="AZ122" s="1">
        <v>1.0</v>
      </c>
      <c r="BA122" s="1">
        <v>2.0</v>
      </c>
      <c r="BB122" s="1">
        <v>48.0</v>
      </c>
      <c r="BC122" s="1">
        <v>62.0</v>
      </c>
      <c r="BD122" s="1" t="s">
        <v>204</v>
      </c>
    </row>
    <row r="123">
      <c r="A123" s="1" t="s">
        <v>1100</v>
      </c>
      <c r="B123" s="1" t="s">
        <v>70</v>
      </c>
      <c r="C123" s="1">
        <v>0.0</v>
      </c>
      <c r="D123" s="1" t="s">
        <v>71</v>
      </c>
      <c r="E123" s="1" t="b">
        <v>0</v>
      </c>
      <c r="F123" s="1" t="b">
        <v>1</v>
      </c>
      <c r="G123" s="1" t="s">
        <v>1101</v>
      </c>
      <c r="H123" s="1" t="s">
        <v>1102</v>
      </c>
      <c r="I123" s="1" t="s">
        <v>1103</v>
      </c>
      <c r="J123" s="1" t="s">
        <v>1104</v>
      </c>
      <c r="K123" s="1">
        <v>38.0</v>
      </c>
      <c r="L123" s="1">
        <v>2.57283476099974</v>
      </c>
      <c r="M123" s="1">
        <v>0.07684037855393</v>
      </c>
      <c r="N123" s="1">
        <v>0.719308137893676</v>
      </c>
      <c r="O123" s="1">
        <v>9.35666518462331</v>
      </c>
      <c r="P123" s="1">
        <v>0.525568008422851</v>
      </c>
      <c r="Q123" s="1" t="s">
        <v>198</v>
      </c>
      <c r="R123" s="1" t="s">
        <v>247</v>
      </c>
      <c r="S123" s="1">
        <v>38.0</v>
      </c>
      <c r="T123" s="1">
        <v>0.0768403785539308</v>
      </c>
      <c r="U123" s="1">
        <v>0.198783349529516</v>
      </c>
      <c r="V123" s="5">
        <v>3.51272751686337E-6</v>
      </c>
      <c r="W123" s="1">
        <v>0.719308137893676</v>
      </c>
      <c r="X123" s="1">
        <v>0.719304625166159</v>
      </c>
      <c r="Y123" s="1">
        <v>0.255338022112847</v>
      </c>
      <c r="Z123" s="1">
        <v>0.661880153417587</v>
      </c>
      <c r="AA123" s="1">
        <v>0.702433558702469</v>
      </c>
      <c r="AB123" s="1">
        <v>9.35666518462331</v>
      </c>
      <c r="AC123" s="1">
        <v>4.15147845325779</v>
      </c>
      <c r="AD123" s="1">
        <v>0.525568008422851</v>
      </c>
      <c r="AE123" s="1">
        <v>0.768905563354492</v>
      </c>
      <c r="AF123" s="1">
        <v>1.38487310409545</v>
      </c>
      <c r="AG123" s="1">
        <v>3.26193218231201</v>
      </c>
      <c r="AH123" s="1">
        <v>3.0</v>
      </c>
      <c r="AI123" s="1">
        <v>0.0</v>
      </c>
      <c r="AJ123" s="1">
        <v>0.0</v>
      </c>
      <c r="AK123" s="1">
        <v>0.0</v>
      </c>
      <c r="AL123" s="1">
        <v>0.0789473684210526</v>
      </c>
      <c r="AM123" s="1">
        <v>0.0</v>
      </c>
      <c r="AN123" s="1">
        <v>0.0</v>
      </c>
      <c r="AO123" s="1">
        <v>0.0</v>
      </c>
      <c r="AP123" s="1">
        <v>0.0</v>
      </c>
      <c r="AQ123" s="1">
        <v>0.0</v>
      </c>
      <c r="AR123" s="1">
        <v>0.0</v>
      </c>
      <c r="AS123" s="1">
        <v>0.136715832461357</v>
      </c>
      <c r="AT123" s="1">
        <v>0.718831204460002</v>
      </c>
      <c r="AU123" s="1">
        <v>0.2793985278689</v>
      </c>
      <c r="AV123" s="1">
        <v>1.0</v>
      </c>
      <c r="AW123" s="1">
        <v>0.0</v>
      </c>
      <c r="AX123" s="1">
        <v>0.0</v>
      </c>
      <c r="AY123" s="1">
        <v>0.0</v>
      </c>
      <c r="AZ123" s="1">
        <v>0.0</v>
      </c>
      <c r="BA123" s="1">
        <v>2.0</v>
      </c>
      <c r="BB123" s="1">
        <v>92.0</v>
      </c>
      <c r="BC123" s="1">
        <v>106.0</v>
      </c>
      <c r="BD123" s="1" t="s">
        <v>1110</v>
      </c>
    </row>
    <row r="124">
      <c r="A124" s="1" t="s">
        <v>1111</v>
      </c>
      <c r="B124" s="1" t="s">
        <v>70</v>
      </c>
      <c r="C124" s="1">
        <v>0.0</v>
      </c>
      <c r="D124" s="1" t="s">
        <v>71</v>
      </c>
      <c r="E124" s="1" t="b">
        <v>1</v>
      </c>
      <c r="F124" s="1" t="b">
        <v>0</v>
      </c>
      <c r="G124" s="1" t="s">
        <v>74</v>
      </c>
      <c r="H124" s="1" t="s">
        <v>1112</v>
      </c>
      <c r="I124" s="1" t="s">
        <v>1113</v>
      </c>
      <c r="J124" s="1" t="s">
        <v>1114</v>
      </c>
      <c r="K124" s="1">
        <v>36.0</v>
      </c>
      <c r="L124" s="1">
        <v>2.47533798599988</v>
      </c>
      <c r="M124" s="1">
        <v>0.046483935921151</v>
      </c>
      <c r="N124" s="1">
        <v>0.658276796340942</v>
      </c>
      <c r="O124" s="1">
        <v>9.48737404081556</v>
      </c>
      <c r="P124" s="1">
        <v>0.539772033691406</v>
      </c>
      <c r="S124" s="1">
        <v>36.0</v>
      </c>
      <c r="T124" s="1">
        <v>0.0464839359211516</v>
      </c>
      <c r="U124" s="1">
        <v>0.136392946235646</v>
      </c>
      <c r="V124" s="5">
        <v>1.03157037756318E-6</v>
      </c>
      <c r="W124" s="1">
        <v>0.658276796340942</v>
      </c>
      <c r="X124" s="1">
        <v>0.658275764770564</v>
      </c>
      <c r="Y124" s="1">
        <v>0.0864941794425249</v>
      </c>
      <c r="Z124" s="1">
        <v>0.254357449710369</v>
      </c>
      <c r="AA124" s="1">
        <v>0.600818789005279</v>
      </c>
      <c r="AB124" s="1">
        <v>9.48737404081556</v>
      </c>
      <c r="AC124" s="1">
        <v>3.97047481759597</v>
      </c>
      <c r="AD124" s="1">
        <v>0.539772033691406</v>
      </c>
      <c r="AE124" s="1">
        <v>1.02748479843139</v>
      </c>
      <c r="AF124" s="1">
        <v>3.60049676895141</v>
      </c>
      <c r="AG124" s="1">
        <v>4.63849449157714</v>
      </c>
      <c r="AH124" s="1">
        <v>1.0</v>
      </c>
      <c r="AI124" s="1">
        <v>0.0</v>
      </c>
      <c r="AJ124" s="1">
        <v>0.0</v>
      </c>
      <c r="AK124" s="1">
        <v>0.0</v>
      </c>
      <c r="AL124" s="1">
        <v>0.0277777777777777</v>
      </c>
      <c r="AM124" s="1">
        <v>0.0</v>
      </c>
      <c r="AN124" s="1">
        <v>0.0</v>
      </c>
      <c r="AO124" s="1">
        <v>0.0</v>
      </c>
      <c r="AP124" s="1">
        <v>0.0</v>
      </c>
      <c r="AQ124" s="1">
        <v>0.0</v>
      </c>
      <c r="AR124" s="1">
        <v>0.0</v>
      </c>
      <c r="AS124" s="1">
        <v>0.0767825135759721</v>
      </c>
      <c r="AT124" s="1">
        <v>0.658240164346352</v>
      </c>
      <c r="AU124" s="1">
        <v>0.181471550833423</v>
      </c>
      <c r="AV124" s="1">
        <v>1.0</v>
      </c>
      <c r="AW124" s="1">
        <v>0.0</v>
      </c>
      <c r="AX124" s="1">
        <v>0.0</v>
      </c>
      <c r="AY124" s="1">
        <v>0.0</v>
      </c>
      <c r="AZ124" s="1">
        <v>0.0</v>
      </c>
      <c r="BA124" s="1">
        <v>2.0</v>
      </c>
      <c r="BB124" s="1">
        <v>78.0</v>
      </c>
      <c r="BC124" s="1">
        <v>92.0</v>
      </c>
      <c r="BD124" s="1" t="s">
        <v>108</v>
      </c>
    </row>
    <row r="125">
      <c r="A125" s="1" t="s">
        <v>1115</v>
      </c>
      <c r="B125" s="1" t="s">
        <v>70</v>
      </c>
      <c r="C125" s="1">
        <v>0.0</v>
      </c>
      <c r="D125" s="1" t="s">
        <v>71</v>
      </c>
      <c r="E125" s="1" t="b">
        <v>1</v>
      </c>
      <c r="F125" s="1" t="b">
        <v>0</v>
      </c>
      <c r="G125" s="1" t="s">
        <v>74</v>
      </c>
      <c r="H125" s="1" t="s">
        <v>1118</v>
      </c>
      <c r="I125" s="1" t="s">
        <v>1119</v>
      </c>
      <c r="J125" s="1" t="s">
        <v>1120</v>
      </c>
      <c r="K125" s="1">
        <v>87.0</v>
      </c>
      <c r="L125" s="1">
        <v>6.08498935399984</v>
      </c>
      <c r="M125" s="1">
        <v>0.112009642550512</v>
      </c>
      <c r="N125" s="1">
        <v>1.62836027145385</v>
      </c>
      <c r="O125" s="1">
        <v>9.15744236693985</v>
      </c>
      <c r="P125" s="1">
        <v>0.375</v>
      </c>
      <c r="S125" s="1">
        <v>87.0</v>
      </c>
      <c r="T125" s="1">
        <v>0.112009642550512</v>
      </c>
      <c r="U125" s="1">
        <v>0.291517172863101</v>
      </c>
      <c r="V125" s="5">
        <v>2.40132249018643E-6</v>
      </c>
      <c r="W125" s="1">
        <v>1.62836027145385</v>
      </c>
      <c r="X125" s="1">
        <v>1.62835787013136</v>
      </c>
      <c r="Y125" s="1">
        <v>0.361482125520707</v>
      </c>
      <c r="Z125" s="1">
        <v>0.740519243478775</v>
      </c>
      <c r="AA125" s="1">
        <v>1.22306543588638</v>
      </c>
      <c r="AB125" s="1">
        <v>9.15744236693985</v>
      </c>
      <c r="AC125" s="1">
        <v>4.3228438146912</v>
      </c>
      <c r="AD125" s="1">
        <v>0.375</v>
      </c>
      <c r="AE125" s="1">
        <v>0.379886512756347</v>
      </c>
      <c r="AF125" s="1">
        <v>1.23494319915771</v>
      </c>
      <c r="AG125" s="1">
        <v>2.53977279663085</v>
      </c>
      <c r="AH125" s="1">
        <v>8.0</v>
      </c>
      <c r="AI125" s="1">
        <v>3.0</v>
      </c>
      <c r="AJ125" s="1">
        <v>1.0</v>
      </c>
      <c r="AK125" s="1">
        <v>0.0</v>
      </c>
      <c r="AL125" s="1">
        <v>0.0919540229885057</v>
      </c>
      <c r="AM125" s="1">
        <v>0.0344827586206896</v>
      </c>
      <c r="AN125" s="1">
        <v>0.0114942528735632</v>
      </c>
      <c r="AO125" s="1">
        <v>0.0</v>
      </c>
      <c r="AP125" s="1">
        <v>0.0</v>
      </c>
      <c r="AQ125" s="1">
        <v>0.0</v>
      </c>
      <c r="AR125" s="1">
        <v>3.0</v>
      </c>
      <c r="AS125" s="1">
        <v>0.189519170700699</v>
      </c>
      <c r="AT125" s="1">
        <v>1.62392475595697</v>
      </c>
      <c r="AU125" s="1">
        <v>0.403810838050141</v>
      </c>
      <c r="AV125" s="1">
        <v>2.0</v>
      </c>
      <c r="AW125" s="1">
        <v>1.0</v>
      </c>
      <c r="AX125" s="1">
        <v>1.0</v>
      </c>
      <c r="AY125" s="1">
        <v>0.0</v>
      </c>
      <c r="AZ125" s="1">
        <v>1.0</v>
      </c>
      <c r="BA125" s="1">
        <v>11.0</v>
      </c>
      <c r="BB125" s="1">
        <v>296.0</v>
      </c>
      <c r="BC125" s="1">
        <v>310.0</v>
      </c>
      <c r="BD125" s="1" t="s">
        <v>108</v>
      </c>
    </row>
    <row r="126">
      <c r="A126" s="1" t="s">
        <v>1127</v>
      </c>
      <c r="B126" s="1" t="s">
        <v>70</v>
      </c>
      <c r="C126" s="1">
        <v>0.0</v>
      </c>
      <c r="D126" s="1" t="s">
        <v>71</v>
      </c>
      <c r="E126" s="1" t="b">
        <v>1</v>
      </c>
      <c r="F126" s="1" t="b">
        <v>0</v>
      </c>
      <c r="G126" s="1" t="s">
        <v>74</v>
      </c>
      <c r="H126" s="1" t="s">
        <v>1128</v>
      </c>
      <c r="I126" s="1" t="s">
        <v>1129</v>
      </c>
      <c r="J126" s="1" t="s">
        <v>1130</v>
      </c>
      <c r="K126" s="1">
        <v>152.0</v>
      </c>
      <c r="L126" s="1">
        <v>10.6021329059999</v>
      </c>
      <c r="M126" s="1">
        <v>0.112913898408728</v>
      </c>
      <c r="N126" s="1">
        <v>1.74062001705169</v>
      </c>
      <c r="O126" s="1">
        <v>8.70446643076445</v>
      </c>
      <c r="P126" s="1">
        <v>0.0</v>
      </c>
      <c r="S126" s="1">
        <v>152.0</v>
      </c>
      <c r="T126" s="1">
        <v>0.112913898408728</v>
      </c>
      <c r="U126" s="1">
        <v>0.266026436066575</v>
      </c>
      <c r="V126" s="5">
        <v>5.81187714487896E-6</v>
      </c>
      <c r="W126" s="1">
        <v>1.74062001705169</v>
      </c>
      <c r="X126" s="1">
        <v>1.74061420517455</v>
      </c>
      <c r="Y126" s="1">
        <v>0.4383045732975</v>
      </c>
      <c r="Z126" s="1">
        <v>0.699517482519149</v>
      </c>
      <c r="AA126" s="1">
        <v>1.14720548868179</v>
      </c>
      <c r="AB126" s="1">
        <v>8.70446643076445</v>
      </c>
      <c r="AC126" s="1">
        <v>4.24910798413629</v>
      </c>
      <c r="AD126" s="1">
        <v>0.0</v>
      </c>
      <c r="AE126" s="1">
        <v>0.0786787223815917</v>
      </c>
      <c r="AF126" s="1">
        <v>0.7875</v>
      </c>
      <c r="AG126" s="1">
        <v>2.02542533874511</v>
      </c>
      <c r="AH126" s="1">
        <v>15.0</v>
      </c>
      <c r="AI126" s="1">
        <v>2.0</v>
      </c>
      <c r="AJ126" s="1">
        <v>1.0</v>
      </c>
      <c r="AK126" s="1">
        <v>0.0</v>
      </c>
      <c r="AL126" s="1">
        <v>0.0986842105263157</v>
      </c>
      <c r="AM126" s="1">
        <v>0.0131578947368421</v>
      </c>
      <c r="AN126" s="1">
        <v>0.00657894736842105</v>
      </c>
      <c r="AO126" s="1">
        <v>2.0</v>
      </c>
      <c r="AP126" s="1">
        <v>2.0</v>
      </c>
      <c r="AQ126" s="1">
        <v>4.0</v>
      </c>
      <c r="AR126" s="1">
        <v>6.0</v>
      </c>
      <c r="AS126" s="1">
        <v>0.159407189583193</v>
      </c>
      <c r="AT126" s="1">
        <v>1.74060270738482</v>
      </c>
      <c r="AU126" s="1">
        <v>0.331976860269234</v>
      </c>
      <c r="AV126" s="1">
        <v>4.0</v>
      </c>
      <c r="AW126" s="1">
        <v>1.0</v>
      </c>
      <c r="AX126" s="1">
        <v>1.0</v>
      </c>
      <c r="AY126" s="1">
        <v>0.0</v>
      </c>
      <c r="AZ126" s="1">
        <v>1.0</v>
      </c>
      <c r="BA126" s="1">
        <v>17.0</v>
      </c>
      <c r="BB126" s="1">
        <v>520.0</v>
      </c>
      <c r="BC126" s="1">
        <v>534.0</v>
      </c>
      <c r="BD126" s="1" t="s">
        <v>108</v>
      </c>
    </row>
    <row r="127">
      <c r="A127" s="1" t="s">
        <v>1134</v>
      </c>
      <c r="B127" s="1" t="s">
        <v>70</v>
      </c>
      <c r="C127" s="1">
        <v>0.0</v>
      </c>
      <c r="D127" s="1" t="s">
        <v>71</v>
      </c>
      <c r="E127" s="1" t="b">
        <v>1</v>
      </c>
      <c r="F127" s="1" t="b">
        <v>0</v>
      </c>
      <c r="G127" s="1" t="s">
        <v>74</v>
      </c>
      <c r="H127" s="1" t="s">
        <v>1136</v>
      </c>
      <c r="I127" s="1" t="s">
        <v>1138</v>
      </c>
      <c r="J127" s="1" t="s">
        <v>1140</v>
      </c>
      <c r="K127" s="1">
        <v>67.0</v>
      </c>
      <c r="L127" s="1">
        <v>4.55524401999991</v>
      </c>
      <c r="M127" s="1">
        <v>0.051216618640053</v>
      </c>
      <c r="N127" s="1">
        <v>0.683908402919769</v>
      </c>
      <c r="O127" s="1">
        <v>9.30110490144188</v>
      </c>
      <c r="P127" s="1">
        <v>0.71875</v>
      </c>
      <c r="S127" s="1">
        <v>67.0</v>
      </c>
      <c r="T127" s="1">
        <v>0.0512166186400538</v>
      </c>
      <c r="U127" s="1">
        <v>0.138503862007741</v>
      </c>
      <c r="V127" s="5">
        <v>3.3758240078896E-6</v>
      </c>
      <c r="W127" s="1">
        <v>0.683908402919769</v>
      </c>
      <c r="X127" s="1">
        <v>0.683905027095761</v>
      </c>
      <c r="Y127" s="1">
        <v>0.177007883787155</v>
      </c>
      <c r="Z127" s="1">
        <v>0.387313571572303</v>
      </c>
      <c r="AA127" s="1">
        <v>0.610476568937302</v>
      </c>
      <c r="AB127" s="1">
        <v>9.30110490144188</v>
      </c>
      <c r="AC127" s="1">
        <v>3.8116635827422</v>
      </c>
      <c r="AD127" s="1">
        <v>0.71875</v>
      </c>
      <c r="AE127" s="1">
        <v>1.11624954223632</v>
      </c>
      <c r="AF127" s="1">
        <v>2.76079654693603</v>
      </c>
      <c r="AG127" s="1">
        <v>3.38465919494628</v>
      </c>
      <c r="AH127" s="1">
        <v>3.0</v>
      </c>
      <c r="AI127" s="1">
        <v>0.0</v>
      </c>
      <c r="AJ127" s="1">
        <v>0.0</v>
      </c>
      <c r="AK127" s="1">
        <v>0.0</v>
      </c>
      <c r="AL127" s="1">
        <v>0.044776119402985</v>
      </c>
      <c r="AM127" s="1">
        <v>0.0</v>
      </c>
      <c r="AN127" s="1">
        <v>0.0</v>
      </c>
      <c r="AO127" s="1">
        <v>0.0</v>
      </c>
      <c r="AP127" s="1">
        <v>0.0</v>
      </c>
      <c r="AQ127" s="1">
        <v>0.0</v>
      </c>
      <c r="AR127" s="1">
        <v>0.0</v>
      </c>
      <c r="AS127" s="1">
        <v>0.0873936690344786</v>
      </c>
      <c r="AT127" s="1">
        <v>0.683809341207961</v>
      </c>
      <c r="AU127" s="1">
        <v>0.191965045230373</v>
      </c>
      <c r="AV127" s="1">
        <v>1.0</v>
      </c>
      <c r="AW127" s="1">
        <v>0.0</v>
      </c>
      <c r="AX127" s="1">
        <v>0.0</v>
      </c>
      <c r="AY127" s="1">
        <v>0.0</v>
      </c>
      <c r="AZ127" s="1">
        <v>0.0</v>
      </c>
      <c r="BA127" s="1">
        <v>7.0</v>
      </c>
      <c r="BB127" s="1">
        <v>220.0</v>
      </c>
      <c r="BC127" s="1">
        <v>234.0</v>
      </c>
      <c r="BD127" s="1" t="s">
        <v>108</v>
      </c>
    </row>
    <row r="128">
      <c r="A128" s="1" t="s">
        <v>1143</v>
      </c>
      <c r="B128" s="1" t="s">
        <v>70</v>
      </c>
      <c r="C128" s="1">
        <v>0.0</v>
      </c>
      <c r="D128" s="1" t="s">
        <v>71</v>
      </c>
      <c r="E128" s="1" t="b">
        <v>1</v>
      </c>
      <c r="F128" s="1" t="b">
        <v>0</v>
      </c>
      <c r="G128" s="1" t="s">
        <v>74</v>
      </c>
      <c r="H128" s="1" t="s">
        <v>1144</v>
      </c>
      <c r="I128" s="1" t="s">
        <v>1145</v>
      </c>
      <c r="J128" s="1" t="s">
        <v>1146</v>
      </c>
      <c r="K128" s="1">
        <v>82.0</v>
      </c>
      <c r="L128" s="1">
        <v>5.77131863799968</v>
      </c>
      <c r="M128" s="1">
        <v>0.10444692898456</v>
      </c>
      <c r="N128" s="1">
        <v>1.75671088695526</v>
      </c>
      <c r="O128" s="1">
        <v>8.73890539494956</v>
      </c>
      <c r="P128" s="1">
        <v>0.140625</v>
      </c>
      <c r="S128" s="1">
        <v>82.0</v>
      </c>
      <c r="T128" s="1">
        <v>0.10444692898456</v>
      </c>
      <c r="U128" s="1">
        <v>0.280023269142159</v>
      </c>
      <c r="V128" s="5">
        <v>2.18387094719219E-6</v>
      </c>
      <c r="W128" s="1">
        <v>1.75671088695526</v>
      </c>
      <c r="X128" s="1">
        <v>1.75670870308431</v>
      </c>
      <c r="Y128" s="1">
        <v>0.358894193172455</v>
      </c>
      <c r="Z128" s="1">
        <v>0.601288086175918</v>
      </c>
      <c r="AA128" s="1">
        <v>1.27293424725532</v>
      </c>
      <c r="AB128" s="1">
        <v>8.73890539494956</v>
      </c>
      <c r="AC128" s="1">
        <v>3.95322239103689</v>
      </c>
      <c r="AD128" s="1">
        <v>0.140625</v>
      </c>
      <c r="AE128" s="1">
        <v>0.27984375</v>
      </c>
      <c r="AF128" s="1">
        <v>1.25490169525146</v>
      </c>
      <c r="AG128" s="1">
        <v>2.2296875</v>
      </c>
      <c r="AH128" s="1">
        <v>6.0</v>
      </c>
      <c r="AI128" s="1">
        <v>2.0</v>
      </c>
      <c r="AJ128" s="1">
        <v>1.0</v>
      </c>
      <c r="AK128" s="1">
        <v>0.0</v>
      </c>
      <c r="AL128" s="1">
        <v>0.073170731707317</v>
      </c>
      <c r="AM128" s="1">
        <v>0.024390243902439</v>
      </c>
      <c r="AN128" s="1">
        <v>0.0121951219512195</v>
      </c>
      <c r="AO128" s="1">
        <v>0.0</v>
      </c>
      <c r="AP128" s="1">
        <v>0.0</v>
      </c>
      <c r="AQ128" s="1">
        <v>1.0</v>
      </c>
      <c r="AR128" s="1">
        <v>2.0</v>
      </c>
      <c r="AS128" s="1">
        <v>0.187063946146096</v>
      </c>
      <c r="AT128" s="1">
        <v>1.75664689599943</v>
      </c>
      <c r="AU128" s="1">
        <v>0.409193543577493</v>
      </c>
      <c r="AV128" s="1">
        <v>1.0</v>
      </c>
      <c r="AW128" s="1">
        <v>1.0</v>
      </c>
      <c r="AX128" s="1">
        <v>1.0</v>
      </c>
      <c r="AY128" s="1">
        <v>0.0</v>
      </c>
      <c r="AZ128" s="1">
        <v>1.0</v>
      </c>
      <c r="BA128" s="1">
        <v>9.0</v>
      </c>
      <c r="BB128" s="1">
        <v>250.0</v>
      </c>
      <c r="BC128" s="1">
        <v>264.0</v>
      </c>
      <c r="BD128" s="1" t="s">
        <v>108</v>
      </c>
    </row>
    <row r="129">
      <c r="A129" s="1" t="s">
        <v>1153</v>
      </c>
      <c r="B129" s="1" t="s">
        <v>70</v>
      </c>
      <c r="C129" s="1">
        <v>0.0</v>
      </c>
      <c r="D129" s="1" t="s">
        <v>71</v>
      </c>
      <c r="E129" s="1" t="b">
        <v>0</v>
      </c>
      <c r="F129" s="1" t="b">
        <v>1</v>
      </c>
      <c r="G129" s="1" t="s">
        <v>1156</v>
      </c>
      <c r="H129" s="1" t="s">
        <v>1157</v>
      </c>
      <c r="I129" s="1" t="s">
        <v>1158</v>
      </c>
      <c r="J129" s="1" t="s">
        <v>1159</v>
      </c>
      <c r="K129" s="1">
        <v>118.0</v>
      </c>
      <c r="L129" s="1">
        <v>8.23529878500039</v>
      </c>
      <c r="M129" s="1">
        <v>0.069339108838757</v>
      </c>
      <c r="N129" s="1">
        <v>1.29441714286804</v>
      </c>
      <c r="O129" s="1">
        <v>10.2182750863544</v>
      </c>
      <c r="P129" s="1">
        <v>0.142045974731445</v>
      </c>
      <c r="Q129" s="1" t="s">
        <v>198</v>
      </c>
      <c r="R129" s="1" t="s">
        <v>247</v>
      </c>
      <c r="S129" s="1">
        <v>118.0</v>
      </c>
      <c r="T129" s="1">
        <v>0.069339108838757</v>
      </c>
      <c r="U129" s="1">
        <v>0.213867802943308</v>
      </c>
      <c r="V129" s="5">
        <v>3.15406305162468E-6</v>
      </c>
      <c r="W129" s="1">
        <v>1.29441714286804</v>
      </c>
      <c r="X129" s="1">
        <v>1.29441398880499</v>
      </c>
      <c r="Y129" s="1">
        <v>0.16208094805479</v>
      </c>
      <c r="Z129" s="1">
        <v>0.513016402721404</v>
      </c>
      <c r="AA129" s="1">
        <v>1.01587970614433</v>
      </c>
      <c r="AB129" s="1">
        <v>10.2182750863544</v>
      </c>
      <c r="AC129" s="1">
        <v>4.15326474809693</v>
      </c>
      <c r="AD129" s="1">
        <v>0.142045974731445</v>
      </c>
      <c r="AE129" s="1">
        <v>0.660696048736572</v>
      </c>
      <c r="AF129" s="1">
        <v>1.548934841156</v>
      </c>
      <c r="AG129" s="1">
        <v>3.407954788208</v>
      </c>
      <c r="AH129" s="1">
        <v>8.0</v>
      </c>
      <c r="AI129" s="1">
        <v>2.0</v>
      </c>
      <c r="AJ129" s="1">
        <v>0.0</v>
      </c>
      <c r="AK129" s="1">
        <v>0.0</v>
      </c>
      <c r="AL129" s="1">
        <v>0.0677966101694915</v>
      </c>
      <c r="AM129" s="1">
        <v>0.0169491525423728</v>
      </c>
      <c r="AN129" s="1">
        <v>0.0</v>
      </c>
      <c r="AO129" s="1">
        <v>0.0</v>
      </c>
      <c r="AP129" s="1">
        <v>0.0</v>
      </c>
      <c r="AQ129" s="1">
        <v>1.0</v>
      </c>
      <c r="AR129" s="1">
        <v>1.0</v>
      </c>
      <c r="AS129" s="1">
        <v>0.0921525627765856</v>
      </c>
      <c r="AT129" s="1">
        <v>1.28448198363184</v>
      </c>
      <c r="AU129" s="1">
        <v>0.24046879335474</v>
      </c>
      <c r="AV129" s="1">
        <v>2.0</v>
      </c>
      <c r="AW129" s="1">
        <v>2.0</v>
      </c>
      <c r="AX129" s="1">
        <v>0.0</v>
      </c>
      <c r="AY129" s="1">
        <v>0.0</v>
      </c>
      <c r="AZ129" s="1">
        <v>2.0</v>
      </c>
      <c r="BA129" s="1">
        <v>12.0</v>
      </c>
      <c r="BB129" s="1">
        <v>371.0</v>
      </c>
      <c r="BC129" s="1">
        <v>385.0</v>
      </c>
      <c r="BD129" s="1" t="s">
        <v>204</v>
      </c>
    </row>
    <row r="130">
      <c r="A130" s="1" t="s">
        <v>1162</v>
      </c>
      <c r="B130" s="1" t="s">
        <v>70</v>
      </c>
      <c r="C130" s="1">
        <v>0.0</v>
      </c>
      <c r="D130" s="1" t="s">
        <v>71</v>
      </c>
      <c r="E130" s="1" t="b">
        <v>1</v>
      </c>
      <c r="F130" s="1" t="b">
        <v>0</v>
      </c>
      <c r="G130" s="1" t="s">
        <v>74</v>
      </c>
      <c r="H130" s="1" t="s">
        <v>1164</v>
      </c>
      <c r="I130" s="1" t="s">
        <v>1166</v>
      </c>
      <c r="J130" s="1" t="s">
        <v>1168</v>
      </c>
      <c r="K130" s="1">
        <v>82.0</v>
      </c>
      <c r="L130" s="1">
        <v>5.51165914900002</v>
      </c>
      <c r="M130" s="1">
        <v>0.078140943919409</v>
      </c>
      <c r="N130" s="1">
        <v>1.31321883201599</v>
      </c>
      <c r="O130" s="1">
        <v>9.39924348272928</v>
      </c>
      <c r="P130" s="1">
        <v>0.014205932617187</v>
      </c>
      <c r="S130" s="1">
        <v>82.0</v>
      </c>
      <c r="T130" s="1">
        <v>0.0781409439194099</v>
      </c>
      <c r="U130" s="1">
        <v>0.219106706694208</v>
      </c>
      <c r="V130" s="5">
        <v>3.67370080311957E-6</v>
      </c>
      <c r="W130" s="1">
        <v>1.31321883201599</v>
      </c>
      <c r="X130" s="1">
        <v>1.31321515831518</v>
      </c>
      <c r="Y130" s="1">
        <v>0.25201636403799</v>
      </c>
      <c r="Z130" s="1">
        <v>0.470890460908413</v>
      </c>
      <c r="AA130" s="1">
        <v>1.0996828508377</v>
      </c>
      <c r="AB130" s="1">
        <v>9.39924348272928</v>
      </c>
      <c r="AC130" s="1">
        <v>4.18464030314345</v>
      </c>
      <c r="AD130" s="1">
        <v>0.0142059326171875</v>
      </c>
      <c r="AE130" s="1">
        <v>0.179886627197265</v>
      </c>
      <c r="AF130" s="1">
        <v>1.98579626083374</v>
      </c>
      <c r="AG130" s="1">
        <v>3.58906326293945</v>
      </c>
      <c r="AH130" s="1">
        <v>3.0</v>
      </c>
      <c r="AI130" s="1">
        <v>2.0</v>
      </c>
      <c r="AJ130" s="1">
        <v>0.0</v>
      </c>
      <c r="AK130" s="1">
        <v>0.0</v>
      </c>
      <c r="AL130" s="1">
        <v>0.0365853658536585</v>
      </c>
      <c r="AM130" s="1">
        <v>0.024390243902439</v>
      </c>
      <c r="AN130" s="1">
        <v>0.0</v>
      </c>
      <c r="AO130" s="1">
        <v>1.0</v>
      </c>
      <c r="AP130" s="1">
        <v>1.0</v>
      </c>
      <c r="AQ130" s="1">
        <v>2.0</v>
      </c>
      <c r="AR130" s="1">
        <v>2.0</v>
      </c>
      <c r="AS130" s="1">
        <v>0.145419297299886</v>
      </c>
      <c r="AT130" s="1">
        <v>1.31309695681557</v>
      </c>
      <c r="AU130" s="1">
        <v>0.316401908767218</v>
      </c>
      <c r="AV130" s="1">
        <v>1.0</v>
      </c>
      <c r="AW130" s="1">
        <v>1.0</v>
      </c>
      <c r="AX130" s="1">
        <v>0.0</v>
      </c>
      <c r="AY130" s="1">
        <v>1.0</v>
      </c>
      <c r="AZ130" s="1">
        <v>1.0</v>
      </c>
      <c r="BA130" s="1">
        <v>16.0</v>
      </c>
      <c r="BB130" s="1">
        <v>312.0</v>
      </c>
      <c r="BC130" s="1">
        <v>326.0</v>
      </c>
      <c r="BD130" s="1" t="s">
        <v>108</v>
      </c>
    </row>
    <row r="131">
      <c r="A131" s="1" t="s">
        <v>1171</v>
      </c>
      <c r="B131" s="1" t="s">
        <v>70</v>
      </c>
      <c r="C131" s="1">
        <v>0.0</v>
      </c>
      <c r="D131" s="1" t="s">
        <v>71</v>
      </c>
      <c r="E131" s="1" t="b">
        <v>0</v>
      </c>
      <c r="F131" s="1" t="b">
        <v>1</v>
      </c>
      <c r="G131" s="1" t="s">
        <v>1172</v>
      </c>
      <c r="H131" s="1" t="s">
        <v>1173</v>
      </c>
      <c r="I131" s="1" t="s">
        <v>1175</v>
      </c>
      <c r="J131" s="1" t="s">
        <v>1177</v>
      </c>
      <c r="K131" s="1">
        <v>179.0</v>
      </c>
      <c r="L131" s="1">
        <v>12.7938811440003</v>
      </c>
      <c r="M131" s="1">
        <v>0.12516192493961</v>
      </c>
      <c r="N131" s="1">
        <v>1.39042448997497</v>
      </c>
      <c r="O131" s="1">
        <v>8.97891182606446</v>
      </c>
      <c r="P131" s="1">
        <v>0.014204025268554</v>
      </c>
      <c r="Q131" s="1" t="s">
        <v>198</v>
      </c>
      <c r="R131" s="1" t="s">
        <v>247</v>
      </c>
      <c r="S131" s="1">
        <v>179.0</v>
      </c>
      <c r="T131" s="1">
        <v>0.12516192493961</v>
      </c>
      <c r="U131" s="1">
        <v>0.267778790892394</v>
      </c>
      <c r="V131" s="5">
        <v>9.42742474308033E-7</v>
      </c>
      <c r="W131" s="1">
        <v>1.39042448997497</v>
      </c>
      <c r="X131" s="1">
        <v>1.3904235472325</v>
      </c>
      <c r="Y131" s="1">
        <v>0.564089167118072</v>
      </c>
      <c r="Z131" s="1">
        <v>0.755385959148407</v>
      </c>
      <c r="AA131" s="1">
        <v>1.09651420354843</v>
      </c>
      <c r="AB131" s="1">
        <v>8.97891182606446</v>
      </c>
      <c r="AC131" s="1">
        <v>4.48236720360824</v>
      </c>
      <c r="AD131" s="1">
        <v>0.0142040252685546</v>
      </c>
      <c r="AE131" s="1">
        <v>0.16312515258789</v>
      </c>
      <c r="AF131" s="1">
        <v>1.07571029663085</v>
      </c>
      <c r="AG131" s="1">
        <v>1.95454559326171</v>
      </c>
      <c r="AH131" s="1">
        <v>23.0</v>
      </c>
      <c r="AI131" s="1">
        <v>3.0</v>
      </c>
      <c r="AJ131" s="1">
        <v>0.0</v>
      </c>
      <c r="AK131" s="1">
        <v>0.0</v>
      </c>
      <c r="AL131" s="1">
        <v>0.128491620111731</v>
      </c>
      <c r="AM131" s="1">
        <v>0.0167597765363128</v>
      </c>
      <c r="AN131" s="1">
        <v>0.0</v>
      </c>
      <c r="AO131" s="1">
        <v>1.0</v>
      </c>
      <c r="AP131" s="1">
        <v>1.0</v>
      </c>
      <c r="AQ131" s="1">
        <v>3.0</v>
      </c>
      <c r="AR131" s="1">
        <v>6.0</v>
      </c>
      <c r="AS131" s="1">
        <v>0.187847263728121</v>
      </c>
      <c r="AT131" s="1">
        <v>1.3896063939901</v>
      </c>
      <c r="AU131" s="1">
        <v>0.354669092683647</v>
      </c>
      <c r="AV131" s="1">
        <v>2.0</v>
      </c>
      <c r="AW131" s="1">
        <v>1.0</v>
      </c>
      <c r="AX131" s="1">
        <v>0.0</v>
      </c>
      <c r="AY131" s="1">
        <v>0.0</v>
      </c>
      <c r="AZ131" s="1">
        <v>1.0</v>
      </c>
      <c r="BA131" s="1">
        <v>20.0</v>
      </c>
      <c r="BB131" s="1">
        <v>508.0</v>
      </c>
      <c r="BC131" s="1">
        <v>522.0</v>
      </c>
      <c r="BD131" s="1" t="s">
        <v>204</v>
      </c>
    </row>
    <row r="132">
      <c r="A132" s="1" t="s">
        <v>1182</v>
      </c>
      <c r="B132" s="1" t="s">
        <v>70</v>
      </c>
      <c r="C132" s="1">
        <v>0.0</v>
      </c>
      <c r="D132" s="1" t="s">
        <v>71</v>
      </c>
      <c r="E132" s="1" t="b">
        <v>0</v>
      </c>
      <c r="F132" s="1" t="b">
        <v>1</v>
      </c>
      <c r="G132" s="1" t="s">
        <v>1183</v>
      </c>
      <c r="H132" s="1" t="s">
        <v>1184</v>
      </c>
      <c r="I132" s="1" t="s">
        <v>1185</v>
      </c>
      <c r="J132" s="1" t="s">
        <v>1186</v>
      </c>
      <c r="K132" s="1">
        <v>111.0</v>
      </c>
      <c r="L132" s="1">
        <v>7.72752791599987</v>
      </c>
      <c r="M132" s="1">
        <v>0.133576534004778</v>
      </c>
      <c r="N132" s="1">
        <v>1.6010113954544</v>
      </c>
      <c r="O132" s="1">
        <v>7.63421413490364</v>
      </c>
      <c r="P132" s="1">
        <v>0.173294067382812</v>
      </c>
      <c r="Q132" s="1" t="s">
        <v>198</v>
      </c>
      <c r="R132" s="1" t="s">
        <v>1189</v>
      </c>
      <c r="S132" s="1">
        <v>111.0</v>
      </c>
      <c r="T132" s="1">
        <v>0.133576534004778</v>
      </c>
      <c r="U132" s="1">
        <v>0.281395859146455</v>
      </c>
      <c r="V132" s="5">
        <v>1.27649327623657E-5</v>
      </c>
      <c r="W132" s="1">
        <v>1.6010113954544</v>
      </c>
      <c r="X132" s="1">
        <v>1.60099863052164</v>
      </c>
      <c r="Y132" s="1">
        <v>0.534416854381561</v>
      </c>
      <c r="Z132" s="1">
        <v>0.662422388792038</v>
      </c>
      <c r="AA132" s="1">
        <v>1.24614983797073</v>
      </c>
      <c r="AB132" s="1">
        <v>7.63421413490364</v>
      </c>
      <c r="AC132" s="1">
        <v>4.02476434052878</v>
      </c>
      <c r="AD132" s="1">
        <v>0.173294067382812</v>
      </c>
      <c r="AE132" s="1">
        <v>0.501987838745117</v>
      </c>
      <c r="AF132" s="1">
        <v>1.16548252105712</v>
      </c>
      <c r="AG132" s="1">
        <v>1.74005699157714</v>
      </c>
      <c r="AH132" s="1">
        <v>13.0</v>
      </c>
      <c r="AI132" s="1">
        <v>3.0</v>
      </c>
      <c r="AJ132" s="1">
        <v>1.0</v>
      </c>
      <c r="AK132" s="1">
        <v>0.0</v>
      </c>
      <c r="AL132" s="1">
        <v>0.117117117117117</v>
      </c>
      <c r="AM132" s="1">
        <v>0.027027027027027</v>
      </c>
      <c r="AN132" s="1">
        <v>0.009009009009009</v>
      </c>
      <c r="AO132" s="1">
        <v>0.0</v>
      </c>
      <c r="AP132" s="1">
        <v>0.0</v>
      </c>
      <c r="AQ132" s="1">
        <v>1.0</v>
      </c>
      <c r="AR132" s="1">
        <v>2.0</v>
      </c>
      <c r="AS132" s="1">
        <v>0.215380267697467</v>
      </c>
      <c r="AT132" s="1">
        <v>1.60086143255466</v>
      </c>
      <c r="AU132" s="1">
        <v>0.40817782547913</v>
      </c>
      <c r="AV132" s="1">
        <v>1.0</v>
      </c>
      <c r="AW132" s="1">
        <v>1.0</v>
      </c>
      <c r="AX132" s="1">
        <v>1.0</v>
      </c>
      <c r="AY132" s="1">
        <v>0.0</v>
      </c>
      <c r="AZ132" s="1">
        <v>1.0</v>
      </c>
      <c r="BA132" s="1">
        <v>11.0</v>
      </c>
      <c r="BB132" s="1">
        <v>291.0</v>
      </c>
      <c r="BC132" s="1">
        <v>305.0</v>
      </c>
      <c r="BD132" s="1" t="s">
        <v>204</v>
      </c>
    </row>
    <row r="133">
      <c r="A133" s="1" t="s">
        <v>1195</v>
      </c>
      <c r="B133" s="1" t="s">
        <v>70</v>
      </c>
      <c r="C133" s="1">
        <v>0.0</v>
      </c>
      <c r="D133" s="1" t="s">
        <v>71</v>
      </c>
      <c r="E133" s="1" t="b">
        <v>1</v>
      </c>
      <c r="F133" s="1" t="b">
        <v>0</v>
      </c>
      <c r="G133" s="1" t="s">
        <v>74</v>
      </c>
      <c r="H133" s="1" t="s">
        <v>1196</v>
      </c>
      <c r="I133" s="1" t="s">
        <v>1197</v>
      </c>
      <c r="J133" s="1" t="s">
        <v>1198</v>
      </c>
      <c r="K133" s="1">
        <v>66.0</v>
      </c>
      <c r="L133" s="1">
        <v>4.35649286699981</v>
      </c>
      <c r="M133" s="1">
        <v>0.064013740621388</v>
      </c>
      <c r="N133" s="1">
        <v>1.1281327009201</v>
      </c>
      <c r="O133" s="1">
        <v>9.80391321760235</v>
      </c>
      <c r="P133" s="1">
        <v>0.734375</v>
      </c>
      <c r="S133" s="1">
        <v>66.0</v>
      </c>
      <c r="T133" s="1">
        <v>0.0640137406213884</v>
      </c>
      <c r="U133" s="1">
        <v>0.190944543632588</v>
      </c>
      <c r="V133" s="5">
        <v>7.15049168320547E-7</v>
      </c>
      <c r="W133" s="1">
        <v>1.1281327009201</v>
      </c>
      <c r="X133" s="1">
        <v>1.12813198587093</v>
      </c>
      <c r="Y133" s="1">
        <v>0.154394567012786</v>
      </c>
      <c r="Z133" s="1">
        <v>0.527175433933734</v>
      </c>
      <c r="AA133" s="1">
        <v>0.804428073763844</v>
      </c>
      <c r="AB133" s="1">
        <v>9.80391321760235</v>
      </c>
      <c r="AC133" s="1">
        <v>4.21964352014369</v>
      </c>
      <c r="AD133" s="1">
        <v>0.734375</v>
      </c>
      <c r="AE133" s="1">
        <v>0.819318294525146</v>
      </c>
      <c r="AF133" s="1">
        <v>1.90092325210571</v>
      </c>
      <c r="AG133" s="1">
        <v>3.69673347473144</v>
      </c>
      <c r="AH133" s="1">
        <v>4.0</v>
      </c>
      <c r="AI133" s="1">
        <v>1.0</v>
      </c>
      <c r="AJ133" s="1">
        <v>0.0</v>
      </c>
      <c r="AK133" s="1">
        <v>0.0</v>
      </c>
      <c r="AL133" s="1">
        <v>0.0606060606060606</v>
      </c>
      <c r="AM133" s="1">
        <v>0.0151515151515151</v>
      </c>
      <c r="AN133" s="1">
        <v>0.0</v>
      </c>
      <c r="AO133" s="1">
        <v>0.0</v>
      </c>
      <c r="AP133" s="1">
        <v>0.0</v>
      </c>
      <c r="AQ133" s="1">
        <v>0.0</v>
      </c>
      <c r="AR133" s="1">
        <v>0.0</v>
      </c>
      <c r="AS133" s="1">
        <v>0.111642176201932</v>
      </c>
      <c r="AT133" s="1">
        <v>1.12812564624118</v>
      </c>
      <c r="AU133" s="1">
        <v>0.26948194078548</v>
      </c>
      <c r="AV133" s="1">
        <v>1.0</v>
      </c>
      <c r="AW133" s="1">
        <v>1.0</v>
      </c>
      <c r="AX133" s="1">
        <v>0.0</v>
      </c>
      <c r="AY133" s="1">
        <v>0.0</v>
      </c>
      <c r="AZ133" s="1">
        <v>1.0</v>
      </c>
      <c r="BA133" s="1">
        <v>9.0</v>
      </c>
      <c r="BB133" s="1">
        <v>210.0</v>
      </c>
      <c r="BC133" s="1">
        <v>224.0</v>
      </c>
      <c r="BD133" s="1" t="s">
        <v>108</v>
      </c>
    </row>
    <row r="134">
      <c r="A134" s="1" t="s">
        <v>1201</v>
      </c>
      <c r="B134" s="1" t="s">
        <v>70</v>
      </c>
      <c r="C134" s="1">
        <v>0.0</v>
      </c>
      <c r="D134" s="1" t="s">
        <v>71</v>
      </c>
      <c r="E134" s="1" t="b">
        <v>0</v>
      </c>
      <c r="F134" s="1" t="b">
        <v>1</v>
      </c>
      <c r="G134" s="1" t="s">
        <v>1202</v>
      </c>
      <c r="H134" s="1" t="s">
        <v>1204</v>
      </c>
      <c r="I134" s="1" t="s">
        <v>1205</v>
      </c>
      <c r="J134" s="1" t="s">
        <v>1206</v>
      </c>
      <c r="K134" s="1">
        <v>68.0</v>
      </c>
      <c r="L134" s="1">
        <v>4.59142349299963</v>
      </c>
      <c r="M134" s="1">
        <v>0.123496816566878</v>
      </c>
      <c r="N134" s="1">
        <v>1.27018249034881</v>
      </c>
      <c r="O134" s="1">
        <v>7.62756967544555</v>
      </c>
      <c r="P134" s="1">
        <v>0.046875</v>
      </c>
      <c r="Q134" s="1" t="s">
        <v>198</v>
      </c>
      <c r="R134" s="1" t="s">
        <v>247</v>
      </c>
      <c r="S134" s="1">
        <v>68.0</v>
      </c>
      <c r="T134" s="1">
        <v>0.123496816566878</v>
      </c>
      <c r="U134" s="1">
        <v>0.252131524886348</v>
      </c>
      <c r="V134" s="5">
        <v>1.03145339380716E-5</v>
      </c>
      <c r="W134" s="1">
        <v>1.27018249034881</v>
      </c>
      <c r="X134" s="1">
        <v>1.27017217581487</v>
      </c>
      <c r="Y134" s="1">
        <v>0.465433359146118</v>
      </c>
      <c r="Z134" s="1">
        <v>0.592746406793594</v>
      </c>
      <c r="AA134" s="1">
        <v>1.15511250019073</v>
      </c>
      <c r="AB134" s="1">
        <v>7.62756967544555</v>
      </c>
      <c r="AC134" s="1">
        <v>4.11052840206939</v>
      </c>
      <c r="AD134" s="1">
        <v>0.046875</v>
      </c>
      <c r="AE134" s="1">
        <v>0.049729881286621</v>
      </c>
      <c r="AF134" s="1">
        <v>1.19076642990112</v>
      </c>
      <c r="AG134" s="1">
        <v>1.95241451263427</v>
      </c>
      <c r="AH134" s="1">
        <v>6.0</v>
      </c>
      <c r="AI134" s="1">
        <v>2.0</v>
      </c>
      <c r="AJ134" s="1">
        <v>0.0</v>
      </c>
      <c r="AK134" s="1">
        <v>0.0</v>
      </c>
      <c r="AL134" s="1">
        <v>0.088235294117647</v>
      </c>
      <c r="AM134" s="1">
        <v>0.0294117647058823</v>
      </c>
      <c r="AN134" s="1">
        <v>0.0</v>
      </c>
      <c r="AO134" s="1">
        <v>1.0</v>
      </c>
      <c r="AP134" s="1">
        <v>2.0</v>
      </c>
      <c r="AQ134" s="1">
        <v>2.0</v>
      </c>
      <c r="AR134" s="1">
        <v>2.0</v>
      </c>
      <c r="AS134" s="1">
        <v>0.195370554541073</v>
      </c>
      <c r="AT134" s="1">
        <v>1.24422577582299</v>
      </c>
      <c r="AU134" s="1">
        <v>0.34760643895998</v>
      </c>
      <c r="AV134" s="1">
        <v>1.0</v>
      </c>
      <c r="AW134" s="1">
        <v>1.0</v>
      </c>
      <c r="AX134" s="1">
        <v>0.0</v>
      </c>
      <c r="AY134" s="1">
        <v>0.0</v>
      </c>
      <c r="AZ134" s="1">
        <v>1.0</v>
      </c>
      <c r="BA134" s="1">
        <v>13.0</v>
      </c>
      <c r="BB134" s="1">
        <v>283.0</v>
      </c>
      <c r="BC134" s="1">
        <v>297.0</v>
      </c>
      <c r="BD134" s="1" t="s">
        <v>204</v>
      </c>
    </row>
    <row r="135">
      <c r="A135" s="1" t="s">
        <v>1211</v>
      </c>
      <c r="B135" s="1" t="s">
        <v>70</v>
      </c>
      <c r="C135" s="1">
        <v>0.0</v>
      </c>
      <c r="D135" s="1" t="s">
        <v>71</v>
      </c>
      <c r="E135" s="1" t="b">
        <v>1</v>
      </c>
      <c r="F135" s="1" t="b">
        <v>0</v>
      </c>
      <c r="G135" s="1" t="s">
        <v>74</v>
      </c>
      <c r="H135" s="1" t="s">
        <v>1212</v>
      </c>
      <c r="I135" s="1" t="s">
        <v>1213</v>
      </c>
      <c r="J135" s="1" t="s">
        <v>1214</v>
      </c>
      <c r="K135" s="1">
        <v>27.0</v>
      </c>
      <c r="L135" s="1">
        <v>1.88661451000007</v>
      </c>
      <c r="M135" s="1">
        <v>0.096053967273814</v>
      </c>
      <c r="N135" s="1">
        <v>0.875638246536254</v>
      </c>
      <c r="O135" s="1">
        <v>8.22879868966561</v>
      </c>
      <c r="P135" s="1">
        <v>1.09232902526855</v>
      </c>
      <c r="S135" s="1">
        <v>27.0</v>
      </c>
      <c r="T135" s="1">
        <v>0.0960539672738142</v>
      </c>
      <c r="U135" s="1">
        <v>0.210119234050039</v>
      </c>
      <c r="V135" s="5">
        <v>7.21485457688686E-6</v>
      </c>
      <c r="W135" s="1">
        <v>0.875638246536254</v>
      </c>
      <c r="X135" s="1">
        <v>0.875631031681678</v>
      </c>
      <c r="Y135" s="1">
        <v>0.348069757223129</v>
      </c>
      <c r="Z135" s="1">
        <v>0.526233944296836</v>
      </c>
      <c r="AA135" s="1">
        <v>0.795640234947204</v>
      </c>
      <c r="AB135" s="1">
        <v>8.22879868966561</v>
      </c>
      <c r="AC135" s="1">
        <v>4.29954078321596</v>
      </c>
      <c r="AD135" s="1">
        <v>1.09232902526855</v>
      </c>
      <c r="AE135" s="1">
        <v>1.18207347869873</v>
      </c>
      <c r="AF135" s="1">
        <v>1.5546875</v>
      </c>
      <c r="AG135" s="1">
        <v>2.175</v>
      </c>
      <c r="AH135" s="1">
        <v>2.0</v>
      </c>
      <c r="AI135" s="1">
        <v>0.0</v>
      </c>
      <c r="AJ135" s="1">
        <v>0.0</v>
      </c>
      <c r="AK135" s="1">
        <v>0.0</v>
      </c>
      <c r="AL135" s="1">
        <v>0.074074074074074</v>
      </c>
      <c r="AM135" s="1">
        <v>0.0</v>
      </c>
      <c r="AN135" s="1">
        <v>0.0</v>
      </c>
      <c r="AO135" s="1">
        <v>0.0</v>
      </c>
      <c r="AP135" s="1">
        <v>0.0</v>
      </c>
      <c r="AQ135" s="1">
        <v>0.0</v>
      </c>
      <c r="AR135" s="1">
        <v>0.0</v>
      </c>
      <c r="AS135" s="1">
        <v>0.144428211431064</v>
      </c>
      <c r="AT135" s="1">
        <v>0.871360043529421</v>
      </c>
      <c r="AU135" s="1">
        <v>0.260775622532187</v>
      </c>
      <c r="AV135" s="1">
        <v>1.0</v>
      </c>
      <c r="AW135" s="1">
        <v>0.0</v>
      </c>
      <c r="AX135" s="1">
        <v>0.0</v>
      </c>
      <c r="AY135" s="1">
        <v>0.0</v>
      </c>
      <c r="AZ135" s="1">
        <v>0.0</v>
      </c>
      <c r="BA135" s="1">
        <v>4.0</v>
      </c>
      <c r="BB135" s="1">
        <v>79.0</v>
      </c>
      <c r="BC135" s="1">
        <v>93.0</v>
      </c>
      <c r="BD135" s="1" t="s">
        <v>108</v>
      </c>
    </row>
    <row r="136">
      <c r="A136" s="1" t="s">
        <v>1218</v>
      </c>
      <c r="B136" s="1" t="s">
        <v>70</v>
      </c>
      <c r="C136" s="1">
        <v>0.0</v>
      </c>
      <c r="D136" s="1" t="s">
        <v>71</v>
      </c>
      <c r="E136" s="1" t="b">
        <v>1</v>
      </c>
      <c r="F136" s="1" t="b">
        <v>0</v>
      </c>
      <c r="G136" s="1" t="s">
        <v>74</v>
      </c>
      <c r="H136" s="1" t="s">
        <v>1221</v>
      </c>
      <c r="I136" s="1" t="s">
        <v>1223</v>
      </c>
      <c r="J136" s="1" t="s">
        <v>1224</v>
      </c>
      <c r="K136" s="1">
        <v>33.0</v>
      </c>
      <c r="L136" s="1">
        <v>2.26546607599993</v>
      </c>
      <c r="M136" s="1">
        <v>0.098338191119899</v>
      </c>
      <c r="N136" s="1">
        <v>0.708394646644592</v>
      </c>
      <c r="O136" s="1">
        <v>7.3073995474613</v>
      </c>
      <c r="P136" s="1">
        <v>0.036931991577148</v>
      </c>
      <c r="S136" s="1">
        <v>33.0</v>
      </c>
      <c r="T136" s="1">
        <v>0.0983381911198993</v>
      </c>
      <c r="U136" s="1">
        <v>0.197667222107428</v>
      </c>
      <c r="V136" s="5">
        <v>7.47975500416942E-5</v>
      </c>
      <c r="W136" s="1">
        <v>0.708394646644592</v>
      </c>
      <c r="X136" s="1">
        <v>0.70831984909455</v>
      </c>
      <c r="Y136" s="1">
        <v>0.359504079818725</v>
      </c>
      <c r="Z136" s="1">
        <v>0.628643059730529</v>
      </c>
      <c r="AA136" s="1">
        <v>0.690428051948547</v>
      </c>
      <c r="AB136" s="1">
        <v>7.3073995474613</v>
      </c>
      <c r="AC136" s="1">
        <v>3.50388453369834</v>
      </c>
      <c r="AD136" s="1">
        <v>0.0369319915771484</v>
      </c>
      <c r="AE136" s="1">
        <v>0.23011375427246</v>
      </c>
      <c r="AF136" s="1">
        <v>0.875</v>
      </c>
      <c r="AG136" s="1">
        <v>2.72642059326171</v>
      </c>
      <c r="AH136" s="1">
        <v>3.0</v>
      </c>
      <c r="AI136" s="1">
        <v>0.0</v>
      </c>
      <c r="AJ136" s="1">
        <v>0.0</v>
      </c>
      <c r="AK136" s="1">
        <v>0.0</v>
      </c>
      <c r="AL136" s="1">
        <v>0.0909090909090909</v>
      </c>
      <c r="AM136" s="1">
        <v>0.0</v>
      </c>
      <c r="AN136" s="1">
        <v>0.0</v>
      </c>
      <c r="AO136" s="1">
        <v>1.0</v>
      </c>
      <c r="AP136" s="1">
        <v>1.0</v>
      </c>
      <c r="AQ136" s="1">
        <v>1.0</v>
      </c>
      <c r="AR136" s="1">
        <v>1.0</v>
      </c>
      <c r="AS136" s="1">
        <v>0.166738026178336</v>
      </c>
      <c r="AT136" s="1">
        <v>0.69669397175312</v>
      </c>
      <c r="AU136" s="1">
        <v>0.290295335928002</v>
      </c>
      <c r="AV136" s="1">
        <v>1.0</v>
      </c>
      <c r="AW136" s="1">
        <v>0.0</v>
      </c>
      <c r="AX136" s="1">
        <v>0.0</v>
      </c>
      <c r="AY136" s="1">
        <v>0.0</v>
      </c>
      <c r="AZ136" s="1">
        <v>0.0</v>
      </c>
      <c r="BA136" s="1">
        <v>4.0</v>
      </c>
      <c r="BB136" s="1">
        <v>99.0</v>
      </c>
      <c r="BC136" s="1">
        <v>113.0</v>
      </c>
      <c r="BD136" s="1" t="s">
        <v>108</v>
      </c>
    </row>
    <row r="137">
      <c r="A137" s="1" t="s">
        <v>1226</v>
      </c>
      <c r="B137" s="1" t="s">
        <v>70</v>
      </c>
      <c r="C137" s="1">
        <v>0.0</v>
      </c>
      <c r="D137" s="1" t="s">
        <v>71</v>
      </c>
      <c r="E137" s="1" t="b">
        <v>1</v>
      </c>
      <c r="F137" s="1" t="b">
        <v>0</v>
      </c>
      <c r="G137" s="1" t="s">
        <v>74</v>
      </c>
      <c r="H137" s="1" t="s">
        <v>1227</v>
      </c>
      <c r="I137" s="1" t="s">
        <v>1228</v>
      </c>
      <c r="J137" s="1" t="s">
        <v>1229</v>
      </c>
      <c r="K137" s="1">
        <v>50.0</v>
      </c>
      <c r="L137" s="1">
        <v>3.37882532399999</v>
      </c>
      <c r="M137" s="1">
        <v>0.040110207795196</v>
      </c>
      <c r="N137" s="1">
        <v>0.536748170852661</v>
      </c>
      <c r="O137" s="1">
        <v>10.0206111526489</v>
      </c>
      <c r="P137" s="1">
        <v>1.28125</v>
      </c>
      <c r="S137" s="1">
        <v>50.0</v>
      </c>
      <c r="T137" s="1">
        <v>0.0401102077951964</v>
      </c>
      <c r="U137" s="1">
        <v>0.125333835346996</v>
      </c>
      <c r="V137" s="5">
        <v>2.02775459001713E-6</v>
      </c>
      <c r="W137" s="1">
        <v>0.536748170852661</v>
      </c>
      <c r="X137" s="1">
        <v>0.536746143098071</v>
      </c>
      <c r="Y137" s="1">
        <v>0.0576480235904455</v>
      </c>
      <c r="Z137" s="1">
        <v>0.314707745239137</v>
      </c>
      <c r="AA137" s="1">
        <v>0.53093635559082</v>
      </c>
      <c r="AB137" s="1">
        <v>10.0206111526489</v>
      </c>
      <c r="AC137" s="1">
        <v>4.18518383227261</v>
      </c>
      <c r="AD137" s="1">
        <v>1.28125</v>
      </c>
      <c r="AE137" s="1">
        <v>1.2965625</v>
      </c>
      <c r="AF137" s="1">
        <v>2.93337984085083</v>
      </c>
      <c r="AG137" s="1">
        <v>5.50852394104003</v>
      </c>
      <c r="AH137" s="1">
        <v>3.0</v>
      </c>
      <c r="AI137" s="1">
        <v>0.0</v>
      </c>
      <c r="AJ137" s="1">
        <v>0.0</v>
      </c>
      <c r="AK137" s="1">
        <v>0.0</v>
      </c>
      <c r="AL137" s="1">
        <v>0.06</v>
      </c>
      <c r="AM137" s="1">
        <v>0.0</v>
      </c>
      <c r="AN137" s="1">
        <v>0.0</v>
      </c>
      <c r="AO137" s="1">
        <v>0.0</v>
      </c>
      <c r="AP137" s="1">
        <v>0.0</v>
      </c>
      <c r="AQ137" s="1">
        <v>0.0</v>
      </c>
      <c r="AR137" s="1">
        <v>0.0</v>
      </c>
      <c r="AS137" s="1">
        <v>0.0661729271494327</v>
      </c>
      <c r="AT137" s="1">
        <v>0.532608745153993</v>
      </c>
      <c r="AU137" s="1">
        <v>0.168189093118449</v>
      </c>
      <c r="AV137" s="1">
        <v>1.0</v>
      </c>
      <c r="AW137" s="1">
        <v>0.0</v>
      </c>
      <c r="AX137" s="1">
        <v>0.0</v>
      </c>
      <c r="AY137" s="1">
        <v>0.0</v>
      </c>
      <c r="AZ137" s="1">
        <v>0.0</v>
      </c>
      <c r="BA137" s="1">
        <v>5.0</v>
      </c>
      <c r="BB137" s="1">
        <v>129.0</v>
      </c>
      <c r="BC137" s="1">
        <v>143.0</v>
      </c>
      <c r="BD137" s="1" t="s">
        <v>108</v>
      </c>
    </row>
    <row r="138">
      <c r="A138" s="1" t="s">
        <v>1236</v>
      </c>
      <c r="B138" s="1" t="s">
        <v>70</v>
      </c>
      <c r="C138" s="1">
        <v>0.0</v>
      </c>
      <c r="D138" s="1" t="s">
        <v>71</v>
      </c>
      <c r="E138" s="1" t="b">
        <v>1</v>
      </c>
      <c r="F138" s="1" t="b">
        <v>0</v>
      </c>
      <c r="G138" s="1" t="s">
        <v>74</v>
      </c>
      <c r="H138" s="1" t="s">
        <v>1238</v>
      </c>
      <c r="I138" s="1" t="s">
        <v>1239</v>
      </c>
      <c r="J138" s="1" t="s">
        <v>1240</v>
      </c>
      <c r="K138" s="1">
        <v>82.0</v>
      </c>
      <c r="L138" s="1">
        <v>5.52058893399998</v>
      </c>
      <c r="M138" s="1">
        <v>0.058351150338821</v>
      </c>
      <c r="N138" s="1">
        <v>1.06597435474395</v>
      </c>
      <c r="O138" s="1">
        <v>11.009077572241</v>
      </c>
      <c r="P138" s="1">
        <v>0.285512924194335</v>
      </c>
      <c r="S138" s="1">
        <v>82.0</v>
      </c>
      <c r="T138" s="1">
        <v>0.0583511503388216</v>
      </c>
      <c r="U138" s="1">
        <v>0.193001074041288</v>
      </c>
      <c r="V138" s="5">
        <v>1.96476293012892E-7</v>
      </c>
      <c r="W138" s="1">
        <v>1.06597435474395</v>
      </c>
      <c r="X138" s="1">
        <v>1.06597415826766</v>
      </c>
      <c r="Y138" s="1">
        <v>0.0505707137286664</v>
      </c>
      <c r="Z138" s="1">
        <v>0.589663875102996</v>
      </c>
      <c r="AA138" s="1">
        <v>0.81597880065441</v>
      </c>
      <c r="AB138" s="1">
        <v>11.009077572241</v>
      </c>
      <c r="AC138" s="1">
        <v>4.21677755804006</v>
      </c>
      <c r="AD138" s="1">
        <v>0.285512924194335</v>
      </c>
      <c r="AE138" s="1">
        <v>0.651391639709472</v>
      </c>
      <c r="AF138" s="1">
        <v>1.7265625</v>
      </c>
      <c r="AG138" s="1">
        <v>5.42741584777832</v>
      </c>
      <c r="AH138" s="1">
        <v>6.0</v>
      </c>
      <c r="AI138" s="1">
        <v>1.0</v>
      </c>
      <c r="AJ138" s="1">
        <v>0.0</v>
      </c>
      <c r="AK138" s="1">
        <v>0.0</v>
      </c>
      <c r="AL138" s="1">
        <v>0.073170731707317</v>
      </c>
      <c r="AM138" s="1">
        <v>0.0121951219512195</v>
      </c>
      <c r="AN138" s="1">
        <v>0.0</v>
      </c>
      <c r="AO138" s="1">
        <v>0.0</v>
      </c>
      <c r="AP138" s="1">
        <v>0.0</v>
      </c>
      <c r="AQ138" s="1">
        <v>0.0</v>
      </c>
      <c r="AR138" s="1">
        <v>1.0</v>
      </c>
      <c r="AS138" s="1">
        <v>0.0916436525277609</v>
      </c>
      <c r="AT138" s="1">
        <v>1.06594475029487</v>
      </c>
      <c r="AU138" s="1">
        <v>0.253421978065288</v>
      </c>
      <c r="AV138" s="1">
        <v>2.0</v>
      </c>
      <c r="AW138" s="1">
        <v>1.0</v>
      </c>
      <c r="AX138" s="1">
        <v>0.0</v>
      </c>
      <c r="AY138" s="1">
        <v>0.0</v>
      </c>
      <c r="AZ138" s="1">
        <v>1.0</v>
      </c>
      <c r="BA138" s="1">
        <v>8.0</v>
      </c>
      <c r="BB138" s="1">
        <v>301.0</v>
      </c>
      <c r="BC138" s="1">
        <v>315.0</v>
      </c>
      <c r="BD138" s="1" t="s">
        <v>108</v>
      </c>
    </row>
    <row r="139">
      <c r="A139" s="1" t="s">
        <v>1243</v>
      </c>
      <c r="B139" s="1" t="s">
        <v>70</v>
      </c>
      <c r="C139" s="1">
        <v>0.0</v>
      </c>
      <c r="D139" s="1" t="s">
        <v>71</v>
      </c>
      <c r="E139" s="1" t="b">
        <v>1</v>
      </c>
      <c r="F139" s="1" t="b">
        <v>0</v>
      </c>
      <c r="G139" s="1" t="s">
        <v>74</v>
      </c>
      <c r="H139" s="1" t="s">
        <v>1245</v>
      </c>
      <c r="I139" s="1" t="s">
        <v>1246</v>
      </c>
      <c r="J139" s="1" t="s">
        <v>1248</v>
      </c>
      <c r="K139" s="1">
        <v>90.0</v>
      </c>
      <c r="L139" s="1">
        <v>6.07118410400016</v>
      </c>
      <c r="M139" s="1">
        <v>0.115047954997968</v>
      </c>
      <c r="N139" s="1">
        <v>1.34544682502746</v>
      </c>
      <c r="O139" s="1">
        <v>8.62049442927042</v>
      </c>
      <c r="P139" s="1">
        <v>0.84375</v>
      </c>
      <c r="S139" s="1">
        <v>90.0</v>
      </c>
      <c r="T139" s="1">
        <v>0.115047954997968</v>
      </c>
      <c r="U139" s="1">
        <v>0.279630014954275</v>
      </c>
      <c r="V139" s="5">
        <v>6.21548088020063E-6</v>
      </c>
      <c r="W139" s="1">
        <v>1.34544682502746</v>
      </c>
      <c r="X139" s="1">
        <v>1.34544060954658</v>
      </c>
      <c r="Y139" s="1">
        <v>0.378502434492112</v>
      </c>
      <c r="Z139" s="1">
        <v>0.787255683541296</v>
      </c>
      <c r="AA139" s="1">
        <v>1.32678491592407</v>
      </c>
      <c r="AB139" s="1">
        <v>8.62049442927042</v>
      </c>
      <c r="AC139" s="1">
        <v>4.14962142141419</v>
      </c>
      <c r="AD139" s="1">
        <v>0.84375</v>
      </c>
      <c r="AE139" s="1">
        <v>1.0675129699707</v>
      </c>
      <c r="AF139" s="1">
        <v>1.16953144073486</v>
      </c>
      <c r="AG139" s="1">
        <v>1.99176216125488</v>
      </c>
      <c r="AH139" s="1">
        <v>8.0</v>
      </c>
      <c r="AI139" s="1">
        <v>2.0</v>
      </c>
      <c r="AJ139" s="1">
        <v>0.0</v>
      </c>
      <c r="AK139" s="1">
        <v>0.0</v>
      </c>
      <c r="AL139" s="1">
        <v>0.0888888888888888</v>
      </c>
      <c r="AM139" s="1">
        <v>0.0222222222222222</v>
      </c>
      <c r="AN139" s="1">
        <v>0.0</v>
      </c>
      <c r="AO139" s="1">
        <v>0.0</v>
      </c>
      <c r="AP139" s="1">
        <v>0.0</v>
      </c>
      <c r="AQ139" s="1">
        <v>0.0</v>
      </c>
      <c r="AR139" s="1">
        <v>0.0</v>
      </c>
      <c r="AS139" s="1">
        <v>0.148474044626127</v>
      </c>
      <c r="AT139" s="1">
        <v>1.34519758063834</v>
      </c>
      <c r="AU139" s="1">
        <v>0.310172856609927</v>
      </c>
      <c r="AV139" s="1">
        <v>4.0</v>
      </c>
      <c r="AW139" s="1">
        <v>1.0</v>
      </c>
      <c r="AX139" s="1">
        <v>0.0</v>
      </c>
      <c r="AY139" s="1">
        <v>0.0</v>
      </c>
      <c r="AZ139" s="1">
        <v>1.0</v>
      </c>
      <c r="BA139" s="1">
        <v>16.0</v>
      </c>
      <c r="BB139" s="1">
        <v>362.0</v>
      </c>
      <c r="BC139" s="1">
        <v>376.0</v>
      </c>
      <c r="BD139" s="1" t="s">
        <v>108</v>
      </c>
    </row>
    <row r="140">
      <c r="A140" s="1" t="s">
        <v>1252</v>
      </c>
      <c r="B140" s="1" t="s">
        <v>70</v>
      </c>
      <c r="C140" s="1">
        <v>0.0</v>
      </c>
      <c r="D140" s="1" t="s">
        <v>71</v>
      </c>
      <c r="E140" s="1" t="b">
        <v>1</v>
      </c>
      <c r="F140" s="1" t="b">
        <v>0</v>
      </c>
      <c r="G140" s="1" t="s">
        <v>74</v>
      </c>
      <c r="H140" s="1" t="s">
        <v>1253</v>
      </c>
      <c r="I140" s="1" t="s">
        <v>1254</v>
      </c>
      <c r="J140" s="1" t="s">
        <v>1255</v>
      </c>
      <c r="K140" s="1">
        <v>28.0</v>
      </c>
      <c r="L140" s="1">
        <v>1.85910033600021</v>
      </c>
      <c r="M140" s="1">
        <v>0.052970059619513</v>
      </c>
      <c r="N140" s="1">
        <v>0.646586716175079</v>
      </c>
      <c r="O140" s="1">
        <v>8.43907301766531</v>
      </c>
      <c r="P140" s="1">
        <v>1.2940330505371</v>
      </c>
      <c r="S140" s="1">
        <v>28.0</v>
      </c>
      <c r="T140" s="1">
        <v>0.0529700596195133</v>
      </c>
      <c r="U140" s="1">
        <v>0.139183177436787</v>
      </c>
      <c r="V140" s="5">
        <v>2.79876458080252E-5</v>
      </c>
      <c r="W140" s="1">
        <v>0.646586716175079</v>
      </c>
      <c r="X140" s="1">
        <v>0.646558728529271</v>
      </c>
      <c r="Y140" s="1">
        <v>0.0949203699827194</v>
      </c>
      <c r="Z140" s="1">
        <v>0.299219568818807</v>
      </c>
      <c r="AA140" s="1">
        <v>0.57744666069746</v>
      </c>
      <c r="AB140" s="1">
        <v>8.43907301766531</v>
      </c>
      <c r="AC140" s="1">
        <v>3.38506528099458</v>
      </c>
      <c r="AD140" s="1">
        <v>1.2940330505371</v>
      </c>
      <c r="AE140" s="1">
        <v>1.50995662689208</v>
      </c>
      <c r="AF140" s="1">
        <v>2.86086702346801</v>
      </c>
      <c r="AG140" s="1">
        <v>4.3232961654663</v>
      </c>
      <c r="AH140" s="1">
        <v>1.0</v>
      </c>
      <c r="AI140" s="1">
        <v>0.0</v>
      </c>
      <c r="AJ140" s="1">
        <v>0.0</v>
      </c>
      <c r="AK140" s="1">
        <v>0.0</v>
      </c>
      <c r="AL140" s="1">
        <v>0.0357142857142857</v>
      </c>
      <c r="AM140" s="1">
        <v>0.0</v>
      </c>
      <c r="AN140" s="1">
        <v>0.0</v>
      </c>
      <c r="AO140" s="1">
        <v>0.0</v>
      </c>
      <c r="AP140" s="1">
        <v>0.0</v>
      </c>
      <c r="AQ140" s="1">
        <v>0.0</v>
      </c>
      <c r="AR140" s="1">
        <v>0.0</v>
      </c>
      <c r="AS140" s="1">
        <v>0.0810722185475848</v>
      </c>
      <c r="AT140" s="1">
        <v>0.641542308963835</v>
      </c>
      <c r="AU140" s="1">
        <v>0.167117608357426</v>
      </c>
      <c r="AV140" s="1">
        <v>1.0</v>
      </c>
      <c r="AW140" s="1">
        <v>0.0</v>
      </c>
      <c r="AX140" s="1">
        <v>0.0</v>
      </c>
      <c r="AY140" s="1">
        <v>0.0</v>
      </c>
      <c r="AZ140" s="1">
        <v>0.0</v>
      </c>
      <c r="BA140" s="1">
        <v>2.0</v>
      </c>
      <c r="BB140" s="1">
        <v>61.0</v>
      </c>
      <c r="BC140" s="1">
        <v>75.0</v>
      </c>
      <c r="BD140" s="1" t="s">
        <v>108</v>
      </c>
    </row>
    <row r="141">
      <c r="A141" s="1" t="s">
        <v>1260</v>
      </c>
      <c r="B141" s="1" t="s">
        <v>70</v>
      </c>
      <c r="C141" s="1">
        <v>0.0</v>
      </c>
      <c r="D141" s="1" t="s">
        <v>71</v>
      </c>
      <c r="E141" s="1" t="b">
        <v>1</v>
      </c>
      <c r="F141" s="1" t="b">
        <v>0</v>
      </c>
      <c r="G141" s="1" t="s">
        <v>74</v>
      </c>
      <c r="H141" s="1" t="s">
        <v>1264</v>
      </c>
      <c r="I141" s="1" t="s">
        <v>1265</v>
      </c>
      <c r="J141" s="1" t="s">
        <v>1266</v>
      </c>
      <c r="K141" s="1">
        <v>45.0</v>
      </c>
      <c r="L141" s="1">
        <v>3.02975728899991</v>
      </c>
      <c r="M141" s="1">
        <v>0.048125702058152</v>
      </c>
      <c r="N141" s="1">
        <v>0.963280320167541</v>
      </c>
      <c r="O141" s="1">
        <v>9.93123457166883</v>
      </c>
      <c r="P141" s="1">
        <v>1.5</v>
      </c>
      <c r="S141" s="1">
        <v>45.0</v>
      </c>
      <c r="T141" s="1">
        <v>0.0481257020581526</v>
      </c>
      <c r="U141" s="1">
        <v>0.171448291725365</v>
      </c>
      <c r="V141" s="5">
        <v>2.9352572710195E-6</v>
      </c>
      <c r="W141" s="1">
        <v>0.963280320167541</v>
      </c>
      <c r="X141" s="1">
        <v>0.96327738491027</v>
      </c>
      <c r="Y141" s="1">
        <v>0.0429119393229484</v>
      </c>
      <c r="Z141" s="1">
        <v>0.307764850556849</v>
      </c>
      <c r="AA141" s="1">
        <v>0.790543296337128</v>
      </c>
      <c r="AB141" s="1">
        <v>9.93123457166883</v>
      </c>
      <c r="AC141" s="1">
        <v>3.65721516103128</v>
      </c>
      <c r="AD141" s="1">
        <v>1.5</v>
      </c>
      <c r="AE141" s="1">
        <v>1.699375</v>
      </c>
      <c r="AF141" s="1">
        <v>2.76448936462402</v>
      </c>
      <c r="AG141" s="1">
        <v>5.02670440673828</v>
      </c>
      <c r="AH141" s="1">
        <v>2.0</v>
      </c>
      <c r="AI141" s="1">
        <v>0.0</v>
      </c>
      <c r="AJ141" s="1">
        <v>0.0</v>
      </c>
      <c r="AK141" s="1">
        <v>0.0</v>
      </c>
      <c r="AL141" s="1">
        <v>0.0444444444444444</v>
      </c>
      <c r="AM141" s="1">
        <v>0.0</v>
      </c>
      <c r="AN141" s="1">
        <v>0.0</v>
      </c>
      <c r="AO141" s="1">
        <v>0.0</v>
      </c>
      <c r="AP141" s="1">
        <v>0.0</v>
      </c>
      <c r="AQ141" s="1">
        <v>0.0</v>
      </c>
      <c r="AR141" s="1">
        <v>0.0</v>
      </c>
      <c r="AS141" s="1">
        <v>0.0735075223723966</v>
      </c>
      <c r="AT141" s="1">
        <v>0.960055957082659</v>
      </c>
      <c r="AU141" s="1">
        <v>0.203499780075829</v>
      </c>
      <c r="AV141" s="1">
        <v>1.0</v>
      </c>
      <c r="AW141" s="1">
        <v>0.0</v>
      </c>
      <c r="AX141" s="1">
        <v>0.0</v>
      </c>
      <c r="AY141" s="1">
        <v>0.0</v>
      </c>
      <c r="AZ141" s="1">
        <v>0.0</v>
      </c>
      <c r="BA141" s="1">
        <v>7.0</v>
      </c>
      <c r="BB141" s="1">
        <v>137.0</v>
      </c>
      <c r="BC141" s="1">
        <v>151.0</v>
      </c>
      <c r="BD141" s="1" t="s">
        <v>108</v>
      </c>
    </row>
    <row r="142">
      <c r="A142" s="1" t="s">
        <v>1267</v>
      </c>
      <c r="B142" s="1" t="s">
        <v>70</v>
      </c>
      <c r="C142" s="1">
        <v>0.0</v>
      </c>
      <c r="D142" s="1" t="s">
        <v>71</v>
      </c>
      <c r="E142" s="1" t="b">
        <v>0</v>
      </c>
      <c r="F142" s="1" t="b">
        <v>1</v>
      </c>
      <c r="G142" s="1" t="s">
        <v>1270</v>
      </c>
      <c r="H142" s="1" t="s">
        <v>1271</v>
      </c>
      <c r="I142" s="1" t="s">
        <v>1272</v>
      </c>
      <c r="J142" s="1" t="s">
        <v>1273</v>
      </c>
      <c r="K142" s="1">
        <v>32.0</v>
      </c>
      <c r="L142" s="1">
        <v>2.18720748400028</v>
      </c>
      <c r="M142" s="1">
        <v>0.105470973587443</v>
      </c>
      <c r="N142" s="1">
        <v>0.743021011352539</v>
      </c>
      <c r="O142" s="1">
        <v>7.25625908374786</v>
      </c>
      <c r="P142" s="1">
        <v>0.768465042114257</v>
      </c>
      <c r="Q142" s="1" t="s">
        <v>198</v>
      </c>
      <c r="R142" s="1" t="s">
        <v>1275</v>
      </c>
      <c r="S142" s="1">
        <v>32.0</v>
      </c>
      <c r="T142" s="1">
        <v>0.105470973587443</v>
      </c>
      <c r="U142" s="1">
        <v>0.199316979627003</v>
      </c>
      <c r="V142" s="1">
        <v>1.21908327855635E-4</v>
      </c>
      <c r="W142" s="1">
        <v>0.743021011352539</v>
      </c>
      <c r="X142" s="1">
        <v>0.742899103024683</v>
      </c>
      <c r="Y142" s="1">
        <v>0.423603525757789</v>
      </c>
      <c r="Z142" s="1">
        <v>0.533397208154201</v>
      </c>
      <c r="AA142" s="1">
        <v>0.705882336497307</v>
      </c>
      <c r="AB142" s="1">
        <v>7.25625908374786</v>
      </c>
      <c r="AC142" s="1">
        <v>3.64625465758925</v>
      </c>
      <c r="AD142" s="1">
        <v>0.768465042114257</v>
      </c>
      <c r="AE142" s="1">
        <v>1.02430337905883</v>
      </c>
      <c r="AF142" s="1">
        <v>1.64374942779541</v>
      </c>
      <c r="AG142" s="1">
        <v>1.76946067810058</v>
      </c>
      <c r="AH142" s="1">
        <v>2.0</v>
      </c>
      <c r="AI142" s="1">
        <v>0.0</v>
      </c>
      <c r="AJ142" s="1">
        <v>0.0</v>
      </c>
      <c r="AK142" s="1">
        <v>0.0</v>
      </c>
      <c r="AL142" s="1">
        <v>0.0625</v>
      </c>
      <c r="AM142" s="1">
        <v>0.0</v>
      </c>
      <c r="AN142" s="1">
        <v>0.0</v>
      </c>
      <c r="AO142" s="1">
        <v>0.0</v>
      </c>
      <c r="AP142" s="1">
        <v>0.0</v>
      </c>
      <c r="AQ142" s="1">
        <v>0.0</v>
      </c>
      <c r="AR142" s="1">
        <v>0.0</v>
      </c>
      <c r="AS142" s="1">
        <v>0.18247168181387</v>
      </c>
      <c r="AT142" s="1">
        <v>0.739463927224278</v>
      </c>
      <c r="AU142" s="1">
        <v>0.291396656539237</v>
      </c>
      <c r="AV142" s="1">
        <v>1.0</v>
      </c>
      <c r="AW142" s="1">
        <v>0.0</v>
      </c>
      <c r="AX142" s="1">
        <v>0.0</v>
      </c>
      <c r="AY142" s="1">
        <v>0.0</v>
      </c>
      <c r="AZ142" s="1">
        <v>0.0</v>
      </c>
      <c r="BA142" s="1">
        <v>4.0</v>
      </c>
      <c r="BB142" s="1">
        <v>90.0</v>
      </c>
      <c r="BC142" s="1">
        <v>104.0</v>
      </c>
      <c r="BD142" s="1" t="s">
        <v>1110</v>
      </c>
    </row>
    <row r="143">
      <c r="A143" s="1" t="s">
        <v>1280</v>
      </c>
      <c r="B143" s="1" t="s">
        <v>70</v>
      </c>
      <c r="C143" s="1">
        <v>0.0</v>
      </c>
      <c r="D143" s="1" t="s">
        <v>71</v>
      </c>
      <c r="E143" s="1" t="b">
        <v>0</v>
      </c>
      <c r="F143" s="1" t="b">
        <v>1</v>
      </c>
      <c r="G143" s="1" t="s">
        <v>1281</v>
      </c>
      <c r="H143" s="1" t="s">
        <v>1282</v>
      </c>
      <c r="I143" s="1" t="s">
        <v>1283</v>
      </c>
      <c r="J143" s="1" t="s">
        <v>1284</v>
      </c>
      <c r="K143" s="1">
        <v>68.0</v>
      </c>
      <c r="L143" s="1">
        <v>4.70789869700001</v>
      </c>
      <c r="M143" s="1">
        <v>0.077056494621111</v>
      </c>
      <c r="N143" s="1">
        <v>1.287606716156</v>
      </c>
      <c r="O143" s="1">
        <v>8.65059984431547</v>
      </c>
      <c r="P143" s="1">
        <v>0.03125</v>
      </c>
      <c r="Q143" s="1" t="s">
        <v>198</v>
      </c>
      <c r="R143" s="1" t="s">
        <v>247</v>
      </c>
      <c r="S143" s="1">
        <v>68.0</v>
      </c>
      <c r="T143" s="1">
        <v>0.0770564946211117</v>
      </c>
      <c r="U143" s="1">
        <v>0.218239374792331</v>
      </c>
      <c r="V143" s="5">
        <v>6.28418419523768E-8</v>
      </c>
      <c r="W143" s="1">
        <v>1.287606716156</v>
      </c>
      <c r="X143" s="1">
        <v>1.28760665331416</v>
      </c>
      <c r="Y143" s="1">
        <v>0.188506183028221</v>
      </c>
      <c r="Z143" s="1">
        <v>0.467407381534576</v>
      </c>
      <c r="AA143" s="1">
        <v>1.10417691946029</v>
      </c>
      <c r="AB143" s="1">
        <v>8.65059984431547</v>
      </c>
      <c r="AC143" s="1">
        <v>4.1147456709459</v>
      </c>
      <c r="AD143" s="1">
        <v>0.03125</v>
      </c>
      <c r="AE143" s="1">
        <v>0.0693180656433105</v>
      </c>
      <c r="AF143" s="1">
        <v>1.98125009536743</v>
      </c>
      <c r="AG143" s="1">
        <v>3.9390625</v>
      </c>
      <c r="AH143" s="1">
        <v>2.0</v>
      </c>
      <c r="AI143" s="1">
        <v>2.0</v>
      </c>
      <c r="AJ143" s="1">
        <v>0.0</v>
      </c>
      <c r="AK143" s="1">
        <v>0.0</v>
      </c>
      <c r="AL143" s="1">
        <v>0.0294117647058823</v>
      </c>
      <c r="AM143" s="1">
        <v>0.0294117647058823</v>
      </c>
      <c r="AN143" s="1">
        <v>0.0</v>
      </c>
      <c r="AO143" s="1">
        <v>1.0</v>
      </c>
      <c r="AP143" s="1">
        <v>2.0</v>
      </c>
      <c r="AQ143" s="1">
        <v>2.0</v>
      </c>
      <c r="AR143" s="1">
        <v>2.0</v>
      </c>
      <c r="AS143" s="1">
        <v>0.122545230783127</v>
      </c>
      <c r="AT143" s="1">
        <v>1.28263212833553</v>
      </c>
      <c r="AU143" s="1">
        <v>0.295504928863711</v>
      </c>
      <c r="AV143" s="1">
        <v>1.0</v>
      </c>
      <c r="AW143" s="1">
        <v>1.0</v>
      </c>
      <c r="AX143" s="1">
        <v>0.0</v>
      </c>
      <c r="AY143" s="1">
        <v>0.0</v>
      </c>
      <c r="AZ143" s="1">
        <v>1.0</v>
      </c>
      <c r="BA143" s="1">
        <v>5.0</v>
      </c>
      <c r="BB143" s="1">
        <v>168.0</v>
      </c>
      <c r="BC143" s="1">
        <v>182.0</v>
      </c>
      <c r="BD143" s="1" t="s">
        <v>204</v>
      </c>
    </row>
    <row r="144">
      <c r="A144" s="1" t="s">
        <v>1291</v>
      </c>
      <c r="B144" s="1" t="s">
        <v>70</v>
      </c>
      <c r="C144" s="1">
        <v>0.0</v>
      </c>
      <c r="D144" s="1" t="s">
        <v>71</v>
      </c>
      <c r="E144" s="1" t="b">
        <v>1</v>
      </c>
      <c r="F144" s="1" t="b">
        <v>0</v>
      </c>
      <c r="G144" s="1" t="s">
        <v>74</v>
      </c>
      <c r="H144" s="1" t="s">
        <v>1294</v>
      </c>
      <c r="I144" s="1" t="s">
        <v>1295</v>
      </c>
      <c r="J144" s="1" t="s">
        <v>1296</v>
      </c>
      <c r="K144" s="1">
        <v>74.0</v>
      </c>
      <c r="L144" s="1">
        <v>5.04621361799991</v>
      </c>
      <c r="M144" s="1">
        <v>0.056596985526023</v>
      </c>
      <c r="N144" s="1">
        <v>0.788926064968109</v>
      </c>
      <c r="O144" s="1">
        <v>9.64953207325291</v>
      </c>
      <c r="P144" s="1">
        <v>0.21875</v>
      </c>
      <c r="S144" s="1">
        <v>74.0</v>
      </c>
      <c r="T144" s="1">
        <v>0.0565969855260231</v>
      </c>
      <c r="U144" s="1">
        <v>0.173781723336296</v>
      </c>
      <c r="V144" s="5">
        <v>8.21339199319481E-6</v>
      </c>
      <c r="W144" s="1">
        <v>0.788926064968109</v>
      </c>
      <c r="X144" s="1">
        <v>0.788917851576115</v>
      </c>
      <c r="Y144" s="1">
        <v>0.0827063620090484</v>
      </c>
      <c r="Z144" s="1">
        <v>0.621593505144118</v>
      </c>
      <c r="AA144" s="1">
        <v>0.724076122641563</v>
      </c>
      <c r="AB144" s="1">
        <v>9.64953207325291</v>
      </c>
      <c r="AC144" s="1">
        <v>3.83888581366698</v>
      </c>
      <c r="AD144" s="1">
        <v>0.21875</v>
      </c>
      <c r="AE144" s="1">
        <v>0.319333019256591</v>
      </c>
      <c r="AF144" s="1">
        <v>1.97372074127197</v>
      </c>
      <c r="AG144" s="1">
        <v>4.23437480926513</v>
      </c>
      <c r="AH144" s="1">
        <v>5.0</v>
      </c>
      <c r="AI144" s="1">
        <v>0.0</v>
      </c>
      <c r="AJ144" s="1">
        <v>0.0</v>
      </c>
      <c r="AK144" s="1">
        <v>0.0</v>
      </c>
      <c r="AL144" s="1">
        <v>0.0675675675675675</v>
      </c>
      <c r="AM144" s="1">
        <v>0.0</v>
      </c>
      <c r="AN144" s="1">
        <v>0.0</v>
      </c>
      <c r="AO144" s="1">
        <v>0.0</v>
      </c>
      <c r="AP144" s="1">
        <v>0.0</v>
      </c>
      <c r="AQ144" s="1">
        <v>1.0</v>
      </c>
      <c r="AR144" s="1">
        <v>2.0</v>
      </c>
      <c r="AS144" s="1">
        <v>0.0800521370153409</v>
      </c>
      <c r="AT144" s="1">
        <v>0.788839845292386</v>
      </c>
      <c r="AU144" s="1">
        <v>0.214352617630696</v>
      </c>
      <c r="AV144" s="1">
        <v>2.0</v>
      </c>
      <c r="AW144" s="1">
        <v>0.0</v>
      </c>
      <c r="AX144" s="1">
        <v>0.0</v>
      </c>
      <c r="AY144" s="1">
        <v>0.0</v>
      </c>
      <c r="AZ144" s="1">
        <v>0.0</v>
      </c>
      <c r="BA144" s="1">
        <v>10.0</v>
      </c>
      <c r="BB144" s="1">
        <v>233.0</v>
      </c>
      <c r="BC144" s="1">
        <v>247.0</v>
      </c>
      <c r="BD144" s="1" t="s">
        <v>108</v>
      </c>
    </row>
    <row r="145">
      <c r="A145" s="1" t="s">
        <v>1297</v>
      </c>
      <c r="B145" s="1" t="s">
        <v>70</v>
      </c>
      <c r="C145" s="1">
        <v>0.0</v>
      </c>
      <c r="D145" s="1" t="s">
        <v>71</v>
      </c>
      <c r="E145" s="1" t="b">
        <v>1</v>
      </c>
      <c r="F145" s="1" t="b">
        <v>0</v>
      </c>
      <c r="G145" s="1" t="s">
        <v>74</v>
      </c>
      <c r="H145" s="1" t="s">
        <v>1300</v>
      </c>
      <c r="I145" s="1" t="s">
        <v>1301</v>
      </c>
      <c r="J145" s="1" t="s">
        <v>1302</v>
      </c>
      <c r="K145" s="1">
        <v>51.0</v>
      </c>
      <c r="L145" s="1">
        <v>3.47092095400012</v>
      </c>
      <c r="M145" s="1">
        <v>0.106048027088833</v>
      </c>
      <c r="N145" s="1">
        <v>1.06177139282226</v>
      </c>
      <c r="O145" s="1">
        <v>8.416290918986</v>
      </c>
      <c r="P145" s="1">
        <v>0.4375</v>
      </c>
      <c r="S145" s="1">
        <v>51.0</v>
      </c>
      <c r="T145" s="1">
        <v>0.106048027088833</v>
      </c>
      <c r="U145" s="1">
        <v>0.260176113109703</v>
      </c>
      <c r="V145" s="5">
        <v>7.95539278897194E-7</v>
      </c>
      <c r="W145" s="1">
        <v>1.06177139282226</v>
      </c>
      <c r="X145" s="1">
        <v>1.06177059728298</v>
      </c>
      <c r="Y145" s="1">
        <v>0.558645248413085</v>
      </c>
      <c r="Z145" s="1">
        <v>0.775442898273468</v>
      </c>
      <c r="AA145" s="1">
        <v>0.999656379222869</v>
      </c>
      <c r="AB145" s="1">
        <v>8.416290918986</v>
      </c>
      <c r="AC145" s="1">
        <v>4.25682786559909</v>
      </c>
      <c r="AD145" s="1">
        <v>0.4375</v>
      </c>
      <c r="AE145" s="1">
        <v>0.671875</v>
      </c>
      <c r="AF145" s="1">
        <v>1.06747150421142</v>
      </c>
      <c r="AG145" s="1">
        <v>2.32528495788574</v>
      </c>
      <c r="AH145" s="1">
        <v>6.0</v>
      </c>
      <c r="AI145" s="1">
        <v>1.0</v>
      </c>
      <c r="AJ145" s="1">
        <v>0.0</v>
      </c>
      <c r="AK145" s="1">
        <v>0.0</v>
      </c>
      <c r="AL145" s="1">
        <v>0.117647058823529</v>
      </c>
      <c r="AM145" s="1">
        <v>0.0196078431372549</v>
      </c>
      <c r="AN145" s="1">
        <v>0.0</v>
      </c>
      <c r="AO145" s="1">
        <v>0.0</v>
      </c>
      <c r="AP145" s="1">
        <v>0.0</v>
      </c>
      <c r="AQ145" s="1">
        <v>0.0</v>
      </c>
      <c r="AR145" s="1">
        <v>1.0</v>
      </c>
      <c r="AS145" s="1">
        <v>0.138080819710642</v>
      </c>
      <c r="AT145" s="1">
        <v>1.05506630614399</v>
      </c>
      <c r="AU145" s="1">
        <v>0.307528652571888</v>
      </c>
      <c r="AV145" s="1">
        <v>2.0</v>
      </c>
      <c r="AW145" s="1">
        <v>1.0</v>
      </c>
      <c r="AX145" s="1">
        <v>0.0</v>
      </c>
      <c r="AY145" s="1">
        <v>0.0</v>
      </c>
      <c r="AZ145" s="1">
        <v>1.0</v>
      </c>
      <c r="BA145" s="1">
        <v>6.0</v>
      </c>
      <c r="BB145" s="1">
        <v>200.0</v>
      </c>
      <c r="BC145" s="1">
        <v>214.0</v>
      </c>
      <c r="BD145" s="1" t="s">
        <v>108</v>
      </c>
    </row>
    <row r="146">
      <c r="A146" s="1" t="s">
        <v>1310</v>
      </c>
      <c r="B146" s="1" t="s">
        <v>70</v>
      </c>
      <c r="C146" s="1">
        <v>0.0</v>
      </c>
      <c r="D146" s="1" t="s">
        <v>71</v>
      </c>
      <c r="E146" s="1" t="b">
        <v>1</v>
      </c>
      <c r="F146" s="1" t="b">
        <v>0</v>
      </c>
      <c r="G146" s="1" t="s">
        <v>74</v>
      </c>
      <c r="H146" s="1" t="s">
        <v>1311</v>
      </c>
      <c r="I146" s="1" t="s">
        <v>1312</v>
      </c>
      <c r="J146" s="1" t="s">
        <v>1313</v>
      </c>
      <c r="K146" s="1">
        <v>60.0</v>
      </c>
      <c r="L146" s="1">
        <v>4.07578615000011</v>
      </c>
      <c r="M146" s="1">
        <v>0.107269879032014</v>
      </c>
      <c r="N146" s="1">
        <v>1.55832552909851</v>
      </c>
      <c r="O146" s="1">
        <v>8.97569882074991</v>
      </c>
      <c r="P146" s="1">
        <v>0.390625</v>
      </c>
      <c r="S146" s="1">
        <v>60.0</v>
      </c>
      <c r="T146" s="1">
        <v>0.107269879032014</v>
      </c>
      <c r="U146" s="1">
        <v>0.290802972579443</v>
      </c>
      <c r="V146" s="5">
        <v>2.40660233430389E-6</v>
      </c>
      <c r="W146" s="1">
        <v>1.55832552909851</v>
      </c>
      <c r="X146" s="1">
        <v>1.55832312249617</v>
      </c>
      <c r="Y146" s="1">
        <v>0.444108009338379</v>
      </c>
      <c r="Z146" s="1">
        <v>0.748245307803153</v>
      </c>
      <c r="AA146" s="1">
        <v>1.19230756282806</v>
      </c>
      <c r="AB146" s="1">
        <v>8.97569882074991</v>
      </c>
      <c r="AC146" s="1">
        <v>4.18154058917695</v>
      </c>
      <c r="AD146" s="1">
        <v>0.390625</v>
      </c>
      <c r="AE146" s="1">
        <v>0.449289875030517</v>
      </c>
      <c r="AF146" s="1">
        <v>0.990269660949707</v>
      </c>
      <c r="AG146" s="1">
        <v>2.04545364379882</v>
      </c>
      <c r="AH146" s="1">
        <v>6.0</v>
      </c>
      <c r="AI146" s="1">
        <v>1.0</v>
      </c>
      <c r="AJ146" s="1">
        <v>1.0</v>
      </c>
      <c r="AK146" s="1">
        <v>0.0</v>
      </c>
      <c r="AL146" s="1">
        <v>0.1</v>
      </c>
      <c r="AM146" s="1">
        <v>0.0166666666666666</v>
      </c>
      <c r="AN146" s="1">
        <v>0.0166666666666666</v>
      </c>
      <c r="AO146" s="1">
        <v>0.0</v>
      </c>
      <c r="AP146" s="1">
        <v>0.0</v>
      </c>
      <c r="AQ146" s="1">
        <v>0.0</v>
      </c>
      <c r="AR146" s="1">
        <v>2.0</v>
      </c>
      <c r="AS146" s="1">
        <v>0.165741543264052</v>
      </c>
      <c r="AT146" s="1">
        <v>1.54571568313986</v>
      </c>
      <c r="AU146" s="1">
        <v>0.376532773727713</v>
      </c>
      <c r="AV146" s="1">
        <v>1.0</v>
      </c>
      <c r="AW146" s="1">
        <v>1.0</v>
      </c>
      <c r="AX146" s="1">
        <v>1.0</v>
      </c>
      <c r="AY146" s="1">
        <v>0.0</v>
      </c>
      <c r="AZ146" s="1">
        <v>1.0</v>
      </c>
      <c r="BA146" s="1">
        <v>4.0</v>
      </c>
      <c r="BB146" s="1">
        <v>153.0</v>
      </c>
      <c r="BC146" s="1">
        <v>167.0</v>
      </c>
      <c r="BD146" s="1" t="s">
        <v>108</v>
      </c>
    </row>
    <row r="147">
      <c r="A147" s="1" t="s">
        <v>1317</v>
      </c>
      <c r="B147" s="1" t="s">
        <v>70</v>
      </c>
      <c r="C147" s="1">
        <v>0.0</v>
      </c>
      <c r="D147" s="1" t="s">
        <v>71</v>
      </c>
      <c r="E147" s="1" t="b">
        <v>0</v>
      </c>
      <c r="F147" s="1" t="b">
        <v>1</v>
      </c>
      <c r="G147" s="1" t="s">
        <v>1319</v>
      </c>
      <c r="H147" s="1" t="s">
        <v>1321</v>
      </c>
      <c r="I147" s="1" t="s">
        <v>1322</v>
      </c>
      <c r="J147" s="1" t="s">
        <v>1323</v>
      </c>
      <c r="K147" s="1">
        <v>37.0</v>
      </c>
      <c r="L147" s="1">
        <v>2.53172817599988</v>
      </c>
      <c r="M147" s="1">
        <v>0.080057986925345</v>
      </c>
      <c r="N147" s="1">
        <v>1.17739069461822</v>
      </c>
      <c r="O147" s="1">
        <v>7.99641073072278</v>
      </c>
      <c r="P147" s="1">
        <v>0.284090042114257</v>
      </c>
      <c r="Q147" s="1" t="s">
        <v>198</v>
      </c>
      <c r="R147" s="1" t="s">
        <v>247</v>
      </c>
      <c r="S147" s="1">
        <v>37.0</v>
      </c>
      <c r="T147" s="1">
        <v>0.0800579869253458</v>
      </c>
      <c r="U147" s="1">
        <v>0.220873690797487</v>
      </c>
      <c r="V147" s="5">
        <v>8.25151437311433E-6</v>
      </c>
      <c r="W147" s="1">
        <v>1.17739069461822</v>
      </c>
      <c r="X147" s="1">
        <v>1.17738244310385</v>
      </c>
      <c r="Y147" s="1">
        <v>0.16281948685646</v>
      </c>
      <c r="Z147" s="1">
        <v>0.47396535873413</v>
      </c>
      <c r="AA147" s="1">
        <v>0.956679654121399</v>
      </c>
      <c r="AB147" s="1">
        <v>7.99641073072278</v>
      </c>
      <c r="AC147" s="1">
        <v>3.44535727512582</v>
      </c>
      <c r="AD147" s="1">
        <v>0.284090042114257</v>
      </c>
      <c r="AE147" s="1">
        <v>0.720283660888671</v>
      </c>
      <c r="AF147" s="1">
        <v>1.93778457641601</v>
      </c>
      <c r="AG147" s="1">
        <v>3.80625</v>
      </c>
      <c r="AH147" s="1">
        <v>2.0</v>
      </c>
      <c r="AI147" s="1">
        <v>1.0</v>
      </c>
      <c r="AJ147" s="1">
        <v>0.0</v>
      </c>
      <c r="AK147" s="1">
        <v>0.0</v>
      </c>
      <c r="AL147" s="1">
        <v>0.054054054054054</v>
      </c>
      <c r="AM147" s="1">
        <v>0.027027027027027</v>
      </c>
      <c r="AN147" s="1">
        <v>0.0</v>
      </c>
      <c r="AO147" s="1">
        <v>0.0</v>
      </c>
      <c r="AP147" s="1">
        <v>0.0</v>
      </c>
      <c r="AQ147" s="1">
        <v>0.0</v>
      </c>
      <c r="AR147" s="1">
        <v>1.0</v>
      </c>
      <c r="AS147" s="1">
        <v>0.11559145598201</v>
      </c>
      <c r="AT147" s="1">
        <v>1.17257489264011</v>
      </c>
      <c r="AU147" s="1">
        <v>0.255597194731048</v>
      </c>
      <c r="AV147" s="1">
        <v>1.0</v>
      </c>
      <c r="AW147" s="1">
        <v>1.0</v>
      </c>
      <c r="AX147" s="1">
        <v>0.0</v>
      </c>
      <c r="AY147" s="1">
        <v>0.0</v>
      </c>
      <c r="AZ147" s="1">
        <v>1.0</v>
      </c>
      <c r="BA147" s="1">
        <v>2.0</v>
      </c>
      <c r="BB147" s="1">
        <v>123.0</v>
      </c>
      <c r="BC147" s="1">
        <v>137.0</v>
      </c>
      <c r="BD147" s="1" t="s">
        <v>204</v>
      </c>
    </row>
    <row r="148">
      <c r="A148" s="1" t="s">
        <v>1327</v>
      </c>
      <c r="B148" s="1" t="s">
        <v>70</v>
      </c>
      <c r="C148" s="1">
        <v>0.0</v>
      </c>
      <c r="D148" s="1" t="s">
        <v>71</v>
      </c>
      <c r="E148" s="1" t="b">
        <v>1</v>
      </c>
      <c r="F148" s="1" t="b">
        <v>0</v>
      </c>
      <c r="G148" s="1" t="s">
        <v>74</v>
      </c>
      <c r="H148" s="1" t="s">
        <v>1328</v>
      </c>
      <c r="I148" s="1" t="s">
        <v>1329</v>
      </c>
      <c r="J148" s="1" t="s">
        <v>1330</v>
      </c>
      <c r="K148" s="1">
        <v>75.0</v>
      </c>
      <c r="L148" s="1">
        <v>5.04779215100006</v>
      </c>
      <c r="M148" s="1">
        <v>0.053262246789618</v>
      </c>
      <c r="N148" s="1">
        <v>1.04083704948425</v>
      </c>
      <c r="O148" s="1">
        <v>10.0236651357014</v>
      </c>
      <c r="P148" s="1">
        <v>0.203125</v>
      </c>
      <c r="S148" s="1">
        <v>75.0</v>
      </c>
      <c r="T148" s="1">
        <v>0.053262246789618</v>
      </c>
      <c r="U148" s="1">
        <v>0.178316180624491</v>
      </c>
      <c r="V148" s="5">
        <v>3.52020606442238E-6</v>
      </c>
      <c r="W148" s="1">
        <v>1.04083704948425</v>
      </c>
      <c r="X148" s="1">
        <v>1.04083352927818</v>
      </c>
      <c r="Y148" s="1">
        <v>0.058310966193676</v>
      </c>
      <c r="Z148" s="1">
        <v>0.52045624256134</v>
      </c>
      <c r="AA148" s="1">
        <v>0.780241268873216</v>
      </c>
      <c r="AB148" s="1">
        <v>10.0236651357014</v>
      </c>
      <c r="AC148" s="1">
        <v>3.83829486299171</v>
      </c>
      <c r="AD148" s="1">
        <v>0.203125</v>
      </c>
      <c r="AE148" s="1">
        <v>0.50375</v>
      </c>
      <c r="AF148" s="1">
        <v>2.07201595306396</v>
      </c>
      <c r="AG148" s="1">
        <v>4.66022796630859</v>
      </c>
      <c r="AH148" s="1">
        <v>5.0</v>
      </c>
      <c r="AI148" s="1">
        <v>1.0</v>
      </c>
      <c r="AJ148" s="1">
        <v>0.0</v>
      </c>
      <c r="AK148" s="1">
        <v>0.0</v>
      </c>
      <c r="AL148" s="1">
        <v>0.0666666666666666</v>
      </c>
      <c r="AM148" s="1">
        <v>0.0133333333333333</v>
      </c>
      <c r="AN148" s="1">
        <v>0.0</v>
      </c>
      <c r="AO148" s="1">
        <v>0.0</v>
      </c>
      <c r="AP148" s="1">
        <v>0.0</v>
      </c>
      <c r="AQ148" s="1">
        <v>1.0</v>
      </c>
      <c r="AR148" s="1">
        <v>1.0</v>
      </c>
      <c r="AS148" s="1">
        <v>0.0977049859753925</v>
      </c>
      <c r="AT148" s="1">
        <v>1.04064383245713</v>
      </c>
      <c r="AU148" s="1">
        <v>0.254542038967139</v>
      </c>
      <c r="AV148" s="1">
        <v>1.0</v>
      </c>
      <c r="AW148" s="1">
        <v>1.0</v>
      </c>
      <c r="AX148" s="1">
        <v>0.0</v>
      </c>
      <c r="AY148" s="1">
        <v>0.0</v>
      </c>
      <c r="AZ148" s="1">
        <v>1.0</v>
      </c>
      <c r="BA148" s="1">
        <v>8.0</v>
      </c>
      <c r="BB148" s="1">
        <v>226.0</v>
      </c>
      <c r="BC148" s="1">
        <v>240.0</v>
      </c>
      <c r="BD148" s="1" t="s">
        <v>108</v>
      </c>
    </row>
    <row r="149">
      <c r="A149" s="1" t="s">
        <v>1338</v>
      </c>
      <c r="B149" s="1" t="s">
        <v>70</v>
      </c>
      <c r="C149" s="1">
        <v>0.0</v>
      </c>
      <c r="D149" s="1" t="s">
        <v>71</v>
      </c>
      <c r="E149" s="1" t="b">
        <v>1</v>
      </c>
      <c r="F149" s="1" t="b">
        <v>0</v>
      </c>
      <c r="G149" s="1" t="s">
        <v>74</v>
      </c>
      <c r="H149" s="1" t="s">
        <v>1339</v>
      </c>
      <c r="I149" s="1" t="s">
        <v>1340</v>
      </c>
      <c r="J149" s="1" t="s">
        <v>1341</v>
      </c>
      <c r="K149" s="1">
        <v>104.0</v>
      </c>
      <c r="L149" s="1">
        <v>7.06206642300003</v>
      </c>
      <c r="M149" s="1">
        <v>0.048847588507297</v>
      </c>
      <c r="N149" s="1">
        <v>1.14599287509918</v>
      </c>
      <c r="O149" s="1">
        <v>11.3061221654598</v>
      </c>
      <c r="P149" s="1">
        <v>0.61221694946289</v>
      </c>
      <c r="S149" s="1">
        <v>104.0</v>
      </c>
      <c r="T149" s="1">
        <v>0.048847588507297</v>
      </c>
      <c r="U149" s="1">
        <v>0.171210777601887</v>
      </c>
      <c r="V149" s="5">
        <v>3.20457871794133E-7</v>
      </c>
      <c r="W149" s="1">
        <v>1.14599287509918</v>
      </c>
      <c r="X149" s="1">
        <v>1.14599255464131</v>
      </c>
      <c r="Y149" s="1">
        <v>0.0417225778102874</v>
      </c>
      <c r="Z149" s="1">
        <v>0.499636943638324</v>
      </c>
      <c r="AA149" s="1">
        <v>0.677631242871284</v>
      </c>
      <c r="AB149" s="1">
        <v>11.3061221654598</v>
      </c>
      <c r="AC149" s="1">
        <v>4.05076653395473</v>
      </c>
      <c r="AD149" s="1">
        <v>0.61221694946289</v>
      </c>
      <c r="AE149" s="1">
        <v>0.955340919494629</v>
      </c>
      <c r="AF149" s="1">
        <v>1.83295545578002</v>
      </c>
      <c r="AG149" s="1">
        <v>5.28835220336914</v>
      </c>
      <c r="AH149" s="1">
        <v>6.0</v>
      </c>
      <c r="AI149" s="1">
        <v>1.0</v>
      </c>
      <c r="AJ149" s="1">
        <v>0.0</v>
      </c>
      <c r="AK149" s="1">
        <v>0.0</v>
      </c>
      <c r="AL149" s="1">
        <v>0.0576923076923076</v>
      </c>
      <c r="AM149" s="1">
        <v>0.00961538461538461</v>
      </c>
      <c r="AN149" s="1">
        <v>0.0</v>
      </c>
      <c r="AO149" s="1">
        <v>0.0</v>
      </c>
      <c r="AP149" s="1">
        <v>0.0</v>
      </c>
      <c r="AQ149" s="1">
        <v>0.0</v>
      </c>
      <c r="AR149" s="1">
        <v>0.0</v>
      </c>
      <c r="AS149" s="1">
        <v>0.0901161551689705</v>
      </c>
      <c r="AT149" s="1">
        <v>1.14497035811655</v>
      </c>
      <c r="AU149" s="1">
        <v>0.243519582039035</v>
      </c>
      <c r="AV149" s="1">
        <v>1.0</v>
      </c>
      <c r="AW149" s="1">
        <v>1.0</v>
      </c>
      <c r="AX149" s="1">
        <v>0.0</v>
      </c>
      <c r="AY149" s="1">
        <v>0.0</v>
      </c>
      <c r="AZ149" s="1">
        <v>1.0</v>
      </c>
      <c r="BA149" s="1">
        <v>9.0</v>
      </c>
      <c r="BB149" s="1">
        <v>279.0</v>
      </c>
      <c r="BC149" s="1">
        <v>293.0</v>
      </c>
      <c r="BD149" s="1" t="s">
        <v>108</v>
      </c>
    </row>
    <row r="150">
      <c r="A150" s="1" t="s">
        <v>1344</v>
      </c>
      <c r="B150" s="1" t="s">
        <v>70</v>
      </c>
      <c r="C150" s="1">
        <v>0.0</v>
      </c>
      <c r="D150" s="1" t="s">
        <v>71</v>
      </c>
      <c r="E150" s="1" t="b">
        <v>1</v>
      </c>
      <c r="F150" s="1" t="b">
        <v>0</v>
      </c>
      <c r="G150" s="1" t="s">
        <v>74</v>
      </c>
      <c r="H150" s="1" t="s">
        <v>1346</v>
      </c>
      <c r="I150" s="1" t="s">
        <v>1347</v>
      </c>
      <c r="J150" s="1" t="s">
        <v>1348</v>
      </c>
      <c r="K150" s="1">
        <v>104.0</v>
      </c>
      <c r="L150" s="1">
        <v>7.13778500999978</v>
      </c>
      <c r="M150" s="1">
        <v>0.078628786395257</v>
      </c>
      <c r="N150" s="1">
        <v>1.32092118263244</v>
      </c>
      <c r="O150" s="1">
        <v>9.66911660707914</v>
      </c>
      <c r="P150" s="1">
        <v>0.129261016845703</v>
      </c>
      <c r="S150" s="1">
        <v>104.0</v>
      </c>
      <c r="T150" s="1">
        <v>0.0786287863952579</v>
      </c>
      <c r="U150" s="1">
        <v>0.215492642509478</v>
      </c>
      <c r="V150" s="5">
        <v>2.17526263668332E-7</v>
      </c>
      <c r="W150" s="1">
        <v>1.32092118263244</v>
      </c>
      <c r="X150" s="1">
        <v>1.32092096510618</v>
      </c>
      <c r="Y150" s="1">
        <v>0.251269046962261</v>
      </c>
      <c r="Z150" s="1">
        <v>0.596890997886657</v>
      </c>
      <c r="AA150" s="1">
        <v>0.793569515943527</v>
      </c>
      <c r="AB150" s="1">
        <v>9.66911660707914</v>
      </c>
      <c r="AC150" s="1">
        <v>4.18318782478397</v>
      </c>
      <c r="AD150" s="1">
        <v>0.129261016845703</v>
      </c>
      <c r="AE150" s="1">
        <v>0.144375</v>
      </c>
      <c r="AF150" s="1">
        <v>1.26115093231201</v>
      </c>
      <c r="AG150" s="1">
        <v>2.61690349578857</v>
      </c>
      <c r="AH150" s="1">
        <v>8.0</v>
      </c>
      <c r="AI150" s="1">
        <v>1.0</v>
      </c>
      <c r="AJ150" s="1">
        <v>0.0</v>
      </c>
      <c r="AK150" s="1">
        <v>0.0</v>
      </c>
      <c r="AL150" s="1">
        <v>0.0769230769230769</v>
      </c>
      <c r="AM150" s="1">
        <v>0.00961538461538461</v>
      </c>
      <c r="AN150" s="1">
        <v>0.0</v>
      </c>
      <c r="AO150" s="1">
        <v>0.0</v>
      </c>
      <c r="AP150" s="1">
        <v>0.0</v>
      </c>
      <c r="AQ150" s="1">
        <v>2.0</v>
      </c>
      <c r="AR150" s="1">
        <v>3.0</v>
      </c>
      <c r="AS150" s="1">
        <v>0.120960585420033</v>
      </c>
      <c r="AT150" s="1">
        <v>1.3209110552334</v>
      </c>
      <c r="AU150" s="1">
        <v>0.286876398495942</v>
      </c>
      <c r="AV150" s="1">
        <v>2.0</v>
      </c>
      <c r="AW150" s="1">
        <v>1.0</v>
      </c>
      <c r="AX150" s="1">
        <v>0.0</v>
      </c>
      <c r="AY150" s="1">
        <v>0.0</v>
      </c>
      <c r="AZ150" s="1">
        <v>1.0</v>
      </c>
      <c r="BA150" s="1">
        <v>10.0</v>
      </c>
      <c r="BB150" s="1">
        <v>337.0</v>
      </c>
      <c r="BC150" s="1">
        <v>351.0</v>
      </c>
      <c r="BD150" s="1" t="s">
        <v>108</v>
      </c>
    </row>
    <row r="151">
      <c r="A151" s="1" t="s">
        <v>1352</v>
      </c>
      <c r="B151" s="1" t="s">
        <v>70</v>
      </c>
      <c r="C151" s="1">
        <v>0.0</v>
      </c>
      <c r="D151" s="1" t="s">
        <v>71</v>
      </c>
      <c r="E151" s="1" t="b">
        <v>1</v>
      </c>
      <c r="F151" s="1" t="b">
        <v>0</v>
      </c>
      <c r="G151" s="1" t="s">
        <v>74</v>
      </c>
      <c r="H151" s="1" t="s">
        <v>1353</v>
      </c>
      <c r="I151" s="1" t="s">
        <v>1354</v>
      </c>
      <c r="J151" s="1" t="s">
        <v>1355</v>
      </c>
      <c r="K151" s="1">
        <v>51.0</v>
      </c>
      <c r="L151" s="1">
        <v>3.5148574929999</v>
      </c>
      <c r="M151" s="1">
        <v>0.097563049355424</v>
      </c>
      <c r="N151" s="1">
        <v>1.73719573020935</v>
      </c>
      <c r="O151" s="1">
        <v>9.96827658484963</v>
      </c>
      <c r="P151" s="1">
        <v>0.03125</v>
      </c>
      <c r="S151" s="1">
        <v>51.0</v>
      </c>
      <c r="T151" s="1">
        <v>0.0975630493554249</v>
      </c>
      <c r="U151" s="1">
        <v>0.304601589147603</v>
      </c>
      <c r="V151" s="5">
        <v>2.83907934317539E-6</v>
      </c>
      <c r="W151" s="1">
        <v>1.73719573020935</v>
      </c>
      <c r="X151" s="1">
        <v>1.73719289113</v>
      </c>
      <c r="Y151" s="1">
        <v>0.0973715409636497</v>
      </c>
      <c r="Z151" s="1">
        <v>0.730303078889846</v>
      </c>
      <c r="AA151" s="1">
        <v>1.27134117484092</v>
      </c>
      <c r="AB151" s="1">
        <v>9.96827658484963</v>
      </c>
      <c r="AC151" s="1">
        <v>4.47932554993851</v>
      </c>
      <c r="AD151" s="1">
        <v>0.03125</v>
      </c>
      <c r="AE151" s="1">
        <v>0.6484375</v>
      </c>
      <c r="AF151" s="1">
        <v>1.54261398315429</v>
      </c>
      <c r="AG151" s="1">
        <v>4.546875</v>
      </c>
      <c r="AH151" s="1">
        <v>5.0</v>
      </c>
      <c r="AI151" s="1">
        <v>1.0</v>
      </c>
      <c r="AJ151" s="1">
        <v>1.0</v>
      </c>
      <c r="AK151" s="1">
        <v>0.0</v>
      </c>
      <c r="AL151" s="1">
        <v>0.0980392156862745</v>
      </c>
      <c r="AM151" s="1">
        <v>0.0196078431372549</v>
      </c>
      <c r="AN151" s="1">
        <v>0.0196078431372549</v>
      </c>
      <c r="AO151" s="1">
        <v>1.0</v>
      </c>
      <c r="AP151" s="1">
        <v>1.0</v>
      </c>
      <c r="AQ151" s="1">
        <v>1.0</v>
      </c>
      <c r="AR151" s="1">
        <v>1.0</v>
      </c>
      <c r="AS151" s="1">
        <v>0.122447058246516</v>
      </c>
      <c r="AT151" s="1">
        <v>1.71679280139505</v>
      </c>
      <c r="AU151" s="1">
        <v>0.347138170439341</v>
      </c>
      <c r="AV151" s="1">
        <v>3.0</v>
      </c>
      <c r="AW151" s="1">
        <v>1.0</v>
      </c>
      <c r="AX151" s="1">
        <v>1.0</v>
      </c>
      <c r="AY151" s="1">
        <v>0.0</v>
      </c>
      <c r="AZ151" s="1">
        <v>1.0</v>
      </c>
      <c r="BA151" s="1">
        <v>3.0</v>
      </c>
      <c r="BB151" s="1">
        <v>158.0</v>
      </c>
      <c r="BC151" s="1">
        <v>172.0</v>
      </c>
      <c r="BD151" s="1" t="s">
        <v>108</v>
      </c>
    </row>
    <row r="152">
      <c r="A152" s="1" t="s">
        <v>1361</v>
      </c>
      <c r="B152" s="1" t="s">
        <v>70</v>
      </c>
      <c r="C152" s="1">
        <v>0.0</v>
      </c>
      <c r="D152" s="1" t="s">
        <v>71</v>
      </c>
      <c r="E152" s="1" t="b">
        <v>1</v>
      </c>
      <c r="F152" s="1" t="b">
        <v>0</v>
      </c>
      <c r="G152" s="1" t="s">
        <v>74</v>
      </c>
      <c r="H152" s="1" t="s">
        <v>1364</v>
      </c>
      <c r="I152" s="1" t="s">
        <v>1365</v>
      </c>
      <c r="J152" s="1" t="s">
        <v>1366</v>
      </c>
      <c r="K152" s="1">
        <v>63.0</v>
      </c>
      <c r="L152" s="1">
        <v>4.17381881699975</v>
      </c>
      <c r="M152" s="1">
        <v>0.060316685560189</v>
      </c>
      <c r="N152" s="1">
        <v>0.853448450565338</v>
      </c>
      <c r="O152" s="1">
        <v>9.70027321104019</v>
      </c>
      <c r="P152" s="1">
        <v>0.710227966308593</v>
      </c>
      <c r="S152" s="1">
        <v>63.0</v>
      </c>
      <c r="T152" s="1">
        <v>0.0603166855601896</v>
      </c>
      <c r="U152" s="1">
        <v>0.17402182468316</v>
      </c>
      <c r="V152" s="5">
        <v>1.57513454723812E-6</v>
      </c>
      <c r="W152" s="1">
        <v>0.853448450565338</v>
      </c>
      <c r="X152" s="1">
        <v>0.85344687543079</v>
      </c>
      <c r="Y152" s="1">
        <v>0.175192411243915</v>
      </c>
      <c r="Z152" s="1">
        <v>0.551692374050616</v>
      </c>
      <c r="AA152" s="1">
        <v>0.753177371025085</v>
      </c>
      <c r="AB152" s="1">
        <v>9.70027321104019</v>
      </c>
      <c r="AC152" s="1">
        <v>3.97379939231416</v>
      </c>
      <c r="AD152" s="1">
        <v>0.710227966308593</v>
      </c>
      <c r="AE152" s="1">
        <v>0.724318122863769</v>
      </c>
      <c r="AF152" s="1">
        <v>2.62855129241943</v>
      </c>
      <c r="AG152" s="1">
        <v>3.57500038146972</v>
      </c>
      <c r="AH152" s="1">
        <v>4.0</v>
      </c>
      <c r="AI152" s="1">
        <v>0.0</v>
      </c>
      <c r="AJ152" s="1">
        <v>0.0</v>
      </c>
      <c r="AK152" s="1">
        <v>0.0</v>
      </c>
      <c r="AL152" s="1">
        <v>0.0634920634920634</v>
      </c>
      <c r="AM152" s="1">
        <v>0.0</v>
      </c>
      <c r="AN152" s="1">
        <v>0.0</v>
      </c>
      <c r="AO152" s="1">
        <v>0.0</v>
      </c>
      <c r="AP152" s="1">
        <v>0.0</v>
      </c>
      <c r="AQ152" s="1">
        <v>0.0</v>
      </c>
      <c r="AR152" s="1">
        <v>0.0</v>
      </c>
      <c r="AS152" s="1">
        <v>0.0956411630523293</v>
      </c>
      <c r="AT152" s="1">
        <v>0.841964038088917</v>
      </c>
      <c r="AU152" s="1">
        <v>0.234800870161907</v>
      </c>
      <c r="AV152" s="1">
        <v>1.0</v>
      </c>
      <c r="AW152" s="1">
        <v>0.0</v>
      </c>
      <c r="AX152" s="1">
        <v>0.0</v>
      </c>
      <c r="AY152" s="1">
        <v>0.0</v>
      </c>
      <c r="AZ152" s="1">
        <v>0.0</v>
      </c>
      <c r="BA152" s="1">
        <v>9.0</v>
      </c>
      <c r="BB152" s="1">
        <v>168.0</v>
      </c>
      <c r="BC152" s="1">
        <v>182.0</v>
      </c>
      <c r="BD152" s="1" t="s">
        <v>108</v>
      </c>
    </row>
    <row r="153">
      <c r="A153" s="1" t="s">
        <v>1368</v>
      </c>
      <c r="B153" s="1" t="s">
        <v>70</v>
      </c>
      <c r="C153" s="1">
        <v>0.0</v>
      </c>
      <c r="D153" s="1" t="s">
        <v>71</v>
      </c>
      <c r="E153" s="1" t="b">
        <v>1</v>
      </c>
      <c r="F153" s="1" t="b">
        <v>0</v>
      </c>
      <c r="G153" s="1" t="s">
        <v>74</v>
      </c>
      <c r="H153" s="1" t="s">
        <v>1370</v>
      </c>
      <c r="I153" s="1" t="s">
        <v>1371</v>
      </c>
      <c r="J153" s="1" t="s">
        <v>1372</v>
      </c>
      <c r="K153" s="1">
        <v>41.0</v>
      </c>
      <c r="L153" s="1">
        <v>2.80387464600016</v>
      </c>
      <c r="M153" s="1">
        <v>0.055591661198665</v>
      </c>
      <c r="N153" s="1">
        <v>0.53756034374237</v>
      </c>
      <c r="O153" s="1">
        <v>8.46925267940614</v>
      </c>
      <c r="P153" s="1">
        <v>1.46875</v>
      </c>
      <c r="S153" s="1">
        <v>41.0</v>
      </c>
      <c r="T153" s="1">
        <v>0.0555916611986659</v>
      </c>
      <c r="U153" s="1">
        <v>0.126699784515453</v>
      </c>
      <c r="V153" s="5">
        <v>3.33878997480496E-5</v>
      </c>
      <c r="W153" s="1">
        <v>0.53756034374237</v>
      </c>
      <c r="X153" s="1">
        <v>0.537526955842622</v>
      </c>
      <c r="Y153" s="1">
        <v>0.151745602488517</v>
      </c>
      <c r="Z153" s="1">
        <v>0.335728228092193</v>
      </c>
      <c r="AA153" s="1">
        <v>0.527404141426086</v>
      </c>
      <c r="AB153" s="1">
        <v>8.46925267940614</v>
      </c>
      <c r="AC153" s="1">
        <v>3.51342868518954</v>
      </c>
      <c r="AD153" s="1">
        <v>1.46875</v>
      </c>
      <c r="AE153" s="1">
        <v>1.53977279663085</v>
      </c>
      <c r="AF153" s="1">
        <v>2.3125</v>
      </c>
      <c r="AG153" s="1">
        <v>3.3835220336914</v>
      </c>
      <c r="AH153" s="1">
        <v>2.0</v>
      </c>
      <c r="AI153" s="1">
        <v>0.0</v>
      </c>
      <c r="AJ153" s="1">
        <v>0.0</v>
      </c>
      <c r="AK153" s="1">
        <v>0.0</v>
      </c>
      <c r="AL153" s="1">
        <v>0.048780487804878</v>
      </c>
      <c r="AM153" s="1">
        <v>0.0</v>
      </c>
      <c r="AN153" s="1">
        <v>0.0</v>
      </c>
      <c r="AO153" s="1">
        <v>0.0</v>
      </c>
      <c r="AP153" s="1">
        <v>0.0</v>
      </c>
      <c r="AQ153" s="1">
        <v>0.0</v>
      </c>
      <c r="AR153" s="1">
        <v>0.0</v>
      </c>
      <c r="AS153" s="1">
        <v>0.0907150183031262</v>
      </c>
      <c r="AT153" s="1">
        <v>0.533983417320996</v>
      </c>
      <c r="AU153" s="1">
        <v>0.172462462634893</v>
      </c>
      <c r="AV153" s="1">
        <v>1.0</v>
      </c>
      <c r="AW153" s="1">
        <v>0.0</v>
      </c>
      <c r="AX153" s="1">
        <v>0.0</v>
      </c>
      <c r="AY153" s="1">
        <v>0.0</v>
      </c>
      <c r="AZ153" s="1">
        <v>0.0</v>
      </c>
      <c r="BA153" s="1">
        <v>2.0</v>
      </c>
      <c r="BB153" s="1">
        <v>113.0</v>
      </c>
      <c r="BC153" s="1">
        <v>127.0</v>
      </c>
      <c r="BD153" s="1" t="s">
        <v>108</v>
      </c>
    </row>
    <row r="154">
      <c r="A154" s="1" t="s">
        <v>1379</v>
      </c>
      <c r="B154" s="1" t="s">
        <v>70</v>
      </c>
      <c r="C154" s="1">
        <v>0.0</v>
      </c>
      <c r="D154" s="1" t="s">
        <v>71</v>
      </c>
      <c r="E154" s="1" t="b">
        <v>1</v>
      </c>
      <c r="F154" s="1" t="b">
        <v>0</v>
      </c>
      <c r="G154" s="1" t="s">
        <v>74</v>
      </c>
      <c r="H154" s="1" t="s">
        <v>1380</v>
      </c>
      <c r="I154" s="1" t="s">
        <v>1381</v>
      </c>
      <c r="J154" s="1" t="s">
        <v>1382</v>
      </c>
      <c r="K154" s="1">
        <v>29.0</v>
      </c>
      <c r="L154" s="1">
        <v>2.18000403400037</v>
      </c>
      <c r="M154" s="1">
        <v>0.094995478924264</v>
      </c>
      <c r="N154" s="1">
        <v>0.767529189586639</v>
      </c>
      <c r="O154" s="1">
        <v>8.00700447477143</v>
      </c>
      <c r="P154" s="1">
        <v>1.359375</v>
      </c>
      <c r="S154" s="1">
        <v>29.0</v>
      </c>
      <c r="T154" s="1">
        <v>0.0949954789242649</v>
      </c>
      <c r="U154" s="1">
        <v>0.197679291941737</v>
      </c>
      <c r="V154" s="5">
        <v>6.13128304394194E-6</v>
      </c>
      <c r="W154" s="1">
        <v>0.767529189586639</v>
      </c>
      <c r="X154" s="1">
        <v>0.767523058303595</v>
      </c>
      <c r="Y154" s="1">
        <v>0.315243768692016</v>
      </c>
      <c r="Z154" s="1">
        <v>0.565204000473022</v>
      </c>
      <c r="AA154" s="1">
        <v>0.721570010185241</v>
      </c>
      <c r="AB154" s="1">
        <v>8.00700447477143</v>
      </c>
      <c r="AC154" s="1">
        <v>4.10207206223351</v>
      </c>
      <c r="AD154" s="1">
        <v>1.359375</v>
      </c>
      <c r="AE154" s="1">
        <v>1.41625</v>
      </c>
      <c r="AF154" s="1">
        <v>1.56477279663085</v>
      </c>
      <c r="AG154" s="1">
        <v>2.85113639831543</v>
      </c>
      <c r="AH154" s="1">
        <v>3.0</v>
      </c>
      <c r="AI154" s="1">
        <v>0.0</v>
      </c>
      <c r="AJ154" s="1">
        <v>0.0</v>
      </c>
      <c r="AK154" s="1">
        <v>0.0</v>
      </c>
      <c r="AL154" s="1">
        <v>0.103448275862068</v>
      </c>
      <c r="AM154" s="1">
        <v>0.0</v>
      </c>
      <c r="AN154" s="1">
        <v>0.0</v>
      </c>
      <c r="AO154" s="1">
        <v>0.0</v>
      </c>
      <c r="AP154" s="1">
        <v>0.0</v>
      </c>
      <c r="AQ154" s="1">
        <v>0.0</v>
      </c>
      <c r="AR154" s="1">
        <v>0.0</v>
      </c>
      <c r="AS154" s="1">
        <v>0.144389496903256</v>
      </c>
      <c r="AT154" s="1">
        <v>0.763985071331262</v>
      </c>
      <c r="AU154" s="1">
        <v>0.258198856076375</v>
      </c>
      <c r="AV154" s="1">
        <v>1.0</v>
      </c>
      <c r="AW154" s="1">
        <v>0.0</v>
      </c>
      <c r="AX154" s="1">
        <v>0.0</v>
      </c>
      <c r="AY154" s="1">
        <v>0.0</v>
      </c>
      <c r="AZ154" s="1">
        <v>0.0</v>
      </c>
      <c r="BA154" s="1">
        <v>2.0</v>
      </c>
      <c r="BB154" s="1">
        <v>78.0</v>
      </c>
      <c r="BC154" s="1">
        <v>92.0</v>
      </c>
      <c r="BD154" s="1" t="s">
        <v>108</v>
      </c>
    </row>
    <row r="155">
      <c r="A155" s="1" t="s">
        <v>1387</v>
      </c>
      <c r="B155" s="1" t="s">
        <v>70</v>
      </c>
      <c r="C155" s="1">
        <v>0.0</v>
      </c>
      <c r="D155" s="1" t="s">
        <v>71</v>
      </c>
      <c r="E155" s="1" t="b">
        <v>1</v>
      </c>
      <c r="F155" s="1" t="b">
        <v>0</v>
      </c>
      <c r="G155" s="1" t="s">
        <v>74</v>
      </c>
      <c r="H155" s="1" t="s">
        <v>1390</v>
      </c>
      <c r="I155" s="1" t="s">
        <v>1392</v>
      </c>
      <c r="J155" s="1" t="s">
        <v>1394</v>
      </c>
      <c r="K155" s="1">
        <v>101.0</v>
      </c>
      <c r="L155" s="1">
        <v>7.07930030000034</v>
      </c>
      <c r="M155" s="1">
        <v>0.069692706377394</v>
      </c>
      <c r="N155" s="1">
        <v>1.06508588790893</v>
      </c>
      <c r="O155" s="1">
        <v>9.34815961063498</v>
      </c>
      <c r="P155" s="1">
        <v>0.015625</v>
      </c>
      <c r="S155" s="1">
        <v>101.0</v>
      </c>
      <c r="T155" s="1">
        <v>0.0696927063773944</v>
      </c>
      <c r="U155" s="1">
        <v>0.19515984383651</v>
      </c>
      <c r="V155" s="5">
        <v>3.43683177561615E-6</v>
      </c>
      <c r="W155" s="1">
        <v>1.06508588790893</v>
      </c>
      <c r="X155" s="1">
        <v>1.06508245107716</v>
      </c>
      <c r="Y155" s="1">
        <v>0.266448408365249</v>
      </c>
      <c r="Z155" s="1">
        <v>0.557985186576843</v>
      </c>
      <c r="AA155" s="1">
        <v>0.832624495029449</v>
      </c>
      <c r="AB155" s="1">
        <v>9.34815961063498</v>
      </c>
      <c r="AC155" s="1">
        <v>3.82608461436681</v>
      </c>
      <c r="AD155" s="1">
        <v>0.015625</v>
      </c>
      <c r="AE155" s="1">
        <v>0.0994319915771484</v>
      </c>
      <c r="AF155" s="1">
        <v>1.78125</v>
      </c>
      <c r="AG155" s="1">
        <v>2.97585105895996</v>
      </c>
      <c r="AH155" s="1">
        <v>6.0</v>
      </c>
      <c r="AI155" s="1">
        <v>1.0</v>
      </c>
      <c r="AJ155" s="1">
        <v>0.0</v>
      </c>
      <c r="AK155" s="1">
        <v>0.0</v>
      </c>
      <c r="AL155" s="1">
        <v>0.0594059405940594</v>
      </c>
      <c r="AM155" s="1">
        <v>0.0099009900990099</v>
      </c>
      <c r="AN155" s="1">
        <v>0.0</v>
      </c>
      <c r="AO155" s="1">
        <v>1.0</v>
      </c>
      <c r="AP155" s="1">
        <v>2.0</v>
      </c>
      <c r="AQ155" s="1">
        <v>3.0</v>
      </c>
      <c r="AR155" s="1">
        <v>4.0</v>
      </c>
      <c r="AS155" s="1">
        <v>0.113505074554022</v>
      </c>
      <c r="AT155" s="1">
        <v>1.06192312994971</v>
      </c>
      <c r="AU155" s="1">
        <v>0.261946469023453</v>
      </c>
      <c r="AV155" s="1">
        <v>2.0</v>
      </c>
      <c r="AW155" s="1">
        <v>1.0</v>
      </c>
      <c r="AX155" s="1">
        <v>0.0</v>
      </c>
      <c r="AY155" s="1">
        <v>0.0</v>
      </c>
      <c r="AZ155" s="1">
        <v>1.0</v>
      </c>
      <c r="BA155" s="1">
        <v>11.0</v>
      </c>
      <c r="BB155" s="1">
        <v>445.0</v>
      </c>
      <c r="BC155" s="1">
        <v>459.0</v>
      </c>
      <c r="BD155" s="1" t="s">
        <v>108</v>
      </c>
    </row>
    <row r="156">
      <c r="A156" s="1" t="s">
        <v>1395</v>
      </c>
      <c r="B156" s="1" t="s">
        <v>70</v>
      </c>
      <c r="C156" s="1">
        <v>0.0</v>
      </c>
      <c r="D156" s="1" t="s">
        <v>71</v>
      </c>
      <c r="E156" s="1" t="b">
        <v>1</v>
      </c>
      <c r="F156" s="1" t="b">
        <v>0</v>
      </c>
      <c r="G156" s="1" t="s">
        <v>74</v>
      </c>
      <c r="H156" s="1" t="s">
        <v>1397</v>
      </c>
      <c r="I156" s="1" t="s">
        <v>1398</v>
      </c>
      <c r="J156" s="1" t="s">
        <v>1400</v>
      </c>
      <c r="K156" s="1">
        <v>48.0</v>
      </c>
      <c r="L156" s="1">
        <v>3.25253485600023</v>
      </c>
      <c r="M156" s="1">
        <v>0.072395842511146</v>
      </c>
      <c r="N156" s="1">
        <v>1.8104737997055</v>
      </c>
      <c r="O156" s="1">
        <v>9.80286780993143</v>
      </c>
      <c r="P156" s="1">
        <v>0.03125</v>
      </c>
      <c r="S156" s="1">
        <v>48.0</v>
      </c>
      <c r="T156" s="1">
        <v>0.0723958425111466</v>
      </c>
      <c r="U156" s="1">
        <v>0.281234286943985</v>
      </c>
      <c r="V156" s="5">
        <v>7.27788028598297E-6</v>
      </c>
      <c r="W156" s="1">
        <v>1.8104737997055</v>
      </c>
      <c r="X156" s="1">
        <v>1.81046652182521</v>
      </c>
      <c r="Y156" s="1">
        <v>0.0699587889015675</v>
      </c>
      <c r="Z156" s="1">
        <v>0.382208290696143</v>
      </c>
      <c r="AA156" s="1">
        <v>1.25901320576667</v>
      </c>
      <c r="AB156" s="1">
        <v>9.80286780993143</v>
      </c>
      <c r="AC156" s="1">
        <v>3.75098909649302</v>
      </c>
      <c r="AD156" s="1">
        <v>0.03125</v>
      </c>
      <c r="AE156" s="1">
        <v>0.354375</v>
      </c>
      <c r="AF156" s="1">
        <v>2.41257066726684</v>
      </c>
      <c r="AG156" s="1">
        <v>4.97713050842285</v>
      </c>
      <c r="AH156" s="1">
        <v>2.0</v>
      </c>
      <c r="AI156" s="1">
        <v>1.0</v>
      </c>
      <c r="AJ156" s="1">
        <v>1.0</v>
      </c>
      <c r="AK156" s="1">
        <v>0.0</v>
      </c>
      <c r="AL156" s="1">
        <v>0.0416666666666666</v>
      </c>
      <c r="AM156" s="1">
        <v>0.0208333333333333</v>
      </c>
      <c r="AN156" s="1">
        <v>0.0208333333333333</v>
      </c>
      <c r="AO156" s="1">
        <v>1.0</v>
      </c>
      <c r="AP156" s="1">
        <v>1.0</v>
      </c>
      <c r="AQ156" s="1">
        <v>1.0</v>
      </c>
      <c r="AR156" s="1">
        <v>1.0</v>
      </c>
      <c r="AS156" s="1">
        <v>0.122221762354727</v>
      </c>
      <c r="AT156" s="1">
        <v>1.80662530055269</v>
      </c>
      <c r="AU156" s="1">
        <v>0.393903362656408</v>
      </c>
      <c r="AV156" s="1">
        <v>1.0</v>
      </c>
      <c r="AW156" s="1">
        <v>1.0</v>
      </c>
      <c r="AX156" s="1">
        <v>1.0</v>
      </c>
      <c r="AY156" s="1">
        <v>0.0</v>
      </c>
      <c r="AZ156" s="1">
        <v>1.0</v>
      </c>
      <c r="BA156" s="1">
        <v>6.0</v>
      </c>
      <c r="BB156" s="1">
        <v>157.0</v>
      </c>
      <c r="BC156" s="1">
        <v>171.0</v>
      </c>
      <c r="BD156" s="1" t="s">
        <v>108</v>
      </c>
    </row>
    <row r="157">
      <c r="A157" s="1" t="s">
        <v>1406</v>
      </c>
      <c r="B157" s="1" t="s">
        <v>70</v>
      </c>
      <c r="C157" s="1">
        <v>0.0</v>
      </c>
      <c r="D157" s="1" t="s">
        <v>71</v>
      </c>
      <c r="E157" s="1" t="b">
        <v>1</v>
      </c>
      <c r="F157" s="1" t="b">
        <v>0</v>
      </c>
      <c r="G157" s="1" t="s">
        <v>74</v>
      </c>
      <c r="H157" s="1" t="s">
        <v>1407</v>
      </c>
      <c r="I157" s="1" t="s">
        <v>1408</v>
      </c>
      <c r="J157" s="1" t="s">
        <v>1409</v>
      </c>
      <c r="K157" s="1">
        <v>76.0</v>
      </c>
      <c r="L157" s="1">
        <v>5.00473986499991</v>
      </c>
      <c r="M157" s="1">
        <v>0.075292046152116</v>
      </c>
      <c r="N157" s="1">
        <v>1.20900022983551</v>
      </c>
      <c r="O157" s="1">
        <v>10.2406740188598</v>
      </c>
      <c r="P157" s="1">
        <v>0.615056991577148</v>
      </c>
      <c r="S157" s="1">
        <v>76.0</v>
      </c>
      <c r="T157" s="1">
        <v>0.0752920461521168</v>
      </c>
      <c r="U157" s="1">
        <v>0.212529265418989</v>
      </c>
      <c r="V157" s="5">
        <v>2.59485460674113E-7</v>
      </c>
      <c r="W157" s="1">
        <v>1.20900022983551</v>
      </c>
      <c r="X157" s="1">
        <v>1.20899997035004</v>
      </c>
      <c r="Y157" s="1">
        <v>0.297893896698951</v>
      </c>
      <c r="Z157" s="1">
        <v>0.608721151947975</v>
      </c>
      <c r="AA157" s="1">
        <v>0.892973467707634</v>
      </c>
      <c r="AB157" s="1">
        <v>10.2406740188598</v>
      </c>
      <c r="AC157" s="1">
        <v>4.42146694693763</v>
      </c>
      <c r="AD157" s="1">
        <v>0.615056991577148</v>
      </c>
      <c r="AE157" s="1">
        <v>0.634232997894287</v>
      </c>
      <c r="AF157" s="1">
        <v>1.83913373947143</v>
      </c>
      <c r="AG157" s="1">
        <v>2.8480110168457</v>
      </c>
      <c r="AH157" s="1">
        <v>5.0</v>
      </c>
      <c r="AI157" s="1">
        <v>1.0</v>
      </c>
      <c r="AJ157" s="1">
        <v>0.0</v>
      </c>
      <c r="AK157" s="1">
        <v>0.0</v>
      </c>
      <c r="AL157" s="1">
        <v>0.0657894736842105</v>
      </c>
      <c r="AM157" s="1">
        <v>0.0131578947368421</v>
      </c>
      <c r="AN157" s="1">
        <v>0.0</v>
      </c>
      <c r="AO157" s="1">
        <v>0.0</v>
      </c>
      <c r="AP157" s="1">
        <v>0.0</v>
      </c>
      <c r="AQ157" s="1">
        <v>0.0</v>
      </c>
      <c r="AR157" s="1">
        <v>0.0</v>
      </c>
      <c r="AS157" s="1">
        <v>0.116055994072817</v>
      </c>
      <c r="AT157" s="1">
        <v>1.20822858734754</v>
      </c>
      <c r="AU157" s="1">
        <v>0.274384418013879</v>
      </c>
      <c r="AV157" s="1">
        <v>1.0</v>
      </c>
      <c r="AW157" s="1">
        <v>1.0</v>
      </c>
      <c r="AX157" s="1">
        <v>0.0</v>
      </c>
      <c r="AY157" s="1">
        <v>0.0</v>
      </c>
      <c r="AZ157" s="1">
        <v>1.0</v>
      </c>
      <c r="BA157" s="1">
        <v>5.0</v>
      </c>
      <c r="BB157" s="1">
        <v>215.0</v>
      </c>
      <c r="BC157" s="1">
        <v>229.0</v>
      </c>
      <c r="BD157" s="1" t="s">
        <v>108</v>
      </c>
    </row>
    <row r="158">
      <c r="A158" s="1" t="s">
        <v>1413</v>
      </c>
      <c r="B158" s="1" t="s">
        <v>70</v>
      </c>
      <c r="C158" s="1">
        <v>0.0</v>
      </c>
      <c r="D158" s="1" t="s">
        <v>71</v>
      </c>
      <c r="E158" s="1" t="b">
        <v>1</v>
      </c>
      <c r="F158" s="1" t="b">
        <v>0</v>
      </c>
      <c r="G158" s="1" t="s">
        <v>74</v>
      </c>
      <c r="H158" s="1" t="s">
        <v>1415</v>
      </c>
      <c r="I158" s="1" t="s">
        <v>1417</v>
      </c>
      <c r="J158" s="1" t="s">
        <v>1420</v>
      </c>
      <c r="K158" s="1">
        <v>183.0</v>
      </c>
      <c r="L158" s="1">
        <v>12.25612477</v>
      </c>
      <c r="M158" s="1">
        <v>0.031134170586238</v>
      </c>
      <c r="N158" s="1">
        <v>0.689813792705535</v>
      </c>
      <c r="O158" s="1">
        <v>10.693795537688</v>
      </c>
      <c r="P158" s="1">
        <v>0.241477966308593</v>
      </c>
      <c r="S158" s="1">
        <v>183.0</v>
      </c>
      <c r="T158" s="1">
        <v>0.0311341705862386</v>
      </c>
      <c r="U158" s="1">
        <v>0.110469774038956</v>
      </c>
      <c r="V158" s="5">
        <v>5.08798450482572E-7</v>
      </c>
      <c r="W158" s="1">
        <v>0.689813792705535</v>
      </c>
      <c r="X158" s="1">
        <v>0.689813283907085</v>
      </c>
      <c r="Y158" s="1">
        <v>0.0375368364155292</v>
      </c>
      <c r="Z158" s="1">
        <v>0.164840807020664</v>
      </c>
      <c r="AA158" s="1">
        <v>0.664948931932449</v>
      </c>
      <c r="AB158" s="1">
        <v>10.693795537688</v>
      </c>
      <c r="AC158" s="1">
        <v>3.84184686774111</v>
      </c>
      <c r="AD158" s="1">
        <v>0.241477966308593</v>
      </c>
      <c r="AE158" s="1">
        <v>1.13659030914306</v>
      </c>
      <c r="AF158" s="1">
        <v>3.4559663772583</v>
      </c>
      <c r="AG158" s="1">
        <v>5.09659118652343</v>
      </c>
      <c r="AH158" s="1">
        <v>5.0</v>
      </c>
      <c r="AI158" s="1">
        <v>0.0</v>
      </c>
      <c r="AJ158" s="1">
        <v>0.0</v>
      </c>
      <c r="AK158" s="1">
        <v>0.0</v>
      </c>
      <c r="AL158" s="1">
        <v>0.0273224043715847</v>
      </c>
      <c r="AM158" s="1">
        <v>0.0</v>
      </c>
      <c r="AN158" s="1">
        <v>0.0</v>
      </c>
      <c r="AO158" s="1">
        <v>0.0</v>
      </c>
      <c r="AP158" s="1">
        <v>0.0</v>
      </c>
      <c r="AQ158" s="1">
        <v>1.0</v>
      </c>
      <c r="AR158" s="1">
        <v>1.0</v>
      </c>
      <c r="AS158" s="1">
        <v>0.052411302309374</v>
      </c>
      <c r="AT158" s="1">
        <v>0.689222382032312</v>
      </c>
      <c r="AU158" s="1">
        <v>0.150560063004977</v>
      </c>
      <c r="AV158" s="1">
        <v>1.0</v>
      </c>
      <c r="AW158" s="1">
        <v>0.0</v>
      </c>
      <c r="AX158" s="1">
        <v>0.0</v>
      </c>
      <c r="AY158" s="1">
        <v>0.0</v>
      </c>
      <c r="AZ158" s="1">
        <v>0.0</v>
      </c>
      <c r="BA158" s="1">
        <v>21.0</v>
      </c>
      <c r="BB158" s="1">
        <v>457.0</v>
      </c>
      <c r="BC158" s="1">
        <v>471.0</v>
      </c>
      <c r="BD158" s="1" t="s">
        <v>108</v>
      </c>
    </row>
    <row r="159">
      <c r="A159" s="1" t="s">
        <v>1421</v>
      </c>
      <c r="B159" s="1" t="s">
        <v>70</v>
      </c>
      <c r="C159" s="1">
        <v>0.0</v>
      </c>
      <c r="D159" s="1" t="s">
        <v>71</v>
      </c>
      <c r="E159" s="1" t="b">
        <v>1</v>
      </c>
      <c r="F159" s="1" t="b">
        <v>0</v>
      </c>
      <c r="G159" s="1" t="s">
        <v>74</v>
      </c>
      <c r="H159" s="1" t="s">
        <v>1422</v>
      </c>
      <c r="I159" s="1" t="s">
        <v>1423</v>
      </c>
      <c r="J159" s="1" t="s">
        <v>1425</v>
      </c>
      <c r="K159" s="1">
        <v>46.0</v>
      </c>
      <c r="L159" s="1">
        <v>3.1080035330001</v>
      </c>
      <c r="M159" s="1">
        <v>0.04688163354266</v>
      </c>
      <c r="N159" s="1">
        <v>0.699153482913971</v>
      </c>
      <c r="O159" s="1">
        <v>10.0753773813662</v>
      </c>
      <c r="P159" s="1">
        <v>0.284090042114257</v>
      </c>
      <c r="S159" s="1">
        <v>46.0</v>
      </c>
      <c r="T159" s="1">
        <v>0.04688163354266</v>
      </c>
      <c r="U159" s="1">
        <v>0.146840618045343</v>
      </c>
      <c r="V159" s="5">
        <v>1.13509690891078E-6</v>
      </c>
      <c r="W159" s="1">
        <v>0.699153482913971</v>
      </c>
      <c r="X159" s="1">
        <v>0.699152347817062</v>
      </c>
      <c r="Y159" s="1">
        <v>0.109970431774854</v>
      </c>
      <c r="Z159" s="1">
        <v>0.223219789564609</v>
      </c>
      <c r="AA159" s="1">
        <v>0.692048069834709</v>
      </c>
      <c r="AB159" s="1">
        <v>10.0753773813662</v>
      </c>
      <c r="AC159" s="1">
        <v>4.13361876628228</v>
      </c>
      <c r="AD159" s="1">
        <v>0.284090042114257</v>
      </c>
      <c r="AE159" s="1">
        <v>0.682953834533691</v>
      </c>
      <c r="AF159" s="1">
        <v>3.46803998947143</v>
      </c>
      <c r="AG159" s="1">
        <v>4.43892192840576</v>
      </c>
      <c r="AH159" s="1">
        <v>2.0</v>
      </c>
      <c r="AI159" s="1">
        <v>0.0</v>
      </c>
      <c r="AJ159" s="1">
        <v>0.0</v>
      </c>
      <c r="AK159" s="1">
        <v>0.0</v>
      </c>
      <c r="AL159" s="1">
        <v>0.0434782608695652</v>
      </c>
      <c r="AM159" s="1">
        <v>0.0</v>
      </c>
      <c r="AN159" s="1">
        <v>0.0</v>
      </c>
      <c r="AO159" s="1">
        <v>0.0</v>
      </c>
      <c r="AP159" s="1">
        <v>0.0</v>
      </c>
      <c r="AQ159" s="1">
        <v>0.0</v>
      </c>
      <c r="AR159" s="1">
        <v>1.0</v>
      </c>
      <c r="AS159" s="1">
        <v>0.070875371301079</v>
      </c>
      <c r="AT159" s="1">
        <v>0.69406331051141</v>
      </c>
      <c r="AU159" s="1">
        <v>0.178021151147809</v>
      </c>
      <c r="AV159" s="1">
        <v>1.0</v>
      </c>
      <c r="AW159" s="1">
        <v>0.0</v>
      </c>
      <c r="AX159" s="1">
        <v>0.0</v>
      </c>
      <c r="AY159" s="1">
        <v>0.0</v>
      </c>
      <c r="AZ159" s="1">
        <v>0.0</v>
      </c>
      <c r="BA159" s="1">
        <v>3.0</v>
      </c>
      <c r="BB159" s="1">
        <v>116.0</v>
      </c>
      <c r="BC159" s="1">
        <v>130.0</v>
      </c>
      <c r="BD159" s="1" t="s">
        <v>108</v>
      </c>
    </row>
    <row r="160">
      <c r="A160" s="1" t="s">
        <v>1432</v>
      </c>
      <c r="B160" s="1" t="s">
        <v>70</v>
      </c>
      <c r="C160" s="1">
        <v>0.0</v>
      </c>
      <c r="D160" s="1" t="s">
        <v>71</v>
      </c>
      <c r="E160" s="1" t="b">
        <v>1</v>
      </c>
      <c r="F160" s="1" t="b">
        <v>0</v>
      </c>
      <c r="G160" s="1" t="s">
        <v>74</v>
      </c>
      <c r="H160" s="1" t="s">
        <v>1433</v>
      </c>
      <c r="I160" s="1" t="s">
        <v>1434</v>
      </c>
      <c r="J160" s="1" t="s">
        <v>1435</v>
      </c>
      <c r="K160" s="1">
        <v>78.0</v>
      </c>
      <c r="L160" s="1">
        <v>5.23450412800002</v>
      </c>
      <c r="M160" s="1">
        <v>0.060294107109404</v>
      </c>
      <c r="N160" s="1">
        <v>0.933516085147857</v>
      </c>
      <c r="O160" s="1">
        <v>9.271270996485</v>
      </c>
      <c r="P160" s="1">
        <v>0.6875</v>
      </c>
      <c r="S160" s="1">
        <v>78.0</v>
      </c>
      <c r="T160" s="1">
        <v>0.0602941071094045</v>
      </c>
      <c r="U160" s="1">
        <v>0.16992471494076</v>
      </c>
      <c r="V160" s="5">
        <v>3.80078404305095E-7</v>
      </c>
      <c r="W160" s="1">
        <v>0.933516085147857</v>
      </c>
      <c r="X160" s="1">
        <v>0.933515705069453</v>
      </c>
      <c r="Y160" s="1">
        <v>0.197189038991927</v>
      </c>
      <c r="Z160" s="1">
        <v>0.346412107348441</v>
      </c>
      <c r="AA160" s="1">
        <v>0.83264086663723</v>
      </c>
      <c r="AB160" s="1">
        <v>9.271270996485</v>
      </c>
      <c r="AC160" s="1">
        <v>3.79247217343726</v>
      </c>
      <c r="AD160" s="1">
        <v>0.6875</v>
      </c>
      <c r="AE160" s="1">
        <v>1.12828111648559</v>
      </c>
      <c r="AF160" s="1">
        <v>2.4671875</v>
      </c>
      <c r="AG160" s="1">
        <v>3.20752811431884</v>
      </c>
      <c r="AH160" s="1">
        <v>3.0</v>
      </c>
      <c r="AI160" s="1">
        <v>0.0</v>
      </c>
      <c r="AJ160" s="1">
        <v>0.0</v>
      </c>
      <c r="AK160" s="1">
        <v>0.0</v>
      </c>
      <c r="AL160" s="1">
        <v>0.0384615384615384</v>
      </c>
      <c r="AM160" s="1">
        <v>0.0</v>
      </c>
      <c r="AN160" s="1">
        <v>0.0</v>
      </c>
      <c r="AO160" s="1">
        <v>0.0</v>
      </c>
      <c r="AP160" s="1">
        <v>0.0</v>
      </c>
      <c r="AQ160" s="1">
        <v>0.0</v>
      </c>
      <c r="AR160" s="1">
        <v>0.0</v>
      </c>
      <c r="AS160" s="1">
        <v>0.092186843310141</v>
      </c>
      <c r="AT160" s="1">
        <v>0.913508258759975</v>
      </c>
      <c r="AU160" s="1">
        <v>0.219871106320326</v>
      </c>
      <c r="AV160" s="1">
        <v>1.0</v>
      </c>
      <c r="AW160" s="1">
        <v>0.0</v>
      </c>
      <c r="AX160" s="1">
        <v>0.0</v>
      </c>
      <c r="AY160" s="1">
        <v>0.0</v>
      </c>
      <c r="AZ160" s="1">
        <v>0.0</v>
      </c>
      <c r="BA160" s="1">
        <v>11.0</v>
      </c>
      <c r="BB160" s="1">
        <v>320.0</v>
      </c>
      <c r="BC160" s="1">
        <v>334.0</v>
      </c>
      <c r="BD160" s="1" t="s">
        <v>108</v>
      </c>
    </row>
    <row r="161">
      <c r="A161" s="1" t="s">
        <v>1443</v>
      </c>
      <c r="B161" s="1" t="s">
        <v>70</v>
      </c>
      <c r="C161" s="1">
        <v>0.0</v>
      </c>
      <c r="D161" s="1" t="s">
        <v>71</v>
      </c>
      <c r="E161" s="1" t="b">
        <v>1</v>
      </c>
      <c r="F161" s="1" t="b">
        <v>0</v>
      </c>
      <c r="G161" s="1" t="s">
        <v>74</v>
      </c>
      <c r="H161" s="1" t="s">
        <v>1444</v>
      </c>
      <c r="I161" s="1" t="s">
        <v>1445</v>
      </c>
      <c r="J161" s="1" t="s">
        <v>1446</v>
      </c>
      <c r="K161" s="1">
        <v>43.0</v>
      </c>
      <c r="L161" s="1">
        <v>3.13189211600001</v>
      </c>
      <c r="M161" s="1">
        <v>0.079539760742538</v>
      </c>
      <c r="N161" s="1">
        <v>1.58890485763549</v>
      </c>
      <c r="O161" s="1">
        <v>9.55878419654313</v>
      </c>
      <c r="P161" s="1">
        <v>0.696023941040039</v>
      </c>
      <c r="S161" s="1">
        <v>43.0</v>
      </c>
      <c r="T161" s="1">
        <v>0.0795397607425383</v>
      </c>
      <c r="U161" s="1">
        <v>0.27068435235519</v>
      </c>
      <c r="V161" s="5">
        <v>3.86131659979582E-6</v>
      </c>
      <c r="W161" s="1">
        <v>1.58890485763549</v>
      </c>
      <c r="X161" s="1">
        <v>1.58890099631889</v>
      </c>
      <c r="Y161" s="1">
        <v>0.123365971446037</v>
      </c>
      <c r="Z161" s="1">
        <v>0.448907016217708</v>
      </c>
      <c r="AA161" s="1">
        <v>1.22203546285629</v>
      </c>
      <c r="AB161" s="1">
        <v>9.55878419654313</v>
      </c>
      <c r="AC161" s="1">
        <v>3.90002298327067</v>
      </c>
      <c r="AD161" s="1">
        <v>0.696023941040039</v>
      </c>
      <c r="AE161" s="1">
        <v>0.701989631652832</v>
      </c>
      <c r="AF161" s="1">
        <v>2.00880622863769</v>
      </c>
      <c r="AG161" s="1">
        <v>4.35823936462402</v>
      </c>
      <c r="AH161" s="1">
        <v>2.0</v>
      </c>
      <c r="AI161" s="1">
        <v>1.0</v>
      </c>
      <c r="AJ161" s="1">
        <v>1.0</v>
      </c>
      <c r="AK161" s="1">
        <v>0.0</v>
      </c>
      <c r="AL161" s="1">
        <v>0.0465116279069767</v>
      </c>
      <c r="AM161" s="1">
        <v>0.0232558139534883</v>
      </c>
      <c r="AN161" s="1">
        <v>0.0232558139534883</v>
      </c>
      <c r="AO161" s="1">
        <v>0.0</v>
      </c>
      <c r="AP161" s="1">
        <v>0.0</v>
      </c>
      <c r="AQ161" s="1">
        <v>0.0</v>
      </c>
      <c r="AR161" s="1">
        <v>0.0</v>
      </c>
      <c r="AS161" s="1">
        <v>0.12597231013853</v>
      </c>
      <c r="AT161" s="1">
        <v>1.57791809551417</v>
      </c>
      <c r="AU161" s="1">
        <v>0.356095975151668</v>
      </c>
      <c r="AV161" s="1">
        <v>1.0</v>
      </c>
      <c r="AW161" s="1">
        <v>1.0</v>
      </c>
      <c r="AX161" s="1">
        <v>1.0</v>
      </c>
      <c r="AY161" s="1">
        <v>0.0</v>
      </c>
      <c r="AZ161" s="1">
        <v>1.0</v>
      </c>
      <c r="BA161" s="1">
        <v>5.0</v>
      </c>
      <c r="BB161" s="1">
        <v>157.0</v>
      </c>
      <c r="BC161" s="1">
        <v>171.0</v>
      </c>
      <c r="BD161" s="1" t="s">
        <v>108</v>
      </c>
    </row>
    <row r="162">
      <c r="A162" s="1" t="s">
        <v>1454</v>
      </c>
      <c r="B162" s="1" t="s">
        <v>70</v>
      </c>
      <c r="C162" s="1">
        <v>0.0</v>
      </c>
      <c r="D162" s="1" t="s">
        <v>71</v>
      </c>
      <c r="E162" s="1" t="b">
        <v>0</v>
      </c>
      <c r="F162" s="1" t="b">
        <v>1</v>
      </c>
      <c r="G162" s="1" t="s">
        <v>1456</v>
      </c>
      <c r="H162" s="1" t="s">
        <v>1457</v>
      </c>
      <c r="I162" s="1" t="s">
        <v>1458</v>
      </c>
      <c r="J162" s="1" t="s">
        <v>1459</v>
      </c>
      <c r="K162" s="1">
        <v>86.0</v>
      </c>
      <c r="L162" s="1">
        <v>5.91252389099963</v>
      </c>
      <c r="M162" s="1">
        <v>0.094621331798313</v>
      </c>
      <c r="N162" s="1">
        <v>1.42701244354248</v>
      </c>
      <c r="O162" s="1">
        <v>8.81710858677708</v>
      </c>
      <c r="P162" s="1">
        <v>0.071023941040039</v>
      </c>
      <c r="Q162" s="1" t="s">
        <v>198</v>
      </c>
      <c r="R162" s="1" t="s">
        <v>247</v>
      </c>
      <c r="S162" s="1">
        <v>86.0</v>
      </c>
      <c r="T162" s="1">
        <v>0.0946213317983139</v>
      </c>
      <c r="U162" s="1">
        <v>0.255821286397359</v>
      </c>
      <c r="V162" s="5">
        <v>1.80349303491311E-7</v>
      </c>
      <c r="W162" s="1">
        <v>1.42701244354248</v>
      </c>
      <c r="X162" s="1">
        <v>1.42701226319317</v>
      </c>
      <c r="Y162" s="1">
        <v>0.295718528330326</v>
      </c>
      <c r="Z162" s="1">
        <v>0.668324261903762</v>
      </c>
      <c r="AA162" s="1">
        <v>1.09514625668525</v>
      </c>
      <c r="AB162" s="1">
        <v>8.81710858677708</v>
      </c>
      <c r="AC162" s="1">
        <v>4.06391843839302</v>
      </c>
      <c r="AD162" s="1">
        <v>0.071023941040039</v>
      </c>
      <c r="AE162" s="1">
        <v>0.701278591156005</v>
      </c>
      <c r="AF162" s="1">
        <v>1.63458776473999</v>
      </c>
      <c r="AG162" s="1">
        <v>3.01633548736572</v>
      </c>
      <c r="AH162" s="1">
        <v>7.0</v>
      </c>
      <c r="AI162" s="1">
        <v>2.0</v>
      </c>
      <c r="AJ162" s="1">
        <v>0.0</v>
      </c>
      <c r="AK162" s="1">
        <v>0.0</v>
      </c>
      <c r="AL162" s="1">
        <v>0.0813953488372093</v>
      </c>
      <c r="AM162" s="1">
        <v>0.0232558139534883</v>
      </c>
      <c r="AN162" s="1">
        <v>0.0</v>
      </c>
      <c r="AO162" s="1">
        <v>0.0</v>
      </c>
      <c r="AP162" s="1">
        <v>1.0</v>
      </c>
      <c r="AQ162" s="1">
        <v>1.0</v>
      </c>
      <c r="AR162" s="1">
        <v>1.0</v>
      </c>
      <c r="AS162" s="1">
        <v>0.144941729408178</v>
      </c>
      <c r="AT162" s="1">
        <v>1.42624158679973</v>
      </c>
      <c r="AU162" s="1">
        <v>0.342011812851865</v>
      </c>
      <c r="AV162" s="1">
        <v>2.0</v>
      </c>
      <c r="AW162" s="1">
        <v>1.0</v>
      </c>
      <c r="AX162" s="1">
        <v>0.0</v>
      </c>
      <c r="AY162" s="1">
        <v>0.0</v>
      </c>
      <c r="AZ162" s="1">
        <v>1.0</v>
      </c>
      <c r="BA162" s="1">
        <v>8.0</v>
      </c>
      <c r="BB162" s="1">
        <v>275.0</v>
      </c>
      <c r="BC162" s="1">
        <v>289.0</v>
      </c>
      <c r="BD162" s="1" t="s">
        <v>204</v>
      </c>
    </row>
    <row r="163">
      <c r="A163" s="1" t="s">
        <v>1468</v>
      </c>
      <c r="B163" s="1" t="s">
        <v>70</v>
      </c>
      <c r="C163" s="1">
        <v>0.0</v>
      </c>
      <c r="D163" s="1" t="s">
        <v>71</v>
      </c>
      <c r="E163" s="1" t="b">
        <v>1</v>
      </c>
      <c r="F163" s="1" t="b">
        <v>0</v>
      </c>
      <c r="G163" s="1" t="s">
        <v>74</v>
      </c>
      <c r="H163" s="1" t="s">
        <v>1469</v>
      </c>
      <c r="I163" s="1" t="s">
        <v>1470</v>
      </c>
      <c r="J163" s="1" t="s">
        <v>1471</v>
      </c>
      <c r="K163" s="1">
        <v>57.0</v>
      </c>
      <c r="L163" s="1">
        <v>3.83883326000022</v>
      </c>
      <c r="M163" s="1">
        <v>0.060936378344607</v>
      </c>
      <c r="N163" s="1">
        <v>0.877250015735626</v>
      </c>
      <c r="O163" s="1">
        <v>9.74409426304332</v>
      </c>
      <c r="P163" s="1">
        <v>0.392044067382812</v>
      </c>
      <c r="S163" s="1">
        <v>57.0</v>
      </c>
      <c r="T163" s="1">
        <v>0.0609363783446078</v>
      </c>
      <c r="U163" s="1">
        <v>0.172136031931518</v>
      </c>
      <c r="V163" s="5">
        <v>1.34811659791012E-6</v>
      </c>
      <c r="W163" s="1">
        <v>0.877250015735626</v>
      </c>
      <c r="X163" s="1">
        <v>0.877248667619028</v>
      </c>
      <c r="Y163" s="1">
        <v>0.135501550137996</v>
      </c>
      <c r="Z163" s="1">
        <v>0.558557724952697</v>
      </c>
      <c r="AA163" s="1">
        <v>0.72181678533554</v>
      </c>
      <c r="AB163" s="1">
        <v>9.74409426304332</v>
      </c>
      <c r="AC163" s="1">
        <v>4.31042122146719</v>
      </c>
      <c r="AD163" s="1">
        <v>0.392044067382812</v>
      </c>
      <c r="AE163" s="1">
        <v>0.793749389648437</v>
      </c>
      <c r="AF163" s="1">
        <v>1.38068122863769</v>
      </c>
      <c r="AG163" s="1">
        <v>3.62414855957031</v>
      </c>
      <c r="AH163" s="1">
        <v>4.0</v>
      </c>
      <c r="AI163" s="1">
        <v>0.0</v>
      </c>
      <c r="AJ163" s="1">
        <v>0.0</v>
      </c>
      <c r="AK163" s="1">
        <v>0.0</v>
      </c>
      <c r="AL163" s="1">
        <v>0.0701754385964912</v>
      </c>
      <c r="AM163" s="1">
        <v>0.0</v>
      </c>
      <c r="AN163" s="1">
        <v>0.0</v>
      </c>
      <c r="AO163" s="1">
        <v>0.0</v>
      </c>
      <c r="AP163" s="1">
        <v>0.0</v>
      </c>
      <c r="AQ163" s="1">
        <v>0.0</v>
      </c>
      <c r="AR163" s="1">
        <v>1.0</v>
      </c>
      <c r="AS163" s="1">
        <v>0.0800295973763931</v>
      </c>
      <c r="AT163" s="1">
        <v>0.87201610719785</v>
      </c>
      <c r="AU163" s="1">
        <v>0.198048108005021</v>
      </c>
      <c r="AV163" s="1">
        <v>2.0</v>
      </c>
      <c r="AW163" s="1">
        <v>0.0</v>
      </c>
      <c r="AX163" s="1">
        <v>0.0</v>
      </c>
      <c r="AY163" s="1">
        <v>0.0</v>
      </c>
      <c r="AZ163" s="1">
        <v>0.0</v>
      </c>
      <c r="BA163" s="1">
        <v>6.0</v>
      </c>
      <c r="BB163" s="1">
        <v>182.0</v>
      </c>
      <c r="BC163" s="1">
        <v>196.0</v>
      </c>
      <c r="BD163" s="1" t="s">
        <v>108</v>
      </c>
    </row>
    <row r="164">
      <c r="A164" s="1" t="s">
        <v>1473</v>
      </c>
      <c r="B164" s="1" t="s">
        <v>70</v>
      </c>
      <c r="C164" s="1">
        <v>0.0</v>
      </c>
      <c r="D164" s="1" t="s">
        <v>71</v>
      </c>
      <c r="E164" s="1" t="b">
        <v>1</v>
      </c>
      <c r="F164" s="1" t="b">
        <v>0</v>
      </c>
      <c r="G164" s="1" t="s">
        <v>74</v>
      </c>
      <c r="H164" s="1" t="s">
        <v>1475</v>
      </c>
      <c r="I164" s="1" t="s">
        <v>1476</v>
      </c>
      <c r="J164" s="1" t="s">
        <v>1476</v>
      </c>
      <c r="K164" s="1">
        <v>30.0</v>
      </c>
      <c r="L164" s="1">
        <v>1.99873106399991</v>
      </c>
      <c r="M164" s="1">
        <v>0.129057949133372</v>
      </c>
      <c r="N164" s="1">
        <v>0.802050769329071</v>
      </c>
      <c r="O164" s="1">
        <v>8.24483941396077</v>
      </c>
      <c r="P164" s="1">
        <v>0.245738983154296</v>
      </c>
      <c r="S164" s="1">
        <v>30.0</v>
      </c>
      <c r="T164" s="1">
        <v>0.129057949133372</v>
      </c>
      <c r="U164" s="1">
        <v>0.263175570718104</v>
      </c>
      <c r="V164" s="5">
        <v>2.03353338292799E-5</v>
      </c>
      <c r="W164" s="1">
        <v>0.802050769329071</v>
      </c>
      <c r="X164" s="1">
        <v>0.802030433995241</v>
      </c>
      <c r="Y164" s="1">
        <v>0.663915508985519</v>
      </c>
      <c r="Z164" s="1">
        <v>0.729533442854881</v>
      </c>
      <c r="AA164" s="1">
        <v>0.79072642982006</v>
      </c>
      <c r="AB164" s="1">
        <v>8.24483941396077</v>
      </c>
      <c r="AC164" s="1">
        <v>4.50358214043782</v>
      </c>
      <c r="AD164" s="1">
        <v>0.245738983154296</v>
      </c>
      <c r="AE164" s="1">
        <v>0.32853717803955</v>
      </c>
      <c r="AF164" s="1">
        <v>0.634801292419433</v>
      </c>
      <c r="AG164" s="1">
        <v>1.05156269073486</v>
      </c>
      <c r="AH164" s="1">
        <v>5.0</v>
      </c>
      <c r="AI164" s="1">
        <v>0.0</v>
      </c>
      <c r="AJ164" s="1">
        <v>0.0</v>
      </c>
      <c r="AK164" s="1">
        <v>0.0</v>
      </c>
      <c r="AL164" s="1">
        <v>0.166666666666666</v>
      </c>
      <c r="AM164" s="1">
        <v>0.0</v>
      </c>
      <c r="AN164" s="1">
        <v>0.0</v>
      </c>
      <c r="AO164" s="1">
        <v>0.0</v>
      </c>
      <c r="AP164" s="1">
        <v>0.0</v>
      </c>
      <c r="AQ164" s="1">
        <v>1.0</v>
      </c>
      <c r="AR164" s="1">
        <v>1.0</v>
      </c>
      <c r="AS164" s="1">
        <v>0.14889200122205</v>
      </c>
      <c r="AT164" s="1">
        <v>0.801895613200031</v>
      </c>
      <c r="AU164" s="1">
        <v>0.302336203084519</v>
      </c>
      <c r="AV164" s="1">
        <v>3.0</v>
      </c>
      <c r="AW164" s="1">
        <v>0.0</v>
      </c>
      <c r="AX164" s="1">
        <v>0.0</v>
      </c>
      <c r="AY164" s="1">
        <v>0.0</v>
      </c>
      <c r="AZ164" s="1">
        <v>0.0</v>
      </c>
      <c r="BA164" s="1">
        <v>6.0</v>
      </c>
      <c r="BB164" s="1">
        <v>129.0</v>
      </c>
      <c r="BC164" s="1">
        <v>129.0</v>
      </c>
      <c r="BD164" s="1" t="s">
        <v>108</v>
      </c>
    </row>
    <row r="165">
      <c r="A165" s="1" t="s">
        <v>1482</v>
      </c>
      <c r="B165" s="1" t="s">
        <v>70</v>
      </c>
      <c r="C165" s="1">
        <v>0.0</v>
      </c>
      <c r="D165" s="1" t="s">
        <v>71</v>
      </c>
      <c r="E165" s="1" t="b">
        <v>0</v>
      </c>
      <c r="F165" s="1" t="b">
        <v>1</v>
      </c>
      <c r="G165" s="1" t="s">
        <v>1483</v>
      </c>
      <c r="H165" s="1" t="s">
        <v>1484</v>
      </c>
      <c r="I165" s="1" t="s">
        <v>1485</v>
      </c>
      <c r="J165" s="1" t="s">
        <v>1486</v>
      </c>
      <c r="K165" s="1">
        <v>53.0</v>
      </c>
      <c r="L165" s="1">
        <v>3.57152680299986</v>
      </c>
      <c r="M165" s="1">
        <v>0.075082691329245</v>
      </c>
      <c r="N165" s="1">
        <v>1.07480692863464</v>
      </c>
      <c r="O165" s="1">
        <v>9.51881469870513</v>
      </c>
      <c r="P165" s="1">
        <v>0.5625</v>
      </c>
      <c r="Q165" s="1" t="s">
        <v>198</v>
      </c>
      <c r="R165" s="1" t="s">
        <v>1489</v>
      </c>
      <c r="S165" s="1">
        <v>53.0</v>
      </c>
      <c r="T165" s="1">
        <v>0.0750826913292455</v>
      </c>
      <c r="U165" s="1">
        <v>0.206355636679223</v>
      </c>
      <c r="V165" s="5">
        <v>2.45593741965421E-6</v>
      </c>
      <c r="W165" s="1">
        <v>1.07480692863464</v>
      </c>
      <c r="X165" s="1">
        <v>1.07480447269722</v>
      </c>
      <c r="Y165" s="1">
        <v>0.254736864566803</v>
      </c>
      <c r="Z165" s="1">
        <v>0.500710219144821</v>
      </c>
      <c r="AA165" s="1">
        <v>0.908140287399291</v>
      </c>
      <c r="AB165" s="1">
        <v>9.51881469870513</v>
      </c>
      <c r="AC165" s="1">
        <v>4.01085115555878</v>
      </c>
      <c r="AD165" s="1">
        <v>0.5625</v>
      </c>
      <c r="AE165" s="1">
        <v>0.959147186279296</v>
      </c>
      <c r="AF165" s="1">
        <v>2.19772720336914</v>
      </c>
      <c r="AG165" s="1">
        <v>3.16903343200683</v>
      </c>
      <c r="AH165" s="1">
        <v>3.0</v>
      </c>
      <c r="AI165" s="1">
        <v>1.0</v>
      </c>
      <c r="AJ165" s="1">
        <v>0.0</v>
      </c>
      <c r="AK165" s="1">
        <v>0.0</v>
      </c>
      <c r="AL165" s="1">
        <v>0.0566037735849056</v>
      </c>
      <c r="AM165" s="1">
        <v>0.0188679245283018</v>
      </c>
      <c r="AN165" s="1">
        <v>0.0</v>
      </c>
      <c r="AO165" s="1">
        <v>0.0</v>
      </c>
      <c r="AP165" s="1">
        <v>0.0</v>
      </c>
      <c r="AQ165" s="1">
        <v>0.0</v>
      </c>
      <c r="AR165" s="1">
        <v>0.0</v>
      </c>
      <c r="AS165" s="1">
        <v>0.111640809965041</v>
      </c>
      <c r="AT165" s="1">
        <v>1.07476676395526</v>
      </c>
      <c r="AU165" s="1">
        <v>0.262023356693904</v>
      </c>
      <c r="AV165" s="1">
        <v>1.0</v>
      </c>
      <c r="AW165" s="1">
        <v>1.0</v>
      </c>
      <c r="AX165" s="1">
        <v>0.0</v>
      </c>
      <c r="AY165" s="1">
        <v>0.0</v>
      </c>
      <c r="AZ165" s="1">
        <v>1.0</v>
      </c>
      <c r="BA165" s="1">
        <v>4.0</v>
      </c>
      <c r="BB165" s="1">
        <v>130.0</v>
      </c>
      <c r="BC165" s="1">
        <v>144.0</v>
      </c>
      <c r="BD165" s="1" t="s">
        <v>204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3</v>
      </c>
      <c r="E1" s="2" t="s">
        <v>13</v>
      </c>
      <c r="F1" s="2" t="s">
        <v>4</v>
      </c>
      <c r="G1" s="2" t="s">
        <v>17</v>
      </c>
      <c r="H1" s="2" t="s">
        <v>18</v>
      </c>
      <c r="I1" s="2" t="s">
        <v>22</v>
      </c>
      <c r="J1" s="2" t="s">
        <v>24</v>
      </c>
      <c r="K1" s="2" t="s">
        <v>7</v>
      </c>
      <c r="L1" s="2" t="s">
        <v>28</v>
      </c>
      <c r="M1" s="2" t="s">
        <v>30</v>
      </c>
      <c r="N1" s="2" t="s">
        <v>8</v>
      </c>
      <c r="O1" s="2" t="s">
        <v>9</v>
      </c>
      <c r="P1" s="2" t="s">
        <v>33</v>
      </c>
      <c r="Q1" s="2" t="s">
        <v>35</v>
      </c>
      <c r="R1" s="2" t="s">
        <v>37</v>
      </c>
      <c r="S1" s="2" t="s">
        <v>39</v>
      </c>
      <c r="T1" s="2" t="s">
        <v>10</v>
      </c>
      <c r="U1" s="2" t="s">
        <v>43</v>
      </c>
      <c r="V1" s="2" t="s">
        <v>11</v>
      </c>
      <c r="W1" s="2" t="s">
        <v>12</v>
      </c>
      <c r="X1" s="2" t="s">
        <v>14</v>
      </c>
      <c r="Y1" s="2" t="s">
        <v>15</v>
      </c>
      <c r="Z1" s="2" t="s">
        <v>16</v>
      </c>
      <c r="AA1" s="2" t="s">
        <v>20</v>
      </c>
      <c r="AB1" s="2" t="s">
        <v>21</v>
      </c>
      <c r="AC1" s="2" t="s">
        <v>23</v>
      </c>
      <c r="AD1" s="2" t="s">
        <v>25</v>
      </c>
      <c r="AE1" s="2" t="s">
        <v>56</v>
      </c>
      <c r="AF1" s="2" t="s">
        <v>59</v>
      </c>
      <c r="AG1" s="2" t="s">
        <v>27</v>
      </c>
      <c r="AH1" s="2" t="s">
        <v>29</v>
      </c>
      <c r="AI1" s="2" t="s">
        <v>31</v>
      </c>
      <c r="AJ1" s="2" t="s">
        <v>32</v>
      </c>
      <c r="AK1" s="2" t="s">
        <v>34</v>
      </c>
      <c r="AL1" s="2" t="s">
        <v>36</v>
      </c>
      <c r="AM1" s="2" t="s">
        <v>72</v>
      </c>
      <c r="AN1" s="2" t="s">
        <v>73</v>
      </c>
      <c r="AO1" s="2" t="s">
        <v>40</v>
      </c>
      <c r="AP1" s="2" t="s">
        <v>41</v>
      </c>
      <c r="AQ1" s="2" t="s">
        <v>78</v>
      </c>
      <c r="AR1" s="2" t="s">
        <v>80</v>
      </c>
      <c r="AS1" s="2" t="s">
        <v>81</v>
      </c>
      <c r="AT1" s="2" t="s">
        <v>82</v>
      </c>
      <c r="AU1" s="2" t="s">
        <v>83</v>
      </c>
      <c r="AV1" s="2" t="s">
        <v>84</v>
      </c>
      <c r="AW1" s="2" t="s">
        <v>85</v>
      </c>
      <c r="AX1" s="2" t="s">
        <v>86</v>
      </c>
      <c r="AY1" s="2" t="s">
        <v>87</v>
      </c>
      <c r="AZ1" s="2" t="s">
        <v>88</v>
      </c>
      <c r="BA1" s="2" t="s">
        <v>89</v>
      </c>
      <c r="BB1" s="2" t="s">
        <v>91</v>
      </c>
      <c r="BC1" s="2" t="s">
        <v>92</v>
      </c>
      <c r="BD1" s="2" t="s">
        <v>94</v>
      </c>
      <c r="BE1" s="2" t="s">
        <v>95</v>
      </c>
      <c r="BF1" s="2" t="s">
        <v>97</v>
      </c>
      <c r="BG1" s="2" t="s">
        <v>98</v>
      </c>
      <c r="BH1" s="2" t="s">
        <v>99</v>
      </c>
      <c r="BI1" s="2" t="s">
        <v>101</v>
      </c>
      <c r="BJ1" s="2" t="s">
        <v>102</v>
      </c>
      <c r="BK1" s="2" t="s">
        <v>103</v>
      </c>
      <c r="BL1" s="2" t="s">
        <v>104</v>
      </c>
      <c r="BM1" s="2" t="s">
        <v>105</v>
      </c>
      <c r="BN1" s="2" t="s">
        <v>106</v>
      </c>
      <c r="BO1" s="2" t="s">
        <v>107</v>
      </c>
      <c r="BP1" s="2" t="s">
        <v>109</v>
      </c>
      <c r="BQ1" s="2" t="s">
        <v>67</v>
      </c>
      <c r="BR1" s="2" t="s">
        <v>66</v>
      </c>
      <c r="BS1" s="2" t="s">
        <v>65</v>
      </c>
      <c r="BT1" s="2" t="s">
        <v>112</v>
      </c>
      <c r="BU1" s="2" t="s">
        <v>114</v>
      </c>
      <c r="BV1" s="2" t="s">
        <v>115</v>
      </c>
      <c r="BW1" s="2" t="s">
        <v>117</v>
      </c>
      <c r="BX1" s="2" t="s">
        <v>6</v>
      </c>
      <c r="BY1" s="2" t="s">
        <v>119</v>
      </c>
      <c r="BZ1" s="2"/>
      <c r="CA1" s="2"/>
    </row>
    <row r="2">
      <c r="A2" s="2" t="s">
        <v>120</v>
      </c>
      <c r="B2" s="2" t="s">
        <v>121</v>
      </c>
      <c r="C2" s="8">
        <v>0.0</v>
      </c>
      <c r="D2" s="2" t="s">
        <v>71</v>
      </c>
      <c r="E2" s="2" t="s">
        <v>122</v>
      </c>
      <c r="F2" s="10" t="b">
        <v>1</v>
      </c>
      <c r="G2" s="2"/>
      <c r="H2" s="2"/>
      <c r="I2" s="2"/>
      <c r="J2" s="2"/>
      <c r="K2" s="2" t="s">
        <v>128</v>
      </c>
      <c r="L2" s="2" t="s">
        <v>129</v>
      </c>
      <c r="M2" s="2"/>
      <c r="N2" s="2" t="s">
        <v>130</v>
      </c>
      <c r="O2" s="2" t="s">
        <v>131</v>
      </c>
      <c r="P2" s="10" t="b">
        <v>0</v>
      </c>
      <c r="Q2" s="2"/>
      <c r="R2" s="2"/>
      <c r="S2" s="8">
        <v>107.0</v>
      </c>
      <c r="T2" s="8">
        <v>188.0</v>
      </c>
      <c r="U2" s="8">
        <v>2.36073193233633</v>
      </c>
      <c r="V2" s="8">
        <v>79.6363184760002</v>
      </c>
      <c r="W2" s="8">
        <v>0.118093610603866</v>
      </c>
      <c r="X2" s="8">
        <v>2.47155427932739</v>
      </c>
      <c r="Y2" s="8">
        <v>8.49393325663627</v>
      </c>
      <c r="Z2" s="8">
        <v>0.00994300842285156</v>
      </c>
      <c r="AA2" s="8">
        <v>0.118093610603866</v>
      </c>
      <c r="AB2" s="8">
        <v>0.330319980772066</v>
      </c>
      <c r="AC2" s="11">
        <v>4.0930221985036E-6</v>
      </c>
      <c r="AD2" s="8">
        <v>2.47155427932739</v>
      </c>
      <c r="AE2" s="8">
        <v>0.00241748709231615</v>
      </c>
      <c r="AF2" s="8">
        <v>0.029696078505367</v>
      </c>
      <c r="AG2" s="8">
        <v>0.492565292119979</v>
      </c>
      <c r="AH2" s="8">
        <v>0.74114142358303</v>
      </c>
      <c r="AI2" s="8">
        <v>1.53576417803764</v>
      </c>
      <c r="AJ2" s="8">
        <v>8.49393325663627</v>
      </c>
      <c r="AK2" s="8">
        <v>3.83248159824646</v>
      </c>
      <c r="AL2" s="8">
        <v>0.00994300842285156</v>
      </c>
      <c r="AM2" s="8">
        <v>16.5390625</v>
      </c>
      <c r="AN2" s="8">
        <v>9.078125</v>
      </c>
      <c r="AO2" s="8">
        <v>1.07194547653198</v>
      </c>
      <c r="AP2" s="8">
        <v>2.11178970336914</v>
      </c>
      <c r="AQ2" s="8">
        <v>6.13210344314575</v>
      </c>
      <c r="AR2" s="8">
        <v>18.0</v>
      </c>
      <c r="AS2" s="8">
        <v>5.0</v>
      </c>
      <c r="AT2" s="8">
        <v>2.0</v>
      </c>
      <c r="AU2" s="8">
        <v>2.0</v>
      </c>
      <c r="AV2" s="8">
        <v>0.0957446808510638</v>
      </c>
      <c r="AW2" s="8">
        <v>0.026595744680851</v>
      </c>
      <c r="AX2" s="8">
        <v>0.0106382978723404</v>
      </c>
      <c r="AY2" s="8">
        <v>0.0106382978723404</v>
      </c>
      <c r="AZ2" s="8">
        <v>4.0</v>
      </c>
      <c r="BA2" s="8">
        <v>4.0</v>
      </c>
      <c r="BB2" s="8">
        <v>6.0</v>
      </c>
      <c r="BC2" s="8">
        <v>9.0</v>
      </c>
      <c r="BD2" s="8">
        <v>0.0212765957446808</v>
      </c>
      <c r="BE2" s="8">
        <v>0.0212765957446808</v>
      </c>
      <c r="BF2" s="8">
        <v>0.0319148936170212</v>
      </c>
      <c r="BG2" s="8">
        <v>0.0478723404255319</v>
      </c>
      <c r="BH2" s="8">
        <v>7.0</v>
      </c>
      <c r="BI2" s="8">
        <v>7.0</v>
      </c>
      <c r="BJ2" s="8">
        <v>7.0</v>
      </c>
      <c r="BK2" s="8">
        <v>7.0</v>
      </c>
      <c r="BL2" s="8">
        <v>7.0</v>
      </c>
      <c r="BM2" s="2" t="s">
        <v>141</v>
      </c>
      <c r="BN2" s="2" t="s">
        <v>142</v>
      </c>
      <c r="BO2" s="8">
        <v>97.0</v>
      </c>
      <c r="BP2" s="8">
        <v>478.0</v>
      </c>
      <c r="BQ2" s="8">
        <v>687.0</v>
      </c>
      <c r="BR2" s="8">
        <v>673.0</v>
      </c>
      <c r="BS2" s="8">
        <v>21.0</v>
      </c>
      <c r="BT2" s="8">
        <v>23.0</v>
      </c>
      <c r="BU2" s="10" t="b">
        <v>1</v>
      </c>
      <c r="BV2" s="10" t="b">
        <v>0</v>
      </c>
      <c r="BW2" s="10" t="b">
        <v>1</v>
      </c>
      <c r="BX2" s="2" t="s">
        <v>74</v>
      </c>
      <c r="BY2" s="8">
        <v>188.0</v>
      </c>
      <c r="BZ2" s="2"/>
      <c r="CA2" s="2"/>
    </row>
    <row r="3">
      <c r="A3" s="2" t="s">
        <v>147</v>
      </c>
      <c r="B3" s="2" t="s">
        <v>121</v>
      </c>
      <c r="C3" s="8">
        <v>0.0</v>
      </c>
      <c r="D3" s="2" t="s">
        <v>71</v>
      </c>
      <c r="E3" s="2" t="s">
        <v>122</v>
      </c>
      <c r="F3" s="10" t="b">
        <v>1</v>
      </c>
      <c r="G3" s="2"/>
      <c r="H3" s="2"/>
      <c r="I3" s="2"/>
      <c r="J3" s="2"/>
      <c r="K3" s="2" t="s">
        <v>149</v>
      </c>
      <c r="L3" s="2" t="s">
        <v>150</v>
      </c>
      <c r="M3" s="2"/>
      <c r="N3" s="2" t="s">
        <v>151</v>
      </c>
      <c r="O3" s="2" t="s">
        <v>152</v>
      </c>
      <c r="P3" s="10" t="b">
        <v>0</v>
      </c>
      <c r="Q3" s="2"/>
      <c r="R3" s="2"/>
      <c r="S3" s="8">
        <v>234.0</v>
      </c>
      <c r="T3" s="8">
        <v>31.0</v>
      </c>
      <c r="U3" s="8">
        <v>2.3344653347016</v>
      </c>
      <c r="V3" s="8">
        <v>13.2792719340004</v>
      </c>
      <c r="W3" s="8">
        <v>0.264284690175988</v>
      </c>
      <c r="X3" s="8">
        <v>1.64350366592407</v>
      </c>
      <c r="Y3" s="8">
        <v>6.32716289643318</v>
      </c>
      <c r="Z3" s="8">
        <v>0.375</v>
      </c>
      <c r="AA3" s="8">
        <v>0.264284690175988</v>
      </c>
      <c r="AB3" s="8">
        <v>0.427294349749972</v>
      </c>
      <c r="AC3" s="11">
        <v>2.00575759663479E-5</v>
      </c>
      <c r="AD3" s="8">
        <v>1.64350366592407</v>
      </c>
      <c r="AE3" s="8">
        <v>0.0262809973210096</v>
      </c>
      <c r="AF3" s="8">
        <v>0.381582647562027</v>
      </c>
      <c r="AG3" s="8">
        <v>0.781108438968658</v>
      </c>
      <c r="AH3" s="8">
        <v>1.15518426895141</v>
      </c>
      <c r="AI3" s="8">
        <v>1.53602225780487</v>
      </c>
      <c r="AJ3" s="8">
        <v>6.32716289643318</v>
      </c>
      <c r="AK3" s="8">
        <v>4.55575509354045</v>
      </c>
      <c r="AL3" s="8">
        <v>0.375</v>
      </c>
      <c r="AM3" s="8">
        <v>15.7109375</v>
      </c>
      <c r="AN3" s="8">
        <v>5.921875</v>
      </c>
      <c r="AO3" s="8">
        <v>0.475141525268554</v>
      </c>
      <c r="AP3" s="8">
        <v>0.875</v>
      </c>
      <c r="AQ3" s="8">
        <v>2.1171875</v>
      </c>
      <c r="AR3" s="8">
        <v>7.0</v>
      </c>
      <c r="AS3" s="8">
        <v>3.0</v>
      </c>
      <c r="AT3" s="8">
        <v>1.0</v>
      </c>
      <c r="AU3" s="8">
        <v>0.0</v>
      </c>
      <c r="AV3" s="8">
        <v>0.225806451612903</v>
      </c>
      <c r="AW3" s="8">
        <v>0.0967741935483871</v>
      </c>
      <c r="AX3" s="8">
        <v>0.032258064516129</v>
      </c>
      <c r="AY3" s="8">
        <v>0.0</v>
      </c>
      <c r="AZ3" s="8">
        <v>0.0</v>
      </c>
      <c r="BA3" s="8">
        <v>0.0</v>
      </c>
      <c r="BB3" s="8">
        <v>2.0</v>
      </c>
      <c r="BC3" s="8">
        <v>6.0</v>
      </c>
      <c r="BD3" s="8">
        <v>0.0</v>
      </c>
      <c r="BE3" s="8">
        <v>0.0</v>
      </c>
      <c r="BF3" s="8">
        <v>0.064516129032258</v>
      </c>
      <c r="BG3" s="8">
        <v>0.193548387096774</v>
      </c>
      <c r="BH3" s="8">
        <v>6.0</v>
      </c>
      <c r="BI3" s="8">
        <v>6.0</v>
      </c>
      <c r="BJ3" s="2"/>
      <c r="BK3" s="2"/>
      <c r="BL3" s="8">
        <v>0.0</v>
      </c>
      <c r="BM3" s="2" t="s">
        <v>158</v>
      </c>
      <c r="BN3" s="2" t="s">
        <v>159</v>
      </c>
      <c r="BO3" s="8">
        <v>92.0</v>
      </c>
      <c r="BP3" s="8">
        <v>622.0</v>
      </c>
      <c r="BQ3" s="8">
        <v>124.0</v>
      </c>
      <c r="BR3" s="8">
        <v>110.0</v>
      </c>
      <c r="BS3" s="8">
        <v>3.0</v>
      </c>
      <c r="BT3" s="8">
        <v>5.0</v>
      </c>
      <c r="BU3" s="10" t="b">
        <v>1</v>
      </c>
      <c r="BV3" s="10" t="b">
        <v>0</v>
      </c>
      <c r="BW3" s="10" t="b">
        <v>1</v>
      </c>
      <c r="BX3" s="2" t="s">
        <v>74</v>
      </c>
      <c r="BY3" s="8">
        <v>31.0</v>
      </c>
      <c r="BZ3" s="2"/>
      <c r="CA3" s="2"/>
    </row>
    <row r="4">
      <c r="A4" s="2" t="s">
        <v>162</v>
      </c>
      <c r="B4" s="2" t="s">
        <v>121</v>
      </c>
      <c r="C4" s="8">
        <v>0.0</v>
      </c>
      <c r="D4" s="2" t="s">
        <v>71</v>
      </c>
      <c r="E4" s="2" t="s">
        <v>122</v>
      </c>
      <c r="F4" s="10" t="b">
        <v>1</v>
      </c>
      <c r="G4" s="2"/>
      <c r="H4" s="2"/>
      <c r="I4" s="2"/>
      <c r="J4" s="2"/>
      <c r="K4" s="2" t="s">
        <v>165</v>
      </c>
      <c r="L4" s="2" t="s">
        <v>166</v>
      </c>
      <c r="M4" s="2"/>
      <c r="N4" s="2" t="s">
        <v>167</v>
      </c>
      <c r="O4" s="2" t="s">
        <v>168</v>
      </c>
      <c r="P4" s="10" t="b">
        <v>0</v>
      </c>
      <c r="Q4" s="2"/>
      <c r="R4" s="2"/>
      <c r="S4" s="8">
        <v>106.0</v>
      </c>
      <c r="T4" s="8">
        <v>118.0</v>
      </c>
      <c r="U4" s="8">
        <v>2.36148261340753</v>
      </c>
      <c r="V4" s="8">
        <v>49.9686084200002</v>
      </c>
      <c r="W4" s="8">
        <v>0.0963405225971439</v>
      </c>
      <c r="X4" s="8">
        <v>1.30084931850433</v>
      </c>
      <c r="Y4" s="8">
        <v>9.30451950784456</v>
      </c>
      <c r="Z4" s="8">
        <v>0.0</v>
      </c>
      <c r="AA4" s="8">
        <v>0.0963405225971439</v>
      </c>
      <c r="AB4" s="8">
        <v>0.230647555001888</v>
      </c>
      <c r="AC4" s="11">
        <v>1.80504775926237E-6</v>
      </c>
      <c r="AD4" s="8">
        <v>1.30084931850433</v>
      </c>
      <c r="AE4" s="8">
        <v>7.27455073501914E-4</v>
      </c>
      <c r="AF4" s="8">
        <v>0.0308254016563296</v>
      </c>
      <c r="AG4" s="8">
        <v>0.36814060807228</v>
      </c>
      <c r="AH4" s="8">
        <v>0.639424037933349</v>
      </c>
      <c r="AI4" s="8">
        <v>1.08087284684181</v>
      </c>
      <c r="AJ4" s="8">
        <v>9.30451950784456</v>
      </c>
      <c r="AK4" s="8">
        <v>4.45921434146761</v>
      </c>
      <c r="AL4" s="8">
        <v>0.0</v>
      </c>
      <c r="AM4" s="8">
        <v>17.3984375</v>
      </c>
      <c r="AN4" s="8">
        <v>10.5781259536743</v>
      </c>
      <c r="AO4" s="8">
        <v>1.04261407852172</v>
      </c>
      <c r="AP4" s="8">
        <v>2.25582485198974</v>
      </c>
      <c r="AQ4" s="8">
        <v>5.74254274368286</v>
      </c>
      <c r="AR4" s="8">
        <v>9.0</v>
      </c>
      <c r="AS4" s="8">
        <v>2.0</v>
      </c>
      <c r="AT4" s="8">
        <v>0.0</v>
      </c>
      <c r="AU4" s="8">
        <v>0.0</v>
      </c>
      <c r="AV4" s="8">
        <v>0.0762711864406779</v>
      </c>
      <c r="AW4" s="8">
        <v>0.0169491525423728</v>
      </c>
      <c r="AX4" s="8">
        <v>0.0</v>
      </c>
      <c r="AY4" s="8">
        <v>0.0</v>
      </c>
      <c r="AZ4" s="8">
        <v>1.0</v>
      </c>
      <c r="BA4" s="8">
        <v>1.0</v>
      </c>
      <c r="BB4" s="8">
        <v>2.0</v>
      </c>
      <c r="BC4" s="8">
        <v>6.0</v>
      </c>
      <c r="BD4" s="8">
        <v>0.00847457627118644</v>
      </c>
      <c r="BE4" s="8">
        <v>0.00847457627118644</v>
      </c>
      <c r="BF4" s="8">
        <v>0.0169491525423728</v>
      </c>
      <c r="BG4" s="8">
        <v>0.0508474576271186</v>
      </c>
      <c r="BH4" s="8">
        <v>7.0</v>
      </c>
      <c r="BI4" s="2"/>
      <c r="BJ4" s="2"/>
      <c r="BK4" s="8">
        <v>7.0</v>
      </c>
      <c r="BL4" s="8">
        <v>7.0</v>
      </c>
      <c r="BM4" s="2" t="s">
        <v>175</v>
      </c>
      <c r="BN4" s="2" t="s">
        <v>176</v>
      </c>
      <c r="BO4" s="8">
        <v>65.0</v>
      </c>
      <c r="BP4" s="8">
        <v>426.0</v>
      </c>
      <c r="BQ4" s="8">
        <v>353.0</v>
      </c>
      <c r="BR4" s="8">
        <v>339.0</v>
      </c>
      <c r="BS4" s="8">
        <v>11.0</v>
      </c>
      <c r="BT4" s="8">
        <v>13.0</v>
      </c>
      <c r="BU4" s="10" t="b">
        <v>1</v>
      </c>
      <c r="BV4" s="10" t="b">
        <v>0</v>
      </c>
      <c r="BW4" s="10" t="b">
        <v>1</v>
      </c>
      <c r="BX4" s="2" t="s">
        <v>74</v>
      </c>
      <c r="BY4" s="8">
        <v>118.0</v>
      </c>
      <c r="BZ4" s="2"/>
      <c r="CA4" s="2"/>
    </row>
    <row r="5">
      <c r="A5" s="2" t="s">
        <v>178</v>
      </c>
      <c r="B5" s="2" t="s">
        <v>121</v>
      </c>
      <c r="C5" s="8">
        <v>0.0</v>
      </c>
      <c r="D5" s="2" t="s">
        <v>71</v>
      </c>
      <c r="E5" s="2" t="s">
        <v>122</v>
      </c>
      <c r="F5" s="10" t="b">
        <v>1</v>
      </c>
      <c r="G5" s="2"/>
      <c r="H5" s="2"/>
      <c r="I5" s="2"/>
      <c r="J5" s="2"/>
      <c r="K5" s="2" t="s">
        <v>180</v>
      </c>
      <c r="L5" s="2" t="s">
        <v>182</v>
      </c>
      <c r="M5" s="2"/>
      <c r="N5" s="2" t="s">
        <v>184</v>
      </c>
      <c r="O5" s="2" t="s">
        <v>186</v>
      </c>
      <c r="P5" s="10" t="b">
        <v>0</v>
      </c>
      <c r="Q5" s="2"/>
      <c r="R5" s="2"/>
      <c r="S5" s="8">
        <v>114.0</v>
      </c>
      <c r="T5" s="8">
        <v>65.0</v>
      </c>
      <c r="U5" s="8">
        <v>2.36276966741683</v>
      </c>
      <c r="V5" s="8">
        <v>27.5100873760002</v>
      </c>
      <c r="W5" s="8">
        <v>0.225882783380438</v>
      </c>
      <c r="X5" s="8">
        <v>1.52981710433959</v>
      </c>
      <c r="Y5" s="8">
        <v>6.93386165912334</v>
      </c>
      <c r="Z5" s="8">
        <v>0.139205932617187</v>
      </c>
      <c r="AA5" s="8">
        <v>0.225882783380438</v>
      </c>
      <c r="AB5" s="8">
        <v>0.358385438922858</v>
      </c>
      <c r="AC5" s="11">
        <v>1.4916466170689E-5</v>
      </c>
      <c r="AD5" s="8">
        <v>1.52981710433959</v>
      </c>
      <c r="AE5" s="8">
        <v>0.00900843180716037</v>
      </c>
      <c r="AF5" s="8">
        <v>0.371465533971786</v>
      </c>
      <c r="AG5" s="8">
        <v>0.715548419952392</v>
      </c>
      <c r="AH5" s="8">
        <v>1.03358128070831</v>
      </c>
      <c r="AI5" s="8">
        <v>1.31089361190795</v>
      </c>
      <c r="AJ5" s="8">
        <v>6.93386165912334</v>
      </c>
      <c r="AK5" s="8">
        <v>4.54022059164442</v>
      </c>
      <c r="AL5" s="8">
        <v>0.139205932617187</v>
      </c>
      <c r="AM5" s="8">
        <v>14.890625</v>
      </c>
      <c r="AN5" s="8">
        <v>7.30681800842285</v>
      </c>
      <c r="AO5" s="8">
        <v>0.298294448852539</v>
      </c>
      <c r="AP5" s="8">
        <v>0.990057754516601</v>
      </c>
      <c r="AQ5" s="8">
        <v>2.39488792419433</v>
      </c>
      <c r="AR5" s="8">
        <v>14.0</v>
      </c>
      <c r="AS5" s="8">
        <v>4.0</v>
      </c>
      <c r="AT5" s="8">
        <v>1.0</v>
      </c>
      <c r="AU5" s="8">
        <v>0.0</v>
      </c>
      <c r="AV5" s="8">
        <v>0.215384615384615</v>
      </c>
      <c r="AW5" s="8">
        <v>0.0615384615384615</v>
      </c>
      <c r="AX5" s="8">
        <v>0.0153846153846153</v>
      </c>
      <c r="AY5" s="8">
        <v>0.0</v>
      </c>
      <c r="AZ5" s="8">
        <v>0.0</v>
      </c>
      <c r="BA5" s="8">
        <v>3.0</v>
      </c>
      <c r="BB5" s="8">
        <v>5.0</v>
      </c>
      <c r="BC5" s="8">
        <v>7.0</v>
      </c>
      <c r="BD5" s="8">
        <v>0.0</v>
      </c>
      <c r="BE5" s="8">
        <v>0.0461538461538461</v>
      </c>
      <c r="BF5" s="8">
        <v>0.0769230769230769</v>
      </c>
      <c r="BG5" s="8">
        <v>0.107692307692307</v>
      </c>
      <c r="BH5" s="8">
        <v>15.0</v>
      </c>
      <c r="BI5" s="8">
        <v>15.0</v>
      </c>
      <c r="BJ5" s="2"/>
      <c r="BK5" s="8">
        <v>15.0</v>
      </c>
      <c r="BL5" s="8">
        <v>15.0</v>
      </c>
      <c r="BM5" s="2" t="s">
        <v>191</v>
      </c>
      <c r="BN5" s="2" t="s">
        <v>193</v>
      </c>
      <c r="BO5" s="8">
        <v>144.0</v>
      </c>
      <c r="BP5" s="8">
        <v>574.0</v>
      </c>
      <c r="BQ5" s="8">
        <v>288.0</v>
      </c>
      <c r="BR5" s="8">
        <v>274.0</v>
      </c>
      <c r="BS5" s="8">
        <v>8.0</v>
      </c>
      <c r="BT5" s="8">
        <v>10.0</v>
      </c>
      <c r="BU5" s="10" t="b">
        <v>1</v>
      </c>
      <c r="BV5" s="10" t="b">
        <v>1</v>
      </c>
      <c r="BW5" s="10" t="b">
        <v>1</v>
      </c>
      <c r="BX5" s="2" t="s">
        <v>74</v>
      </c>
      <c r="BY5" s="8">
        <v>65.0</v>
      </c>
      <c r="BZ5" s="2"/>
      <c r="CA5" s="2"/>
    </row>
    <row r="6">
      <c r="A6" s="2" t="s">
        <v>197</v>
      </c>
      <c r="B6" s="2" t="s">
        <v>121</v>
      </c>
      <c r="C6" s="8">
        <v>0.0</v>
      </c>
      <c r="D6" s="2" t="s">
        <v>71</v>
      </c>
      <c r="E6" s="2" t="s">
        <v>122</v>
      </c>
      <c r="F6" s="10" t="b">
        <v>1</v>
      </c>
      <c r="G6" s="2"/>
      <c r="H6" s="2"/>
      <c r="I6" s="2"/>
      <c r="J6" s="2"/>
      <c r="K6" s="2" t="s">
        <v>200</v>
      </c>
      <c r="L6" s="2" t="s">
        <v>201</v>
      </c>
      <c r="M6" s="2"/>
      <c r="N6" s="2" t="s">
        <v>202</v>
      </c>
      <c r="O6" s="2" t="s">
        <v>203</v>
      </c>
      <c r="P6" s="10" t="b">
        <v>0</v>
      </c>
      <c r="Q6" s="2"/>
      <c r="R6" s="2"/>
      <c r="S6" s="8">
        <v>93.0</v>
      </c>
      <c r="T6" s="8">
        <v>61.0</v>
      </c>
      <c r="U6" s="8">
        <v>2.36254846883797</v>
      </c>
      <c r="V6" s="8">
        <v>25.8195761079996</v>
      </c>
      <c r="W6" s="8">
        <v>0.0557717669192347</v>
      </c>
      <c r="X6" s="8">
        <v>0.814543306827545</v>
      </c>
      <c r="Y6" s="8">
        <v>10.1891886914362</v>
      </c>
      <c r="Z6" s="8">
        <v>0.03125</v>
      </c>
      <c r="AA6" s="8">
        <v>0.0557717669192347</v>
      </c>
      <c r="AB6" s="8">
        <v>0.160800425130071</v>
      </c>
      <c r="AC6" s="11">
        <v>4.97363089380087E-6</v>
      </c>
      <c r="AD6" s="8">
        <v>0.814543306827545</v>
      </c>
      <c r="AE6" s="8">
        <v>3.80895187845453E-4</v>
      </c>
      <c r="AF6" s="8">
        <v>0.00440579559653997</v>
      </c>
      <c r="AG6" s="8">
        <v>0.107097558677196</v>
      </c>
      <c r="AH6" s="8">
        <v>0.477567881345748</v>
      </c>
      <c r="AI6" s="8">
        <v>0.690347552299499</v>
      </c>
      <c r="AJ6" s="8">
        <v>10.1891886914362</v>
      </c>
      <c r="AK6" s="8">
        <v>4.06355777794891</v>
      </c>
      <c r="AL6" s="8">
        <v>0.03125</v>
      </c>
      <c r="AM6" s="8">
        <v>16.171875</v>
      </c>
      <c r="AN6" s="8">
        <v>11.2528419494628</v>
      </c>
      <c r="AO6" s="8">
        <v>1.640625</v>
      </c>
      <c r="AP6" s="8">
        <v>4.34375</v>
      </c>
      <c r="AQ6" s="8">
        <v>7.93039894104003</v>
      </c>
      <c r="AR6" s="8">
        <v>3.0</v>
      </c>
      <c r="AS6" s="8">
        <v>0.0</v>
      </c>
      <c r="AT6" s="8">
        <v>0.0</v>
      </c>
      <c r="AU6" s="8">
        <v>0.0</v>
      </c>
      <c r="AV6" s="8">
        <v>0.0491803278688524</v>
      </c>
      <c r="AW6" s="8">
        <v>0.0</v>
      </c>
      <c r="AX6" s="8">
        <v>0.0</v>
      </c>
      <c r="AY6" s="8">
        <v>0.0</v>
      </c>
      <c r="AZ6" s="8">
        <v>1.0</v>
      </c>
      <c r="BA6" s="8">
        <v>1.0</v>
      </c>
      <c r="BB6" s="8">
        <v>1.0</v>
      </c>
      <c r="BC6" s="8">
        <v>2.0</v>
      </c>
      <c r="BD6" s="8">
        <v>0.0163934426229508</v>
      </c>
      <c r="BE6" s="8">
        <v>0.0163934426229508</v>
      </c>
      <c r="BF6" s="8">
        <v>0.0163934426229508</v>
      </c>
      <c r="BG6" s="8">
        <v>0.0327868852459016</v>
      </c>
      <c r="BH6" s="2"/>
      <c r="BI6" s="2"/>
      <c r="BJ6" s="2"/>
      <c r="BK6" s="8">
        <v>0.0</v>
      </c>
      <c r="BL6" s="8">
        <v>0.0</v>
      </c>
      <c r="BM6" s="2" t="s">
        <v>209</v>
      </c>
      <c r="BN6" s="2" t="s">
        <v>210</v>
      </c>
      <c r="BO6" s="8">
        <v>87.0</v>
      </c>
      <c r="BP6" s="8">
        <v>446.0</v>
      </c>
      <c r="BQ6" s="8">
        <v>189.0</v>
      </c>
      <c r="BR6" s="8">
        <v>175.0</v>
      </c>
      <c r="BS6" s="8">
        <v>7.0</v>
      </c>
      <c r="BT6" s="8">
        <v>9.0</v>
      </c>
      <c r="BU6" s="10" t="b">
        <v>1</v>
      </c>
      <c r="BV6" s="10" t="b">
        <v>0</v>
      </c>
      <c r="BW6" s="10" t="b">
        <v>1</v>
      </c>
      <c r="BX6" s="2" t="s">
        <v>74</v>
      </c>
      <c r="BY6" s="8">
        <v>61.0</v>
      </c>
      <c r="BZ6" s="2"/>
      <c r="CA6" s="2"/>
    </row>
    <row r="7">
      <c r="A7" s="2" t="s">
        <v>211</v>
      </c>
      <c r="B7" s="2" t="s">
        <v>121</v>
      </c>
      <c r="C7" s="8">
        <v>0.0</v>
      </c>
      <c r="D7" s="2" t="s">
        <v>71</v>
      </c>
      <c r="E7" s="2" t="s">
        <v>122</v>
      </c>
      <c r="F7" s="10" t="b">
        <v>1</v>
      </c>
      <c r="G7" s="2"/>
      <c r="H7" s="2"/>
      <c r="I7" s="2"/>
      <c r="J7" s="2"/>
      <c r="K7" s="2" t="s">
        <v>214</v>
      </c>
      <c r="L7" s="2" t="s">
        <v>215</v>
      </c>
      <c r="M7" s="2"/>
      <c r="N7" s="2" t="s">
        <v>217</v>
      </c>
      <c r="O7" s="2" t="s">
        <v>220</v>
      </c>
      <c r="P7" s="10" t="b">
        <v>0</v>
      </c>
      <c r="Q7" s="2"/>
      <c r="R7" s="2"/>
      <c r="S7" s="8">
        <v>122.0</v>
      </c>
      <c r="T7" s="8">
        <v>135.0</v>
      </c>
      <c r="U7" s="8">
        <v>2.35481237030202</v>
      </c>
      <c r="V7" s="8">
        <v>57.3294083650007</v>
      </c>
      <c r="W7" s="8">
        <v>0.140377826617737</v>
      </c>
      <c r="X7" s="8">
        <v>1.7996859550476</v>
      </c>
      <c r="Y7" s="8">
        <v>8.38208701522262</v>
      </c>
      <c r="Z7" s="8">
        <v>0.515625</v>
      </c>
      <c r="AA7" s="8">
        <v>0.140377826617737</v>
      </c>
      <c r="AB7" s="8">
        <v>0.319835761599491</v>
      </c>
      <c r="AC7" s="11">
        <v>9.84348844212945E-6</v>
      </c>
      <c r="AD7" s="8">
        <v>1.7996859550476</v>
      </c>
      <c r="AE7" s="8">
        <v>0.00143623899202793</v>
      </c>
      <c r="AF7" s="8">
        <v>0.0444295760244131</v>
      </c>
      <c r="AG7" s="8">
        <v>0.58203831911087</v>
      </c>
      <c r="AH7" s="8">
        <v>0.884360563755035</v>
      </c>
      <c r="AI7" s="8">
        <v>1.35410100221633</v>
      </c>
      <c r="AJ7" s="8">
        <v>8.38208701522262</v>
      </c>
      <c r="AK7" s="8">
        <v>4.13844735891713</v>
      </c>
      <c r="AL7" s="8">
        <v>0.515625</v>
      </c>
      <c r="AM7" s="8">
        <v>15.25</v>
      </c>
      <c r="AN7" s="8">
        <v>9.734375</v>
      </c>
      <c r="AO7" s="8">
        <v>0.966051292419433</v>
      </c>
      <c r="AP7" s="8">
        <v>1.559375</v>
      </c>
      <c r="AQ7" s="8">
        <v>5.39630699157714</v>
      </c>
      <c r="AR7" s="8">
        <v>16.0</v>
      </c>
      <c r="AS7" s="8">
        <v>5.0</v>
      </c>
      <c r="AT7" s="8">
        <v>1.0</v>
      </c>
      <c r="AU7" s="8">
        <v>0.0</v>
      </c>
      <c r="AV7" s="8">
        <v>0.118518518518518</v>
      </c>
      <c r="AW7" s="8">
        <v>0.037037037037037</v>
      </c>
      <c r="AX7" s="8">
        <v>0.0074074074074074</v>
      </c>
      <c r="AY7" s="8">
        <v>0.0</v>
      </c>
      <c r="AZ7" s="8">
        <v>0.0</v>
      </c>
      <c r="BA7" s="8">
        <v>0.0</v>
      </c>
      <c r="BB7" s="8">
        <v>0.0</v>
      </c>
      <c r="BC7" s="8">
        <v>8.0</v>
      </c>
      <c r="BD7" s="8">
        <v>0.0</v>
      </c>
      <c r="BE7" s="8">
        <v>0.0</v>
      </c>
      <c r="BF7" s="8">
        <v>0.0</v>
      </c>
      <c r="BG7" s="8">
        <v>0.0592592592592592</v>
      </c>
      <c r="BH7" s="8">
        <v>7.0</v>
      </c>
      <c r="BI7" s="8">
        <v>28.0</v>
      </c>
      <c r="BJ7" s="2"/>
      <c r="BK7" s="2"/>
      <c r="BL7" s="2"/>
      <c r="BM7" s="2" t="s">
        <v>227</v>
      </c>
      <c r="BN7" s="2" t="s">
        <v>228</v>
      </c>
      <c r="BO7" s="8">
        <v>99.0</v>
      </c>
      <c r="BP7" s="8">
        <v>552.0</v>
      </c>
      <c r="BQ7" s="8">
        <v>516.0</v>
      </c>
      <c r="BR7" s="8">
        <v>502.0</v>
      </c>
      <c r="BS7" s="8">
        <v>13.0</v>
      </c>
      <c r="BT7" s="8">
        <v>15.0</v>
      </c>
      <c r="BU7" s="10" t="b">
        <v>1</v>
      </c>
      <c r="BV7" s="10" t="b">
        <v>0</v>
      </c>
      <c r="BW7" s="10" t="b">
        <v>1</v>
      </c>
      <c r="BX7" s="2" t="s">
        <v>74</v>
      </c>
      <c r="BY7" s="8">
        <v>135.0</v>
      </c>
      <c r="BZ7" s="2"/>
      <c r="CA7" s="2"/>
    </row>
    <row r="8">
      <c r="A8" s="2" t="s">
        <v>230</v>
      </c>
      <c r="B8" s="2" t="s">
        <v>121</v>
      </c>
      <c r="C8" s="8">
        <v>0.0</v>
      </c>
      <c r="D8" s="2" t="s">
        <v>71</v>
      </c>
      <c r="E8" s="2" t="s">
        <v>122</v>
      </c>
      <c r="F8" s="10" t="b">
        <v>1</v>
      </c>
      <c r="G8" s="2"/>
      <c r="H8" s="2"/>
      <c r="I8" s="2"/>
      <c r="J8" s="2"/>
      <c r="K8" s="2" t="s">
        <v>234</v>
      </c>
      <c r="L8" s="2" t="s">
        <v>236</v>
      </c>
      <c r="M8" s="2"/>
      <c r="N8" s="2" t="s">
        <v>237</v>
      </c>
      <c r="O8" s="2" t="s">
        <v>238</v>
      </c>
      <c r="P8" s="10" t="b">
        <v>0</v>
      </c>
      <c r="Q8" s="2"/>
      <c r="R8" s="2"/>
      <c r="S8" s="8">
        <v>120.0</v>
      </c>
      <c r="T8" s="8">
        <v>35.0</v>
      </c>
      <c r="U8" s="8">
        <v>2.35401238472166</v>
      </c>
      <c r="V8" s="8">
        <v>14.8682310369995</v>
      </c>
      <c r="W8" s="8">
        <v>0.22442060225138</v>
      </c>
      <c r="X8" s="8">
        <v>1.21659684181213</v>
      </c>
      <c r="Y8" s="8">
        <v>6.12635977608817</v>
      </c>
      <c r="Z8" s="8">
        <v>0.132102966308593</v>
      </c>
      <c r="AA8" s="8">
        <v>0.22442060225138</v>
      </c>
      <c r="AB8" s="8">
        <v>0.35045863797604</v>
      </c>
      <c r="AC8" s="11">
        <v>3.27229536196682E-5</v>
      </c>
      <c r="AD8" s="8">
        <v>1.21659684181213</v>
      </c>
      <c r="AE8" s="8">
        <v>0.0240571573376655</v>
      </c>
      <c r="AF8" s="8">
        <v>0.288386926054954</v>
      </c>
      <c r="AG8" s="8">
        <v>0.699588978290558</v>
      </c>
      <c r="AH8" s="8">
        <v>0.995793437957763</v>
      </c>
      <c r="AI8" s="8">
        <v>1.189816365242</v>
      </c>
      <c r="AJ8" s="8">
        <v>6.12635977608817</v>
      </c>
      <c r="AK8" s="8">
        <v>4.11711722577801</v>
      </c>
      <c r="AL8" s="8">
        <v>0.132102966308593</v>
      </c>
      <c r="AM8" s="8">
        <v>15.5078125</v>
      </c>
      <c r="AN8" s="8">
        <v>5.96875</v>
      </c>
      <c r="AO8" s="8">
        <v>0.6453125</v>
      </c>
      <c r="AP8" s="8">
        <v>0.871307754516601</v>
      </c>
      <c r="AQ8" s="8">
        <v>2.44105148315429</v>
      </c>
      <c r="AR8" s="8">
        <v>8.0</v>
      </c>
      <c r="AS8" s="8">
        <v>2.0</v>
      </c>
      <c r="AT8" s="8">
        <v>0.0</v>
      </c>
      <c r="AU8" s="8">
        <v>0.0</v>
      </c>
      <c r="AV8" s="8">
        <v>0.228571428571428</v>
      </c>
      <c r="AW8" s="8">
        <v>0.0571428571428571</v>
      </c>
      <c r="AX8" s="8">
        <v>0.0</v>
      </c>
      <c r="AY8" s="8">
        <v>0.0</v>
      </c>
      <c r="AZ8" s="8">
        <v>0.0</v>
      </c>
      <c r="BA8" s="8">
        <v>1.0</v>
      </c>
      <c r="BB8" s="8">
        <v>2.0</v>
      </c>
      <c r="BC8" s="8">
        <v>5.0</v>
      </c>
      <c r="BD8" s="8">
        <v>0.0</v>
      </c>
      <c r="BE8" s="8">
        <v>0.0285714285714285</v>
      </c>
      <c r="BF8" s="8">
        <v>0.0571428571428571</v>
      </c>
      <c r="BG8" s="8">
        <v>0.142857142857142</v>
      </c>
      <c r="BH8" s="8">
        <v>9.0</v>
      </c>
      <c r="BI8" s="2"/>
      <c r="BJ8" s="2"/>
      <c r="BK8" s="8">
        <v>26.0</v>
      </c>
      <c r="BL8" s="8">
        <v>9.0</v>
      </c>
      <c r="BM8" s="2" t="s">
        <v>244</v>
      </c>
      <c r="BN8" s="2" t="s">
        <v>245</v>
      </c>
      <c r="BO8" s="8">
        <v>90.0</v>
      </c>
      <c r="BP8" s="8">
        <v>492.0</v>
      </c>
      <c r="BQ8" s="8">
        <v>151.0</v>
      </c>
      <c r="BR8" s="8">
        <v>137.0</v>
      </c>
      <c r="BS8" s="8">
        <v>3.0</v>
      </c>
      <c r="BT8" s="8">
        <v>5.0</v>
      </c>
      <c r="BU8" s="10" t="b">
        <v>1</v>
      </c>
      <c r="BV8" s="10" t="b">
        <v>0</v>
      </c>
      <c r="BW8" s="10" t="b">
        <v>1</v>
      </c>
      <c r="BX8" s="2" t="s">
        <v>74</v>
      </c>
      <c r="BY8" s="8">
        <v>35.0</v>
      </c>
      <c r="BZ8" s="2"/>
      <c r="CA8" s="2"/>
    </row>
    <row r="9">
      <c r="A9" s="2" t="s">
        <v>246</v>
      </c>
      <c r="B9" s="2" t="s">
        <v>121</v>
      </c>
      <c r="C9" s="8">
        <v>0.0</v>
      </c>
      <c r="D9" s="2" t="s">
        <v>71</v>
      </c>
      <c r="E9" s="2" t="s">
        <v>122</v>
      </c>
      <c r="F9" s="10" t="b">
        <v>0</v>
      </c>
      <c r="G9" s="2" t="s">
        <v>198</v>
      </c>
      <c r="H9" s="2" t="s">
        <v>247</v>
      </c>
      <c r="I9" s="2" t="s">
        <v>249</v>
      </c>
      <c r="J9" s="2"/>
      <c r="K9" s="2" t="s">
        <v>250</v>
      </c>
      <c r="L9" s="2" t="s">
        <v>252</v>
      </c>
      <c r="M9" s="2"/>
      <c r="N9" s="2" t="s">
        <v>254</v>
      </c>
      <c r="O9" s="2" t="s">
        <v>257</v>
      </c>
      <c r="P9" s="10" t="b">
        <v>0</v>
      </c>
      <c r="Q9" s="2"/>
      <c r="R9" s="2"/>
      <c r="S9" s="8">
        <v>99.0</v>
      </c>
      <c r="T9" s="8">
        <v>139.0</v>
      </c>
      <c r="U9" s="8">
        <v>2.36144699590391</v>
      </c>
      <c r="V9" s="8">
        <v>58.8622146679999</v>
      </c>
      <c r="W9" s="8">
        <v>0.194283933048975</v>
      </c>
      <c r="X9" s="8">
        <v>2.3966474533081</v>
      </c>
      <c r="Y9" s="8">
        <v>7.33605026684219</v>
      </c>
      <c r="Z9" s="8">
        <v>0.00284194946289062</v>
      </c>
      <c r="AA9" s="8">
        <v>0.194283933048975</v>
      </c>
      <c r="AB9" s="8">
        <v>0.384201294695587</v>
      </c>
      <c r="AC9" s="11">
        <v>1.42741455420036E-5</v>
      </c>
      <c r="AD9" s="8">
        <v>2.3966474533081</v>
      </c>
      <c r="AE9" s="8">
        <v>0.00555524602532386</v>
      </c>
      <c r="AF9" s="8">
        <v>0.183226913213729</v>
      </c>
      <c r="AG9" s="8">
        <v>0.680026149749755</v>
      </c>
      <c r="AH9" s="8">
        <v>1.07196272611618</v>
      </c>
      <c r="AI9" s="8">
        <v>1.46862051963806</v>
      </c>
      <c r="AJ9" s="8">
        <v>7.33605026684219</v>
      </c>
      <c r="AK9" s="8">
        <v>4.30844585089036</v>
      </c>
      <c r="AL9" s="8">
        <v>0.00284194946289062</v>
      </c>
      <c r="AM9" s="8">
        <v>15.1704549789428</v>
      </c>
      <c r="AN9" s="8">
        <v>7.86931800842285</v>
      </c>
      <c r="AO9" s="8">
        <v>0.436504936218261</v>
      </c>
      <c r="AP9" s="8">
        <v>0.99886360168457</v>
      </c>
      <c r="AQ9" s="8">
        <v>3.31960296630859</v>
      </c>
      <c r="AR9" s="8">
        <v>21.0</v>
      </c>
      <c r="AS9" s="8">
        <v>8.0</v>
      </c>
      <c r="AT9" s="8">
        <v>1.0</v>
      </c>
      <c r="AU9" s="8">
        <v>1.0</v>
      </c>
      <c r="AV9" s="8">
        <v>0.151079136690647</v>
      </c>
      <c r="AW9" s="8">
        <v>0.0575539568345323</v>
      </c>
      <c r="AX9" s="8">
        <v>0.00719424460431654</v>
      </c>
      <c r="AY9" s="8">
        <v>0.00719424460431654</v>
      </c>
      <c r="AZ9" s="8">
        <v>3.0</v>
      </c>
      <c r="BA9" s="8">
        <v>4.0</v>
      </c>
      <c r="BB9" s="8">
        <v>9.0</v>
      </c>
      <c r="BC9" s="8">
        <v>14.0</v>
      </c>
      <c r="BD9" s="8">
        <v>0.0215827338129496</v>
      </c>
      <c r="BE9" s="8">
        <v>0.0287769784172661</v>
      </c>
      <c r="BF9" s="8">
        <v>0.0647482014388489</v>
      </c>
      <c r="BG9" s="8">
        <v>0.100719424460431</v>
      </c>
      <c r="BH9" s="8">
        <v>11.0</v>
      </c>
      <c r="BI9" s="8">
        <v>22.0</v>
      </c>
      <c r="BJ9" s="8">
        <v>22.0</v>
      </c>
      <c r="BK9" s="8">
        <v>13.0</v>
      </c>
      <c r="BL9" s="8">
        <v>11.0</v>
      </c>
      <c r="BM9" s="2" t="s">
        <v>261</v>
      </c>
      <c r="BN9" s="2" t="s">
        <v>263</v>
      </c>
      <c r="BO9" s="8">
        <v>65.0</v>
      </c>
      <c r="BP9" s="8">
        <v>425.0</v>
      </c>
      <c r="BQ9" s="8">
        <v>318.0</v>
      </c>
      <c r="BR9" s="8">
        <v>304.0</v>
      </c>
      <c r="BS9" s="8">
        <v>13.0</v>
      </c>
      <c r="BT9" s="8">
        <v>15.0</v>
      </c>
      <c r="BU9" s="10" t="b">
        <v>1</v>
      </c>
      <c r="BV9" s="10" t="b">
        <v>0</v>
      </c>
      <c r="BW9" s="10" t="b">
        <v>1</v>
      </c>
      <c r="BX9" s="2" t="s">
        <v>265</v>
      </c>
      <c r="BY9" s="8">
        <v>139.0</v>
      </c>
      <c r="BZ9" s="2"/>
      <c r="CA9" s="2"/>
    </row>
    <row r="10">
      <c r="A10" s="2" t="s">
        <v>266</v>
      </c>
      <c r="B10" s="2" t="s">
        <v>121</v>
      </c>
      <c r="C10" s="8">
        <v>0.0</v>
      </c>
      <c r="D10" s="2" t="s">
        <v>71</v>
      </c>
      <c r="E10" s="2" t="s">
        <v>122</v>
      </c>
      <c r="F10" s="10" t="b">
        <v>1</v>
      </c>
      <c r="G10" s="2"/>
      <c r="H10" s="2"/>
      <c r="I10" s="2"/>
      <c r="J10" s="2"/>
      <c r="K10" s="2" t="s">
        <v>267</v>
      </c>
      <c r="L10" s="2" t="s">
        <v>268</v>
      </c>
      <c r="M10" s="2"/>
      <c r="N10" s="2" t="s">
        <v>269</v>
      </c>
      <c r="O10" s="2" t="s">
        <v>270</v>
      </c>
      <c r="P10" s="10" t="b">
        <v>0</v>
      </c>
      <c r="Q10" s="2"/>
      <c r="R10" s="2"/>
      <c r="S10" s="8">
        <v>90.0</v>
      </c>
      <c r="T10" s="8">
        <v>119.0</v>
      </c>
      <c r="U10" s="8">
        <v>2.35551038751648</v>
      </c>
      <c r="V10" s="8">
        <v>50.5198366479999</v>
      </c>
      <c r="W10" s="8">
        <v>0.170847296256252</v>
      </c>
      <c r="X10" s="8">
        <v>2.59805059432983</v>
      </c>
      <c r="Y10" s="8">
        <v>8.44136187609504</v>
      </c>
      <c r="Z10" s="8">
        <v>0.0525569915771484</v>
      </c>
      <c r="AA10" s="8">
        <v>0.170847296256252</v>
      </c>
      <c r="AB10" s="8">
        <v>0.399429079090828</v>
      </c>
      <c r="AC10" s="11">
        <v>3.94694808392159E-7</v>
      </c>
      <c r="AD10" s="8">
        <v>2.59805059432983</v>
      </c>
      <c r="AE10" s="8">
        <v>0.00150845642201602</v>
      </c>
      <c r="AF10" s="8">
        <v>0.0637768022716045</v>
      </c>
      <c r="AG10" s="8">
        <v>0.700994026660919</v>
      </c>
      <c r="AH10" s="8">
        <v>0.971838009357451</v>
      </c>
      <c r="AI10" s="8">
        <v>1.67947966098785</v>
      </c>
      <c r="AJ10" s="8">
        <v>8.44136187609504</v>
      </c>
      <c r="AK10" s="8">
        <v>4.69464387131901</v>
      </c>
      <c r="AL10" s="8">
        <v>0.0525569915771484</v>
      </c>
      <c r="AM10" s="8">
        <v>18.6477279663085</v>
      </c>
      <c r="AN10" s="8">
        <v>9.19460105895996</v>
      </c>
      <c r="AO10" s="8">
        <v>0.560511207580566</v>
      </c>
      <c r="AP10" s="8">
        <v>1.24147720336914</v>
      </c>
      <c r="AQ10" s="8">
        <v>5.02982902526855</v>
      </c>
      <c r="AR10" s="8">
        <v>16.0</v>
      </c>
      <c r="AS10" s="8">
        <v>6.0</v>
      </c>
      <c r="AT10" s="8">
        <v>2.0</v>
      </c>
      <c r="AU10" s="8">
        <v>1.0</v>
      </c>
      <c r="AV10" s="8">
        <v>0.134453781512605</v>
      </c>
      <c r="AW10" s="8">
        <v>0.0504201680672268</v>
      </c>
      <c r="AX10" s="8">
        <v>0.0168067226890756</v>
      </c>
      <c r="AY10" s="8">
        <v>0.00840336134453781</v>
      </c>
      <c r="AZ10" s="8">
        <v>3.0</v>
      </c>
      <c r="BA10" s="8">
        <v>4.0</v>
      </c>
      <c r="BB10" s="8">
        <v>5.0</v>
      </c>
      <c r="BC10" s="8">
        <v>12.0</v>
      </c>
      <c r="BD10" s="8">
        <v>0.0252100840336134</v>
      </c>
      <c r="BE10" s="8">
        <v>0.0336134453781512</v>
      </c>
      <c r="BF10" s="8">
        <v>0.042016806722689</v>
      </c>
      <c r="BG10" s="8">
        <v>0.100840336134453</v>
      </c>
      <c r="BH10" s="8">
        <v>8.0</v>
      </c>
      <c r="BI10" s="8">
        <v>8.0</v>
      </c>
      <c r="BJ10" s="8">
        <v>8.0</v>
      </c>
      <c r="BK10" s="8">
        <v>11.0</v>
      </c>
      <c r="BL10" s="8">
        <v>6.0</v>
      </c>
      <c r="BM10" s="2" t="s">
        <v>275</v>
      </c>
      <c r="BN10" s="2" t="s">
        <v>276</v>
      </c>
      <c r="BO10" s="8">
        <v>86.0</v>
      </c>
      <c r="BP10" s="8">
        <v>428.0</v>
      </c>
      <c r="BQ10" s="8">
        <v>364.0</v>
      </c>
      <c r="BR10" s="8">
        <v>350.0</v>
      </c>
      <c r="BS10" s="8">
        <v>15.0</v>
      </c>
      <c r="BT10" s="8">
        <v>17.0</v>
      </c>
      <c r="BU10" s="10" t="b">
        <v>1</v>
      </c>
      <c r="BV10" s="10" t="b">
        <v>0</v>
      </c>
      <c r="BW10" s="10" t="b">
        <v>1</v>
      </c>
      <c r="BX10" s="2" t="s">
        <v>74</v>
      </c>
      <c r="BY10" s="8">
        <v>119.0</v>
      </c>
      <c r="BZ10" s="2"/>
      <c r="CA10" s="2"/>
    </row>
    <row r="11">
      <c r="A11" s="2" t="s">
        <v>277</v>
      </c>
      <c r="B11" s="2" t="s">
        <v>121</v>
      </c>
      <c r="C11" s="8">
        <v>0.0</v>
      </c>
      <c r="D11" s="2" t="s">
        <v>71</v>
      </c>
      <c r="E11" s="2" t="s">
        <v>122</v>
      </c>
      <c r="F11" s="10" t="b">
        <v>1</v>
      </c>
      <c r="G11" s="2"/>
      <c r="H11" s="2"/>
      <c r="I11" s="2"/>
      <c r="J11" s="2"/>
      <c r="K11" s="2" t="s">
        <v>278</v>
      </c>
      <c r="L11" s="2" t="s">
        <v>280</v>
      </c>
      <c r="M11" s="2"/>
      <c r="N11" s="2" t="s">
        <v>281</v>
      </c>
      <c r="O11" s="2" t="s">
        <v>282</v>
      </c>
      <c r="P11" s="10" t="b">
        <v>0</v>
      </c>
      <c r="Q11" s="2"/>
      <c r="R11" s="2"/>
      <c r="S11" s="8">
        <v>122.0</v>
      </c>
      <c r="T11" s="8">
        <v>43.0</v>
      </c>
      <c r="U11" s="8">
        <v>2.34883437830521</v>
      </c>
      <c r="V11" s="8">
        <v>18.306952758</v>
      </c>
      <c r="W11" s="8">
        <v>0.209805181161141</v>
      </c>
      <c r="X11" s="8">
        <v>1.4868015050888</v>
      </c>
      <c r="Y11" s="8">
        <v>6.42866363081821</v>
      </c>
      <c r="Z11" s="8">
        <v>0.159090042114257</v>
      </c>
      <c r="AA11" s="8">
        <v>0.209805181161141</v>
      </c>
      <c r="AB11" s="8">
        <v>0.316254932662847</v>
      </c>
      <c r="AC11" s="11">
        <v>5.01446629641577E-6</v>
      </c>
      <c r="AD11" s="8">
        <v>1.4868015050888</v>
      </c>
      <c r="AE11" s="8">
        <v>0.0133132226765155</v>
      </c>
      <c r="AF11" s="8">
        <v>0.35854572057724</v>
      </c>
      <c r="AG11" s="8">
        <v>0.611723470687866</v>
      </c>
      <c r="AH11" s="8">
        <v>0.707320642471313</v>
      </c>
      <c r="AI11" s="8">
        <v>1.21474006295204</v>
      </c>
      <c r="AJ11" s="8">
        <v>6.42866363081821</v>
      </c>
      <c r="AK11" s="8">
        <v>4.28652737980939</v>
      </c>
      <c r="AL11" s="8">
        <v>0.159090042114257</v>
      </c>
      <c r="AM11" s="8">
        <v>15.9801139831542</v>
      </c>
      <c r="AN11" s="8">
        <v>7.17329597473144</v>
      </c>
      <c r="AO11" s="8">
        <v>0.61875</v>
      </c>
      <c r="AP11" s="8">
        <v>1.25</v>
      </c>
      <c r="AQ11" s="8">
        <v>2.70525550842285</v>
      </c>
      <c r="AR11" s="8">
        <v>7.0</v>
      </c>
      <c r="AS11" s="8">
        <v>1.0</v>
      </c>
      <c r="AT11" s="8">
        <v>0.0</v>
      </c>
      <c r="AU11" s="8">
        <v>0.0</v>
      </c>
      <c r="AV11" s="8">
        <v>0.162790697674418</v>
      </c>
      <c r="AW11" s="8">
        <v>0.0232558139534883</v>
      </c>
      <c r="AX11" s="8">
        <v>0.0</v>
      </c>
      <c r="AY11" s="8">
        <v>0.0</v>
      </c>
      <c r="AZ11" s="8">
        <v>0.0</v>
      </c>
      <c r="BA11" s="8">
        <v>2.0</v>
      </c>
      <c r="BB11" s="8">
        <v>2.0</v>
      </c>
      <c r="BC11" s="8">
        <v>4.0</v>
      </c>
      <c r="BD11" s="8">
        <v>0.0</v>
      </c>
      <c r="BE11" s="8">
        <v>0.0465116279069767</v>
      </c>
      <c r="BF11" s="8">
        <v>0.0465116279069767</v>
      </c>
      <c r="BG11" s="8">
        <v>0.0930232558139534</v>
      </c>
      <c r="BH11" s="8">
        <v>7.0</v>
      </c>
      <c r="BI11" s="2"/>
      <c r="BJ11" s="2"/>
      <c r="BK11" s="8">
        <v>17.0</v>
      </c>
      <c r="BL11" s="8">
        <v>17.0</v>
      </c>
      <c r="BM11" s="2" t="s">
        <v>286</v>
      </c>
      <c r="BN11" s="2" t="s">
        <v>287</v>
      </c>
      <c r="BO11" s="8">
        <v>100.0</v>
      </c>
      <c r="BP11" s="8">
        <v>479.0</v>
      </c>
      <c r="BQ11" s="8">
        <v>186.0</v>
      </c>
      <c r="BR11" s="8">
        <v>172.0</v>
      </c>
      <c r="BS11" s="8">
        <v>3.0</v>
      </c>
      <c r="BT11" s="8">
        <v>5.0</v>
      </c>
      <c r="BU11" s="10" t="b">
        <v>1</v>
      </c>
      <c r="BV11" s="10" t="b">
        <v>0</v>
      </c>
      <c r="BW11" s="10" t="b">
        <v>1</v>
      </c>
      <c r="BX11" s="2" t="s">
        <v>74</v>
      </c>
      <c r="BY11" s="8">
        <v>43.0</v>
      </c>
      <c r="BZ11" s="2"/>
      <c r="CA11" s="2"/>
    </row>
    <row r="12">
      <c r="A12" s="2" t="s">
        <v>288</v>
      </c>
      <c r="B12" s="2" t="s">
        <v>121</v>
      </c>
      <c r="C12" s="8">
        <v>0.0</v>
      </c>
      <c r="D12" s="2" t="s">
        <v>71</v>
      </c>
      <c r="E12" s="2" t="s">
        <v>122</v>
      </c>
      <c r="F12" s="10" t="b">
        <v>1</v>
      </c>
      <c r="G12" s="2"/>
      <c r="H12" s="2"/>
      <c r="I12" s="2"/>
      <c r="J12" s="2"/>
      <c r="K12" s="2" t="s">
        <v>290</v>
      </c>
      <c r="L12" s="2" t="s">
        <v>292</v>
      </c>
      <c r="M12" s="2"/>
      <c r="N12" s="2" t="s">
        <v>294</v>
      </c>
      <c r="O12" s="2" t="s">
        <v>295</v>
      </c>
      <c r="P12" s="10" t="b">
        <v>0</v>
      </c>
      <c r="Q12" s="2"/>
      <c r="R12" s="2"/>
      <c r="S12" s="8">
        <v>103.0</v>
      </c>
      <c r="T12" s="8">
        <v>26.0</v>
      </c>
      <c r="U12" s="8">
        <v>2.34998960229017</v>
      </c>
      <c r="V12" s="8">
        <v>11.0638787400002</v>
      </c>
      <c r="W12" s="8">
        <v>0.116803088226963</v>
      </c>
      <c r="X12" s="8">
        <v>0.791704833507537</v>
      </c>
      <c r="Y12" s="8">
        <v>7.34142846327561</v>
      </c>
      <c r="Z12" s="8">
        <v>0.734375</v>
      </c>
      <c r="AA12" s="8">
        <v>0.116803088226963</v>
      </c>
      <c r="AB12" s="8">
        <v>0.214355503657266</v>
      </c>
      <c r="AC12" s="11">
        <v>1.5264256944647E-5</v>
      </c>
      <c r="AD12" s="8">
        <v>0.791704833507537</v>
      </c>
      <c r="AE12" s="8">
        <v>0.00684807868674397</v>
      </c>
      <c r="AF12" s="8">
        <v>0.116296738386154</v>
      </c>
      <c r="AG12" s="8">
        <v>0.38088372349739</v>
      </c>
      <c r="AH12" s="8">
        <v>0.609405204653739</v>
      </c>
      <c r="AI12" s="8">
        <v>0.759941905736923</v>
      </c>
      <c r="AJ12" s="8">
        <v>7.34142846327561</v>
      </c>
      <c r="AK12" s="8">
        <v>3.91345862358159</v>
      </c>
      <c r="AL12" s="8">
        <v>0.734375</v>
      </c>
      <c r="AM12" s="8">
        <v>15.75</v>
      </c>
      <c r="AN12" s="8">
        <v>7.80255699157714</v>
      </c>
      <c r="AO12" s="8">
        <v>1.36328125</v>
      </c>
      <c r="AP12" s="8">
        <v>2.40625</v>
      </c>
      <c r="AQ12" s="8">
        <v>3.97869396209716</v>
      </c>
      <c r="AR12" s="8">
        <v>2.0</v>
      </c>
      <c r="AS12" s="8">
        <v>0.0</v>
      </c>
      <c r="AT12" s="8">
        <v>0.0</v>
      </c>
      <c r="AU12" s="8">
        <v>0.0</v>
      </c>
      <c r="AV12" s="8">
        <v>0.0769230769230769</v>
      </c>
      <c r="AW12" s="8">
        <v>0.0</v>
      </c>
      <c r="AX12" s="8">
        <v>0.0</v>
      </c>
      <c r="AY12" s="8">
        <v>0.0</v>
      </c>
      <c r="AZ12" s="8">
        <v>0.0</v>
      </c>
      <c r="BA12" s="8">
        <v>0.0</v>
      </c>
      <c r="BB12" s="8">
        <v>0.0</v>
      </c>
      <c r="BC12" s="8">
        <v>1.0</v>
      </c>
      <c r="BD12" s="8">
        <v>0.0</v>
      </c>
      <c r="BE12" s="8">
        <v>0.0</v>
      </c>
      <c r="BF12" s="8">
        <v>0.0</v>
      </c>
      <c r="BG12" s="8">
        <v>0.0384615384615384</v>
      </c>
      <c r="BH12" s="2"/>
      <c r="BI12" s="2"/>
      <c r="BJ12" s="2"/>
      <c r="BK12" s="2"/>
      <c r="BL12" s="2"/>
      <c r="BM12" s="2" t="s">
        <v>297</v>
      </c>
      <c r="BN12" s="2" t="s">
        <v>298</v>
      </c>
      <c r="BO12" s="8">
        <v>90.0</v>
      </c>
      <c r="BP12" s="8">
        <v>467.0</v>
      </c>
      <c r="BQ12" s="8">
        <v>63.0</v>
      </c>
      <c r="BR12" s="8">
        <v>49.0</v>
      </c>
      <c r="BS12" s="8">
        <v>2.0</v>
      </c>
      <c r="BT12" s="8">
        <v>4.0</v>
      </c>
      <c r="BU12" s="10" t="b">
        <v>1</v>
      </c>
      <c r="BV12" s="10" t="b">
        <v>0</v>
      </c>
      <c r="BW12" s="10" t="b">
        <v>1</v>
      </c>
      <c r="BX12" s="2" t="s">
        <v>74</v>
      </c>
      <c r="BY12" s="8">
        <v>26.0</v>
      </c>
      <c r="BZ12" s="2"/>
      <c r="CA12" s="2"/>
    </row>
    <row r="13">
      <c r="A13" s="2" t="s">
        <v>300</v>
      </c>
      <c r="B13" s="2" t="s">
        <v>121</v>
      </c>
      <c r="C13" s="8">
        <v>0.0</v>
      </c>
      <c r="D13" s="2" t="s">
        <v>71</v>
      </c>
      <c r="E13" s="2" t="s">
        <v>122</v>
      </c>
      <c r="F13" s="10" t="b">
        <v>1</v>
      </c>
      <c r="G13" s="2"/>
      <c r="H13" s="2"/>
      <c r="I13" s="2"/>
      <c r="J13" s="2"/>
      <c r="K13" s="2" t="s">
        <v>302</v>
      </c>
      <c r="L13" s="2" t="s">
        <v>304</v>
      </c>
      <c r="M13" s="2"/>
      <c r="N13" s="2" t="s">
        <v>306</v>
      </c>
      <c r="O13" s="2" t="s">
        <v>307</v>
      </c>
      <c r="P13" s="10" t="b">
        <v>0</v>
      </c>
      <c r="Q13" s="2"/>
      <c r="R13" s="2"/>
      <c r="S13" s="8">
        <v>96.0</v>
      </c>
      <c r="T13" s="8">
        <v>79.0</v>
      </c>
      <c r="U13" s="8">
        <v>2.35989771803718</v>
      </c>
      <c r="V13" s="8">
        <v>33.4760271160002</v>
      </c>
      <c r="W13" s="8">
        <v>0.0958582955020954</v>
      </c>
      <c r="X13" s="8">
        <v>1.16518115997314</v>
      </c>
      <c r="Y13" s="8">
        <v>8.98682075210764</v>
      </c>
      <c r="Z13" s="8">
        <v>0.046875</v>
      </c>
      <c r="AA13" s="8">
        <v>0.0958582955020954</v>
      </c>
      <c r="AB13" s="8">
        <v>0.253464685874634</v>
      </c>
      <c r="AC13" s="11">
        <v>2.25111252802889E-5</v>
      </c>
      <c r="AD13" s="8">
        <v>1.16518115997314</v>
      </c>
      <c r="AE13" s="8">
        <v>0.00136195751838386</v>
      </c>
      <c r="AF13" s="8">
        <v>0.0200279811397194</v>
      </c>
      <c r="AG13" s="8">
        <v>0.315078294277191</v>
      </c>
      <c r="AH13" s="8">
        <v>0.7238004386425</v>
      </c>
      <c r="AI13" s="8">
        <v>1.12240663528442</v>
      </c>
      <c r="AJ13" s="8">
        <v>8.98682075210764</v>
      </c>
      <c r="AK13" s="8">
        <v>3.89618415088534</v>
      </c>
      <c r="AL13" s="8">
        <v>0.046875</v>
      </c>
      <c r="AM13" s="8">
        <v>14.95738697052</v>
      </c>
      <c r="AN13" s="8">
        <v>9.421875</v>
      </c>
      <c r="AO13" s="8">
        <v>1.63821029663085</v>
      </c>
      <c r="AP13" s="8">
        <v>3.09744300842285</v>
      </c>
      <c r="AQ13" s="8">
        <v>6.37571048736572</v>
      </c>
      <c r="AR13" s="8">
        <v>7.0</v>
      </c>
      <c r="AS13" s="8">
        <v>2.0</v>
      </c>
      <c r="AT13" s="8">
        <v>0.0</v>
      </c>
      <c r="AU13" s="8">
        <v>0.0</v>
      </c>
      <c r="AV13" s="8">
        <v>0.0886075949367088</v>
      </c>
      <c r="AW13" s="8">
        <v>0.0253164556962025</v>
      </c>
      <c r="AX13" s="8">
        <v>0.0</v>
      </c>
      <c r="AY13" s="8">
        <v>0.0</v>
      </c>
      <c r="AZ13" s="8">
        <v>1.0</v>
      </c>
      <c r="BA13" s="8">
        <v>1.0</v>
      </c>
      <c r="BB13" s="8">
        <v>1.0</v>
      </c>
      <c r="BC13" s="8">
        <v>3.0</v>
      </c>
      <c r="BD13" s="8">
        <v>0.0126582278481012</v>
      </c>
      <c r="BE13" s="8">
        <v>0.0126582278481012</v>
      </c>
      <c r="BF13" s="8">
        <v>0.0126582278481012</v>
      </c>
      <c r="BG13" s="8">
        <v>0.0379746835443038</v>
      </c>
      <c r="BH13" s="8">
        <v>11.0</v>
      </c>
      <c r="BI13" s="2"/>
      <c r="BJ13" s="2"/>
      <c r="BK13" s="8">
        <v>32.0</v>
      </c>
      <c r="BL13" s="8">
        <v>32.0</v>
      </c>
      <c r="BM13" s="2" t="s">
        <v>312</v>
      </c>
      <c r="BN13" s="2" t="s">
        <v>313</v>
      </c>
      <c r="BO13" s="8">
        <v>50.0</v>
      </c>
      <c r="BP13" s="8">
        <v>406.0</v>
      </c>
      <c r="BQ13" s="8">
        <v>225.0</v>
      </c>
      <c r="BR13" s="8">
        <v>211.0</v>
      </c>
      <c r="BS13" s="8">
        <v>8.0</v>
      </c>
      <c r="BT13" s="8">
        <v>10.0</v>
      </c>
      <c r="BU13" s="10" t="b">
        <v>1</v>
      </c>
      <c r="BV13" s="10" t="b">
        <v>0</v>
      </c>
      <c r="BW13" s="10" t="b">
        <v>1</v>
      </c>
      <c r="BX13" s="2" t="s">
        <v>74</v>
      </c>
      <c r="BY13" s="8">
        <v>79.0</v>
      </c>
      <c r="BZ13" s="2"/>
      <c r="CA13" s="2"/>
    </row>
    <row r="14">
      <c r="A14" s="2" t="s">
        <v>315</v>
      </c>
      <c r="B14" s="2" t="s">
        <v>121</v>
      </c>
      <c r="C14" s="8">
        <v>0.0</v>
      </c>
      <c r="D14" s="2" t="s">
        <v>71</v>
      </c>
      <c r="E14" s="2" t="s">
        <v>122</v>
      </c>
      <c r="F14" s="10" t="b">
        <v>1</v>
      </c>
      <c r="G14" s="2"/>
      <c r="H14" s="2"/>
      <c r="I14" s="2"/>
      <c r="J14" s="2"/>
      <c r="K14" s="2" t="s">
        <v>316</v>
      </c>
      <c r="L14" s="2" t="s">
        <v>317</v>
      </c>
      <c r="M14" s="2"/>
      <c r="N14" s="2" t="s">
        <v>318</v>
      </c>
      <c r="O14" s="2" t="s">
        <v>319</v>
      </c>
      <c r="P14" s="10" t="b">
        <v>0</v>
      </c>
      <c r="Q14" s="2"/>
      <c r="R14" s="2"/>
      <c r="S14" s="8">
        <v>113.0</v>
      </c>
      <c r="T14" s="8">
        <v>85.0</v>
      </c>
      <c r="U14" s="8">
        <v>2.3589423823099</v>
      </c>
      <c r="V14" s="8">
        <v>36.0330971359999</v>
      </c>
      <c r="W14" s="8">
        <v>0.351816515991017</v>
      </c>
      <c r="X14" s="8">
        <v>3.13479399681091</v>
      </c>
      <c r="Y14" s="8">
        <v>5.83630549486945</v>
      </c>
      <c r="Z14" s="8">
        <v>0.15625</v>
      </c>
      <c r="AA14" s="8">
        <v>0.351816515991017</v>
      </c>
      <c r="AB14" s="8">
        <v>0.63323024676116</v>
      </c>
      <c r="AC14" s="11">
        <v>3.39768412231933E-5</v>
      </c>
      <c r="AD14" s="8">
        <v>3.13479399681091</v>
      </c>
      <c r="AE14" s="8">
        <v>0.0479324087500572</v>
      </c>
      <c r="AF14" s="8">
        <v>0.44996440410614</v>
      </c>
      <c r="AG14" s="8">
        <v>0.960648036003113</v>
      </c>
      <c r="AH14" s="8">
        <v>1.29860796928405</v>
      </c>
      <c r="AI14" s="8">
        <v>2.81333143234252</v>
      </c>
      <c r="AJ14" s="8">
        <v>5.83630549486945</v>
      </c>
      <c r="AK14" s="8">
        <v>3.8117228722843</v>
      </c>
      <c r="AL14" s="8">
        <v>0.15625</v>
      </c>
      <c r="AM14" s="8">
        <v>14.4602279663085</v>
      </c>
      <c r="AN14" s="8">
        <v>5.453125</v>
      </c>
      <c r="AO14" s="8">
        <v>0.528125</v>
      </c>
      <c r="AP14" s="8">
        <v>1.07897758483886</v>
      </c>
      <c r="AQ14" s="8">
        <v>2.296875</v>
      </c>
      <c r="AR14" s="8">
        <v>20.0</v>
      </c>
      <c r="AS14" s="8">
        <v>8.0</v>
      </c>
      <c r="AT14" s="8">
        <v>4.0</v>
      </c>
      <c r="AU14" s="8">
        <v>4.0</v>
      </c>
      <c r="AV14" s="8">
        <v>0.235294117647058</v>
      </c>
      <c r="AW14" s="8">
        <v>0.0941176470588235</v>
      </c>
      <c r="AX14" s="8">
        <v>0.0470588235294117</v>
      </c>
      <c r="AY14" s="8">
        <v>0.0470588235294117</v>
      </c>
      <c r="AZ14" s="8">
        <v>0.0</v>
      </c>
      <c r="BA14" s="8">
        <v>2.0</v>
      </c>
      <c r="BB14" s="8">
        <v>4.0</v>
      </c>
      <c r="BC14" s="8">
        <v>8.0</v>
      </c>
      <c r="BD14" s="8">
        <v>0.0</v>
      </c>
      <c r="BE14" s="8">
        <v>0.0235294117647058</v>
      </c>
      <c r="BF14" s="8">
        <v>0.0470588235294117</v>
      </c>
      <c r="BG14" s="8">
        <v>0.0941176470588235</v>
      </c>
      <c r="BH14" s="8">
        <v>7.0</v>
      </c>
      <c r="BI14" s="8">
        <v>11.0</v>
      </c>
      <c r="BJ14" s="8">
        <v>11.0</v>
      </c>
      <c r="BK14" s="8">
        <v>8.0</v>
      </c>
      <c r="BL14" s="8">
        <v>8.0</v>
      </c>
      <c r="BM14" s="2" t="s">
        <v>324</v>
      </c>
      <c r="BN14" s="2" t="s">
        <v>325</v>
      </c>
      <c r="BO14" s="8">
        <v>103.0</v>
      </c>
      <c r="BP14" s="8">
        <v>484.0</v>
      </c>
      <c r="BQ14" s="8">
        <v>255.0</v>
      </c>
      <c r="BR14" s="8">
        <v>241.0</v>
      </c>
      <c r="BS14" s="8">
        <v>10.0</v>
      </c>
      <c r="BT14" s="8">
        <v>12.0</v>
      </c>
      <c r="BU14" s="10" t="b">
        <v>1</v>
      </c>
      <c r="BV14" s="10" t="b">
        <v>0</v>
      </c>
      <c r="BW14" s="10" t="b">
        <v>1</v>
      </c>
      <c r="BX14" s="2" t="s">
        <v>74</v>
      </c>
      <c r="BY14" s="8">
        <v>85.0</v>
      </c>
      <c r="BZ14" s="2"/>
      <c r="CA14" s="2"/>
    </row>
    <row r="15">
      <c r="A15" s="2" t="s">
        <v>326</v>
      </c>
      <c r="B15" s="2" t="s">
        <v>121</v>
      </c>
      <c r="C15" s="8">
        <v>0.0</v>
      </c>
      <c r="D15" s="2" t="s">
        <v>71</v>
      </c>
      <c r="E15" s="2" t="s">
        <v>122</v>
      </c>
      <c r="F15" s="10" t="b">
        <v>1</v>
      </c>
      <c r="G15" s="2"/>
      <c r="H15" s="2"/>
      <c r="I15" s="2"/>
      <c r="J15" s="2"/>
      <c r="K15" s="2" t="s">
        <v>327</v>
      </c>
      <c r="L15" s="2" t="s">
        <v>328</v>
      </c>
      <c r="M15" s="2"/>
      <c r="N15" s="2" t="s">
        <v>329</v>
      </c>
      <c r="O15" s="2" t="s">
        <v>330</v>
      </c>
      <c r="P15" s="10" t="b">
        <v>0</v>
      </c>
      <c r="Q15" s="2"/>
      <c r="R15" s="2"/>
      <c r="S15" s="8">
        <v>123.0</v>
      </c>
      <c r="T15" s="8">
        <v>32.0</v>
      </c>
      <c r="U15" s="8">
        <v>2.35034302192137</v>
      </c>
      <c r="V15" s="8">
        <v>13.6150339340001</v>
      </c>
      <c r="W15" s="8">
        <v>0.246033758957992</v>
      </c>
      <c r="X15" s="8">
        <v>1.4679570198059</v>
      </c>
      <c r="Y15" s="8">
        <v>6.4345486164093</v>
      </c>
      <c r="Z15" s="8">
        <v>0.321022033691406</v>
      </c>
      <c r="AA15" s="8">
        <v>0.246033758957992</v>
      </c>
      <c r="AB15" s="8">
        <v>0.403841456821937</v>
      </c>
      <c r="AC15" s="11">
        <v>3.09589086100459E-5</v>
      </c>
      <c r="AD15" s="8">
        <v>1.4679570198059</v>
      </c>
      <c r="AE15" s="8">
        <v>0.0133693115785717</v>
      </c>
      <c r="AF15" s="8">
        <v>0.388440050184726</v>
      </c>
      <c r="AG15" s="8">
        <v>0.721213233470916</v>
      </c>
      <c r="AH15" s="8">
        <v>1.12374523878097</v>
      </c>
      <c r="AI15" s="8">
        <v>1.39378251552581</v>
      </c>
      <c r="AJ15" s="8">
        <v>6.4345486164093</v>
      </c>
      <c r="AK15" s="8">
        <v>4.28105552599976</v>
      </c>
      <c r="AL15" s="8">
        <v>0.321022033691406</v>
      </c>
      <c r="AM15" s="8">
        <v>13.9488639831542</v>
      </c>
      <c r="AN15" s="8">
        <v>6.68252944946289</v>
      </c>
      <c r="AO15" s="8">
        <v>0.42265625</v>
      </c>
      <c r="AP15" s="8">
        <v>0.809234046936035</v>
      </c>
      <c r="AQ15" s="8">
        <v>2.28870725631713</v>
      </c>
      <c r="AR15" s="8">
        <v>8.0</v>
      </c>
      <c r="AS15" s="8">
        <v>3.0</v>
      </c>
      <c r="AT15" s="8">
        <v>0.0</v>
      </c>
      <c r="AU15" s="8">
        <v>0.0</v>
      </c>
      <c r="AV15" s="8">
        <v>0.25</v>
      </c>
      <c r="AW15" s="8">
        <v>0.09375</v>
      </c>
      <c r="AX15" s="8">
        <v>0.0</v>
      </c>
      <c r="AY15" s="8">
        <v>0.0</v>
      </c>
      <c r="AZ15" s="8">
        <v>0.0</v>
      </c>
      <c r="BA15" s="8">
        <v>0.0</v>
      </c>
      <c r="BB15" s="8">
        <v>2.0</v>
      </c>
      <c r="BC15" s="8">
        <v>6.0</v>
      </c>
      <c r="BD15" s="8">
        <v>0.0</v>
      </c>
      <c r="BE15" s="8">
        <v>0.0</v>
      </c>
      <c r="BF15" s="8">
        <v>0.0625</v>
      </c>
      <c r="BG15" s="8">
        <v>0.1875</v>
      </c>
      <c r="BH15" s="8">
        <v>6.0</v>
      </c>
      <c r="BI15" s="2"/>
      <c r="BJ15" s="2"/>
      <c r="BK15" s="2"/>
      <c r="BL15" s="8">
        <v>6.0</v>
      </c>
      <c r="BM15" s="2" t="s">
        <v>335</v>
      </c>
      <c r="BN15" s="2" t="s">
        <v>336</v>
      </c>
      <c r="BO15" s="8">
        <v>58.0</v>
      </c>
      <c r="BP15" s="8">
        <v>449.0</v>
      </c>
      <c r="BQ15" s="8">
        <v>136.0</v>
      </c>
      <c r="BR15" s="8">
        <v>122.0</v>
      </c>
      <c r="BS15" s="8">
        <v>3.0</v>
      </c>
      <c r="BT15" s="8">
        <v>5.0</v>
      </c>
      <c r="BU15" s="10" t="b">
        <v>1</v>
      </c>
      <c r="BV15" s="10" t="b">
        <v>0</v>
      </c>
      <c r="BW15" s="10" t="b">
        <v>1</v>
      </c>
      <c r="BX15" s="2" t="s">
        <v>74</v>
      </c>
      <c r="BY15" s="8">
        <v>32.0</v>
      </c>
      <c r="BZ15" s="2"/>
      <c r="CA15" s="2"/>
    </row>
    <row r="16">
      <c r="A16" s="2" t="s">
        <v>337</v>
      </c>
      <c r="B16" s="2" t="s">
        <v>121</v>
      </c>
      <c r="C16" s="8">
        <v>0.0</v>
      </c>
      <c r="D16" s="2" t="s">
        <v>71</v>
      </c>
      <c r="E16" s="2" t="s">
        <v>122</v>
      </c>
      <c r="F16" s="10" t="b">
        <v>0</v>
      </c>
      <c r="G16" s="2" t="s">
        <v>198</v>
      </c>
      <c r="H16" s="2" t="s">
        <v>338</v>
      </c>
      <c r="I16" s="2" t="s">
        <v>339</v>
      </c>
      <c r="J16" s="2"/>
      <c r="K16" s="2" t="s">
        <v>340</v>
      </c>
      <c r="L16" s="2" t="s">
        <v>341</v>
      </c>
      <c r="M16" s="2"/>
      <c r="N16" s="2" t="s">
        <v>342</v>
      </c>
      <c r="O16" s="2" t="s">
        <v>343</v>
      </c>
      <c r="P16" s="10" t="b">
        <v>0</v>
      </c>
      <c r="Q16" s="2"/>
      <c r="R16" s="2"/>
      <c r="S16" s="8">
        <v>170.0</v>
      </c>
      <c r="T16" s="8">
        <v>42.0</v>
      </c>
      <c r="U16" s="8">
        <v>2.33896031504879</v>
      </c>
      <c r="V16" s="8">
        <v>17.9566962850003</v>
      </c>
      <c r="W16" s="8">
        <v>0.290157160801408</v>
      </c>
      <c r="X16" s="8">
        <v>2.22744083404541</v>
      </c>
      <c r="Y16" s="8">
        <v>5.47796621776762</v>
      </c>
      <c r="Z16" s="8">
        <v>0.03125</v>
      </c>
      <c r="AA16" s="8">
        <v>0.290157160801408</v>
      </c>
      <c r="AB16" s="8">
        <v>0.441052546341754</v>
      </c>
      <c r="AC16" s="8">
        <v>2.72145232884213E-4</v>
      </c>
      <c r="AD16" s="8">
        <v>2.22744083404541</v>
      </c>
      <c r="AE16" s="8">
        <v>0.0551202334463596</v>
      </c>
      <c r="AF16" s="8">
        <v>0.510989561676979</v>
      </c>
      <c r="AG16" s="8">
        <v>0.772862005233764</v>
      </c>
      <c r="AH16" s="8">
        <v>0.997047767043112</v>
      </c>
      <c r="AI16" s="8">
        <v>1.76731893658637</v>
      </c>
      <c r="AJ16" s="8">
        <v>5.47796621776762</v>
      </c>
      <c r="AK16" s="8">
        <v>3.53272389516573</v>
      </c>
      <c r="AL16" s="8">
        <v>0.03125</v>
      </c>
      <c r="AM16" s="8">
        <v>12.2386379241943</v>
      </c>
      <c r="AN16" s="8">
        <v>5.6995735168457</v>
      </c>
      <c r="AO16" s="8">
        <v>0.776136207580566</v>
      </c>
      <c r="AP16" s="8">
        <v>1.021875</v>
      </c>
      <c r="AQ16" s="8">
        <v>2.58345174789428</v>
      </c>
      <c r="AR16" s="8">
        <v>11.0</v>
      </c>
      <c r="AS16" s="8">
        <v>3.0</v>
      </c>
      <c r="AT16" s="8">
        <v>1.0</v>
      </c>
      <c r="AU16" s="8">
        <v>1.0</v>
      </c>
      <c r="AV16" s="8">
        <v>0.261904761904761</v>
      </c>
      <c r="AW16" s="8">
        <v>0.0714285714285714</v>
      </c>
      <c r="AX16" s="8">
        <v>0.0238095238095238</v>
      </c>
      <c r="AY16" s="8">
        <v>0.0238095238095238</v>
      </c>
      <c r="AZ16" s="8">
        <v>2.0</v>
      </c>
      <c r="BA16" s="8">
        <v>2.0</v>
      </c>
      <c r="BB16" s="8">
        <v>2.0</v>
      </c>
      <c r="BC16" s="8">
        <v>4.0</v>
      </c>
      <c r="BD16" s="8">
        <v>0.0476190476190476</v>
      </c>
      <c r="BE16" s="8">
        <v>0.0476190476190476</v>
      </c>
      <c r="BF16" s="8">
        <v>0.0476190476190476</v>
      </c>
      <c r="BG16" s="8">
        <v>0.0952380952380952</v>
      </c>
      <c r="BH16" s="8">
        <v>19.0</v>
      </c>
      <c r="BI16" s="8">
        <v>28.0</v>
      </c>
      <c r="BJ16" s="8">
        <v>28.0</v>
      </c>
      <c r="BK16" s="8">
        <v>28.0</v>
      </c>
      <c r="BL16" s="8">
        <v>28.0</v>
      </c>
      <c r="BM16" s="2" t="s">
        <v>348</v>
      </c>
      <c r="BN16" s="2" t="s">
        <v>349</v>
      </c>
      <c r="BO16" s="8">
        <v>96.0</v>
      </c>
      <c r="BP16" s="8">
        <v>559.0</v>
      </c>
      <c r="BQ16" s="8">
        <v>181.0</v>
      </c>
      <c r="BR16" s="8">
        <v>167.0</v>
      </c>
      <c r="BS16" s="8">
        <v>4.0</v>
      </c>
      <c r="BT16" s="8">
        <v>6.0</v>
      </c>
      <c r="BU16" s="10" t="b">
        <v>1</v>
      </c>
      <c r="BV16" s="10" t="b">
        <v>0</v>
      </c>
      <c r="BW16" s="10" t="b">
        <v>1</v>
      </c>
      <c r="BX16" s="2" t="s">
        <v>350</v>
      </c>
      <c r="BY16" s="8">
        <v>42.0</v>
      </c>
      <c r="BZ16" s="2"/>
      <c r="CA16" s="2"/>
    </row>
    <row r="17">
      <c r="A17" s="2" t="s">
        <v>351</v>
      </c>
      <c r="B17" s="2" t="s">
        <v>121</v>
      </c>
      <c r="C17" s="8">
        <v>0.0</v>
      </c>
      <c r="D17" s="2" t="s">
        <v>71</v>
      </c>
      <c r="E17" s="2" t="s">
        <v>122</v>
      </c>
      <c r="F17" s="10" t="b">
        <v>1</v>
      </c>
      <c r="G17" s="2"/>
      <c r="H17" s="2"/>
      <c r="I17" s="2"/>
      <c r="J17" s="2"/>
      <c r="K17" s="2" t="s">
        <v>352</v>
      </c>
      <c r="L17" s="2" t="s">
        <v>353</v>
      </c>
      <c r="M17" s="2"/>
      <c r="N17" s="2" t="s">
        <v>354</v>
      </c>
      <c r="O17" s="2" t="s">
        <v>354</v>
      </c>
      <c r="P17" s="10" t="b">
        <v>0</v>
      </c>
      <c r="Q17" s="2"/>
      <c r="R17" s="2"/>
      <c r="S17" s="8">
        <v>220.0</v>
      </c>
      <c r="T17" s="8">
        <v>21.0</v>
      </c>
      <c r="U17" s="8">
        <v>2.3150697700392</v>
      </c>
      <c r="V17" s="8">
        <v>9.07100091400025</v>
      </c>
      <c r="W17" s="8">
        <v>0.261364566595667</v>
      </c>
      <c r="X17" s="8">
        <v>1.85765671730041</v>
      </c>
      <c r="Y17" s="8">
        <v>6.69568466004871</v>
      </c>
      <c r="Z17" s="8">
        <v>0.203125</v>
      </c>
      <c r="AA17" s="8">
        <v>0.261364566595667</v>
      </c>
      <c r="AB17" s="8">
        <v>0.496290331170675</v>
      </c>
      <c r="AC17" s="11">
        <v>2.84435154753737E-5</v>
      </c>
      <c r="AD17" s="8">
        <v>1.85765671730041</v>
      </c>
      <c r="AE17" s="8">
        <v>0.00850578770041465</v>
      </c>
      <c r="AF17" s="8">
        <v>0.260818421840667</v>
      </c>
      <c r="AG17" s="8">
        <v>0.98940885066986</v>
      </c>
      <c r="AH17" s="8">
        <v>1.07012903690338</v>
      </c>
      <c r="AI17" s="8">
        <v>1.700151181221</v>
      </c>
      <c r="AJ17" s="8">
        <v>6.69568466004871</v>
      </c>
      <c r="AK17" s="8">
        <v>4.12553878279623</v>
      </c>
      <c r="AL17" s="8">
        <v>0.203125</v>
      </c>
      <c r="AM17" s="8">
        <v>13.2840900421142</v>
      </c>
      <c r="AN17" s="8">
        <v>8.13636398315429</v>
      </c>
      <c r="AO17" s="8">
        <v>0.21875</v>
      </c>
      <c r="AP17" s="8">
        <v>0.53125</v>
      </c>
      <c r="AQ17" s="8">
        <v>3.28125</v>
      </c>
      <c r="AR17" s="8">
        <v>4.0</v>
      </c>
      <c r="AS17" s="8">
        <v>2.0</v>
      </c>
      <c r="AT17" s="8">
        <v>1.0</v>
      </c>
      <c r="AU17" s="8">
        <v>0.0</v>
      </c>
      <c r="AV17" s="8">
        <v>0.19047619047619</v>
      </c>
      <c r="AW17" s="8">
        <v>0.0952380952380952</v>
      </c>
      <c r="AX17" s="8">
        <v>0.0476190476190476</v>
      </c>
      <c r="AY17" s="8">
        <v>0.0</v>
      </c>
      <c r="AZ17" s="8">
        <v>0.0</v>
      </c>
      <c r="BA17" s="8">
        <v>2.0</v>
      </c>
      <c r="BB17" s="8">
        <v>2.0</v>
      </c>
      <c r="BC17" s="8">
        <v>4.0</v>
      </c>
      <c r="BD17" s="8">
        <v>0.0</v>
      </c>
      <c r="BE17" s="8">
        <v>0.0952380952380952</v>
      </c>
      <c r="BF17" s="8">
        <v>0.0952380952380952</v>
      </c>
      <c r="BG17" s="8">
        <v>0.19047619047619</v>
      </c>
      <c r="BH17" s="8">
        <v>3.0</v>
      </c>
      <c r="BI17" s="8">
        <v>3.0</v>
      </c>
      <c r="BJ17" s="2"/>
      <c r="BK17" s="8">
        <v>0.0</v>
      </c>
      <c r="BL17" s="8">
        <v>0.0</v>
      </c>
      <c r="BM17" s="2" t="s">
        <v>360</v>
      </c>
      <c r="BN17" s="2" t="s">
        <v>361</v>
      </c>
      <c r="BO17" s="8">
        <v>79.0</v>
      </c>
      <c r="BP17" s="8">
        <v>753.0</v>
      </c>
      <c r="BQ17" s="8">
        <v>70.0</v>
      </c>
      <c r="BR17" s="8">
        <v>70.0</v>
      </c>
      <c r="BS17" s="8">
        <v>2.0</v>
      </c>
      <c r="BT17" s="8">
        <v>2.0</v>
      </c>
      <c r="BU17" s="10" t="b">
        <v>1</v>
      </c>
      <c r="BV17" s="10" t="b">
        <v>0</v>
      </c>
      <c r="BW17" s="10" t="b">
        <v>0</v>
      </c>
      <c r="BX17" s="2" t="s">
        <v>74</v>
      </c>
      <c r="BY17" s="8">
        <v>21.0</v>
      </c>
      <c r="BZ17" s="2"/>
      <c r="CA17" s="2"/>
    </row>
    <row r="18">
      <c r="A18" s="2" t="s">
        <v>362</v>
      </c>
      <c r="B18" s="2" t="s">
        <v>121</v>
      </c>
      <c r="C18" s="8">
        <v>0.0</v>
      </c>
      <c r="D18" s="2" t="s">
        <v>71</v>
      </c>
      <c r="E18" s="2" t="s">
        <v>122</v>
      </c>
      <c r="F18" s="10" t="b">
        <v>1</v>
      </c>
      <c r="G18" s="2"/>
      <c r="H18" s="2"/>
      <c r="I18" s="2"/>
      <c r="J18" s="2"/>
      <c r="K18" s="2" t="s">
        <v>363</v>
      </c>
      <c r="L18" s="2" t="s">
        <v>364</v>
      </c>
      <c r="M18" s="2"/>
      <c r="N18" s="2" t="s">
        <v>365</v>
      </c>
      <c r="O18" s="2" t="s">
        <v>366</v>
      </c>
      <c r="P18" s="10" t="b">
        <v>0</v>
      </c>
      <c r="Q18" s="2"/>
      <c r="R18" s="2"/>
      <c r="S18" s="8">
        <v>141.0</v>
      </c>
      <c r="T18" s="8">
        <v>148.0</v>
      </c>
      <c r="U18" s="8">
        <v>2.3268517741148</v>
      </c>
      <c r="V18" s="8">
        <v>63.6052548110001</v>
      </c>
      <c r="W18" s="8">
        <v>0.0467637576923058</v>
      </c>
      <c r="X18" s="8">
        <v>1.36836612224578</v>
      </c>
      <c r="Y18" s="8">
        <v>10.8280294328122</v>
      </c>
      <c r="Z18" s="8">
        <v>0.65625</v>
      </c>
      <c r="AA18" s="8">
        <v>0.0467637576923058</v>
      </c>
      <c r="AB18" s="8">
        <v>0.181903728026643</v>
      </c>
      <c r="AC18" s="11">
        <v>8.24818187084019E-7</v>
      </c>
      <c r="AD18" s="8">
        <v>1.36836612224578</v>
      </c>
      <c r="AE18" s="8">
        <v>2.84548543277196E-4</v>
      </c>
      <c r="AF18" s="8">
        <v>0.00172375576221384</v>
      </c>
      <c r="AG18" s="8">
        <v>0.0276537695899605</v>
      </c>
      <c r="AH18" s="8">
        <v>0.399171607196332</v>
      </c>
      <c r="AI18" s="8">
        <v>0.898675355911255</v>
      </c>
      <c r="AJ18" s="8">
        <v>10.8280294328122</v>
      </c>
      <c r="AK18" s="8">
        <v>3.62749758572624</v>
      </c>
      <c r="AL18" s="8">
        <v>0.65625</v>
      </c>
      <c r="AM18" s="8">
        <v>18.3096580505371</v>
      </c>
      <c r="AN18" s="8">
        <v>11.5213079452514</v>
      </c>
      <c r="AO18" s="8">
        <v>2.64765625</v>
      </c>
      <c r="AP18" s="8">
        <v>6.34119338989257</v>
      </c>
      <c r="AQ18" s="8">
        <v>9.18678998947143</v>
      </c>
      <c r="AR18" s="8">
        <v>7.0</v>
      </c>
      <c r="AS18" s="8">
        <v>1.0</v>
      </c>
      <c r="AT18" s="8">
        <v>0.0</v>
      </c>
      <c r="AU18" s="8">
        <v>0.0</v>
      </c>
      <c r="AV18" s="8">
        <v>0.0472972972972973</v>
      </c>
      <c r="AW18" s="8">
        <v>0.00675675675675675</v>
      </c>
      <c r="AX18" s="8">
        <v>0.0</v>
      </c>
      <c r="AY18" s="8">
        <v>0.0</v>
      </c>
      <c r="AZ18" s="8">
        <v>0.0</v>
      </c>
      <c r="BA18" s="8">
        <v>0.0</v>
      </c>
      <c r="BB18" s="8">
        <v>0.0</v>
      </c>
      <c r="BC18" s="8">
        <v>2.0</v>
      </c>
      <c r="BD18" s="8">
        <v>0.0</v>
      </c>
      <c r="BE18" s="8">
        <v>0.0</v>
      </c>
      <c r="BF18" s="8">
        <v>0.0</v>
      </c>
      <c r="BG18" s="8">
        <v>0.0135135135135135</v>
      </c>
      <c r="BH18" s="8">
        <v>17.0</v>
      </c>
      <c r="BI18" s="2"/>
      <c r="BJ18" s="2"/>
      <c r="BK18" s="2"/>
      <c r="BL18" s="2"/>
      <c r="BM18" s="2" t="s">
        <v>368</v>
      </c>
      <c r="BN18" s="2" t="s">
        <v>370</v>
      </c>
      <c r="BO18" s="8">
        <v>63.0</v>
      </c>
      <c r="BP18" s="8">
        <v>500.0</v>
      </c>
      <c r="BQ18" s="8">
        <v>398.0</v>
      </c>
      <c r="BR18" s="8">
        <v>384.0</v>
      </c>
      <c r="BS18" s="8">
        <v>13.0</v>
      </c>
      <c r="BT18" s="8">
        <v>15.0</v>
      </c>
      <c r="BU18" s="10" t="b">
        <v>1</v>
      </c>
      <c r="BV18" s="10" t="b">
        <v>0</v>
      </c>
      <c r="BW18" s="10" t="b">
        <v>1</v>
      </c>
      <c r="BX18" s="2" t="s">
        <v>74</v>
      </c>
      <c r="BY18" s="8">
        <v>148.0</v>
      </c>
      <c r="BZ18" s="2"/>
      <c r="CA18" s="2"/>
    </row>
    <row r="19">
      <c r="A19" s="2" t="s">
        <v>373</v>
      </c>
      <c r="B19" s="2" t="s">
        <v>121</v>
      </c>
      <c r="C19" s="8">
        <v>0.0</v>
      </c>
      <c r="D19" s="2" t="s">
        <v>71</v>
      </c>
      <c r="E19" s="2" t="s">
        <v>122</v>
      </c>
      <c r="F19" s="10" t="b">
        <v>1</v>
      </c>
      <c r="G19" s="2"/>
      <c r="H19" s="2"/>
      <c r="I19" s="2"/>
      <c r="J19" s="2"/>
      <c r="K19" s="2" t="s">
        <v>374</v>
      </c>
      <c r="L19" s="2" t="s">
        <v>375</v>
      </c>
      <c r="M19" s="2"/>
      <c r="N19" s="2" t="s">
        <v>376</v>
      </c>
      <c r="O19" s="2" t="s">
        <v>377</v>
      </c>
      <c r="P19" s="10" t="b">
        <v>0</v>
      </c>
      <c r="Q19" s="2"/>
      <c r="R19" s="2"/>
      <c r="S19" s="8">
        <v>108.0</v>
      </c>
      <c r="T19" s="8">
        <v>38.0</v>
      </c>
      <c r="U19" s="8">
        <v>2.33497304964158</v>
      </c>
      <c r="V19" s="8">
        <v>16.2742777719995</v>
      </c>
      <c r="W19" s="8">
        <v>0.294839805709156</v>
      </c>
      <c r="X19" s="8">
        <v>1.62374687194824</v>
      </c>
      <c r="Y19" s="8">
        <v>6.16639902717188</v>
      </c>
      <c r="Z19" s="8">
        <v>0.411931991577148</v>
      </c>
      <c r="AA19" s="8">
        <v>0.294839805709156</v>
      </c>
      <c r="AB19" s="8">
        <v>0.434918795571241</v>
      </c>
      <c r="AC19" s="11">
        <v>6.62915454086032E-6</v>
      </c>
      <c r="AD19" s="8">
        <v>1.62374687194824</v>
      </c>
      <c r="AE19" s="8">
        <v>0.0349692050367593</v>
      </c>
      <c r="AF19" s="8">
        <v>0.502271831035614</v>
      </c>
      <c r="AG19" s="8">
        <v>1.03035752773284</v>
      </c>
      <c r="AH19" s="8">
        <v>1.08398173451423</v>
      </c>
      <c r="AI19" s="8">
        <v>1.47910623550415</v>
      </c>
      <c r="AJ19" s="8">
        <v>6.16639902717188</v>
      </c>
      <c r="AK19" s="8">
        <v>4.56703580827552</v>
      </c>
      <c r="AL19" s="8">
        <v>0.411931991577148</v>
      </c>
      <c r="AM19" s="8">
        <v>15.6789770126342</v>
      </c>
      <c r="AN19" s="8">
        <v>6.0944595336914</v>
      </c>
      <c r="AO19" s="8">
        <v>0.544601535797119</v>
      </c>
      <c r="AP19" s="8">
        <v>0.6375</v>
      </c>
      <c r="AQ19" s="8">
        <v>2.24254322052001</v>
      </c>
      <c r="AR19" s="8">
        <v>10.0</v>
      </c>
      <c r="AS19" s="8">
        <v>5.0</v>
      </c>
      <c r="AT19" s="8">
        <v>1.0</v>
      </c>
      <c r="AU19" s="8">
        <v>0.0</v>
      </c>
      <c r="AV19" s="8">
        <v>0.263157894736842</v>
      </c>
      <c r="AW19" s="8">
        <v>0.131578947368421</v>
      </c>
      <c r="AX19" s="8">
        <v>0.0263157894736842</v>
      </c>
      <c r="AY19" s="8">
        <v>0.0</v>
      </c>
      <c r="AZ19" s="8">
        <v>0.0</v>
      </c>
      <c r="BA19" s="8">
        <v>0.0</v>
      </c>
      <c r="BB19" s="8">
        <v>1.0</v>
      </c>
      <c r="BC19" s="8">
        <v>7.0</v>
      </c>
      <c r="BD19" s="8">
        <v>0.0</v>
      </c>
      <c r="BE19" s="8">
        <v>0.0</v>
      </c>
      <c r="BF19" s="8">
        <v>0.0263157894736842</v>
      </c>
      <c r="BG19" s="8">
        <v>0.184210526315789</v>
      </c>
      <c r="BH19" s="8">
        <v>6.0</v>
      </c>
      <c r="BI19" s="8">
        <v>6.0</v>
      </c>
      <c r="BJ19" s="2"/>
      <c r="BK19" s="2"/>
      <c r="BL19" s="8">
        <v>15.0</v>
      </c>
      <c r="BM19" s="2" t="s">
        <v>379</v>
      </c>
      <c r="BN19" s="2" t="s">
        <v>381</v>
      </c>
      <c r="BO19" s="8">
        <v>74.0</v>
      </c>
      <c r="BP19" s="8">
        <v>441.0</v>
      </c>
      <c r="BQ19" s="8">
        <v>149.0</v>
      </c>
      <c r="BR19" s="8">
        <v>135.0</v>
      </c>
      <c r="BS19" s="8">
        <v>3.0</v>
      </c>
      <c r="BT19" s="8">
        <v>5.0</v>
      </c>
      <c r="BU19" s="10" t="b">
        <v>1</v>
      </c>
      <c r="BV19" s="10" t="b">
        <v>0</v>
      </c>
      <c r="BW19" s="10" t="b">
        <v>1</v>
      </c>
      <c r="BX19" s="2" t="s">
        <v>74</v>
      </c>
      <c r="BY19" s="8">
        <v>38.0</v>
      </c>
      <c r="BZ19" s="2"/>
      <c r="CA19" s="2"/>
    </row>
    <row r="20">
      <c r="A20" s="2" t="s">
        <v>384</v>
      </c>
      <c r="B20" s="2" t="s">
        <v>121</v>
      </c>
      <c r="C20" s="8">
        <v>0.0</v>
      </c>
      <c r="D20" s="2" t="s">
        <v>71</v>
      </c>
      <c r="E20" s="2" t="s">
        <v>122</v>
      </c>
      <c r="F20" s="10" t="b">
        <v>0</v>
      </c>
      <c r="G20" s="2" t="s">
        <v>198</v>
      </c>
      <c r="H20" s="2" t="s">
        <v>247</v>
      </c>
      <c r="I20" s="2" t="s">
        <v>385</v>
      </c>
      <c r="J20" s="2"/>
      <c r="K20" s="2" t="s">
        <v>386</v>
      </c>
      <c r="L20" s="2" t="s">
        <v>387</v>
      </c>
      <c r="M20" s="2"/>
      <c r="N20" s="2" t="s">
        <v>388</v>
      </c>
      <c r="O20" s="2" t="s">
        <v>389</v>
      </c>
      <c r="P20" s="10" t="b">
        <v>0</v>
      </c>
      <c r="Q20" s="2"/>
      <c r="R20" s="2"/>
      <c r="S20" s="8">
        <v>147.0</v>
      </c>
      <c r="T20" s="8">
        <v>103.0</v>
      </c>
      <c r="U20" s="8">
        <v>2.34417542274798</v>
      </c>
      <c r="V20" s="8">
        <v>43.938691192</v>
      </c>
      <c r="W20" s="8">
        <v>0.244513645677781</v>
      </c>
      <c r="X20" s="8">
        <v>2.94356346130371</v>
      </c>
      <c r="Y20" s="8">
        <v>5.86903563749443</v>
      </c>
      <c r="Z20" s="8">
        <v>0.078125</v>
      </c>
      <c r="AA20" s="8">
        <v>0.244513645677781</v>
      </c>
      <c r="AB20" s="8">
        <v>0.464828208627858</v>
      </c>
      <c r="AC20" s="11">
        <v>4.46798840130213E-5</v>
      </c>
      <c r="AD20" s="8">
        <v>2.94356346130371</v>
      </c>
      <c r="AE20" s="8">
        <v>0.0510341264307498</v>
      </c>
      <c r="AF20" s="8">
        <v>0.313079550862312</v>
      </c>
      <c r="AG20" s="8">
        <v>0.693594920635223</v>
      </c>
      <c r="AH20" s="8">
        <v>0.951389169692992</v>
      </c>
      <c r="AI20" s="8">
        <v>2.47029150485992</v>
      </c>
      <c r="AJ20" s="8">
        <v>5.86903563749443</v>
      </c>
      <c r="AK20" s="8">
        <v>3.43479919904882</v>
      </c>
      <c r="AL20" s="8">
        <v>0.078125</v>
      </c>
      <c r="AM20" s="8">
        <v>15.0078125</v>
      </c>
      <c r="AN20" s="8">
        <v>5.6015625</v>
      </c>
      <c r="AO20" s="8">
        <v>1.01328125</v>
      </c>
      <c r="AP20" s="8">
        <v>1.68778381347656</v>
      </c>
      <c r="AQ20" s="8">
        <v>2.83025550842285</v>
      </c>
      <c r="AR20" s="8">
        <v>16.0</v>
      </c>
      <c r="AS20" s="8">
        <v>4.0</v>
      </c>
      <c r="AT20" s="8">
        <v>3.0</v>
      </c>
      <c r="AU20" s="8">
        <v>2.0</v>
      </c>
      <c r="AV20" s="8">
        <v>0.155339805825242</v>
      </c>
      <c r="AW20" s="8">
        <v>0.0388349514563106</v>
      </c>
      <c r="AX20" s="8">
        <v>0.029126213592233</v>
      </c>
      <c r="AY20" s="8">
        <v>0.0194174757281553</v>
      </c>
      <c r="AZ20" s="8">
        <v>1.0</v>
      </c>
      <c r="BA20" s="8">
        <v>3.0</v>
      </c>
      <c r="BB20" s="8">
        <v>4.0</v>
      </c>
      <c r="BC20" s="8">
        <v>6.0</v>
      </c>
      <c r="BD20" s="8">
        <v>0.00970873786407766</v>
      </c>
      <c r="BE20" s="8">
        <v>0.029126213592233</v>
      </c>
      <c r="BF20" s="8">
        <v>0.0388349514563106</v>
      </c>
      <c r="BG20" s="8">
        <v>0.058252427184466</v>
      </c>
      <c r="BH20" s="8">
        <v>4.0</v>
      </c>
      <c r="BI20" s="8">
        <v>10.0</v>
      </c>
      <c r="BJ20" s="8">
        <v>10.0</v>
      </c>
      <c r="BK20" s="8">
        <v>7.0</v>
      </c>
      <c r="BL20" s="8">
        <v>7.0</v>
      </c>
      <c r="BM20" s="2" t="s">
        <v>394</v>
      </c>
      <c r="BN20" s="2" t="s">
        <v>395</v>
      </c>
      <c r="BO20" s="8">
        <v>79.0</v>
      </c>
      <c r="BP20" s="8">
        <v>480.0</v>
      </c>
      <c r="BQ20" s="8">
        <v>237.0</v>
      </c>
      <c r="BR20" s="8">
        <v>223.0</v>
      </c>
      <c r="BS20" s="8">
        <v>10.0</v>
      </c>
      <c r="BT20" s="8">
        <v>12.0</v>
      </c>
      <c r="BU20" s="10" t="b">
        <v>1</v>
      </c>
      <c r="BV20" s="10" t="b">
        <v>0</v>
      </c>
      <c r="BW20" s="10" t="b">
        <v>1</v>
      </c>
      <c r="BX20" s="2" t="s">
        <v>396</v>
      </c>
      <c r="BY20" s="8">
        <v>103.0</v>
      </c>
      <c r="BZ20" s="2"/>
      <c r="CA20" s="2"/>
    </row>
    <row r="21">
      <c r="A21" s="2" t="s">
        <v>397</v>
      </c>
      <c r="B21" s="2" t="s">
        <v>121</v>
      </c>
      <c r="C21" s="8">
        <v>0.0</v>
      </c>
      <c r="D21" s="2" t="s">
        <v>71</v>
      </c>
      <c r="E21" s="2" t="s">
        <v>122</v>
      </c>
      <c r="F21" s="10" t="b">
        <v>1</v>
      </c>
      <c r="G21" s="2"/>
      <c r="H21" s="2"/>
      <c r="I21" s="2"/>
      <c r="J21" s="2"/>
      <c r="K21" s="2" t="s">
        <v>398</v>
      </c>
      <c r="L21" s="2" t="s">
        <v>399</v>
      </c>
      <c r="M21" s="2"/>
      <c r="N21" s="2" t="s">
        <v>400</v>
      </c>
      <c r="O21" s="2" t="s">
        <v>401</v>
      </c>
      <c r="P21" s="10" t="b">
        <v>0</v>
      </c>
      <c r="Q21" s="2"/>
      <c r="R21" s="2"/>
      <c r="S21" s="8">
        <v>121.0</v>
      </c>
      <c r="T21" s="8">
        <v>127.0</v>
      </c>
      <c r="U21" s="8">
        <v>2.35476970477211</v>
      </c>
      <c r="V21" s="8">
        <v>53.9330872749997</v>
      </c>
      <c r="W21" s="8">
        <v>0.0463079301146859</v>
      </c>
      <c r="X21" s="8">
        <v>1.06078791618347</v>
      </c>
      <c r="Y21" s="8">
        <v>10.8151456202109</v>
      </c>
      <c r="Z21" s="8">
        <v>0.25</v>
      </c>
      <c r="AA21" s="8">
        <v>0.0463079301146859</v>
      </c>
      <c r="AB21" s="8">
        <v>0.168711828315627</v>
      </c>
      <c r="AC21" s="11">
        <v>5.87363388149242E-7</v>
      </c>
      <c r="AD21" s="8">
        <v>1.06078791618347</v>
      </c>
      <c r="AE21" s="8">
        <v>2.16322732740081E-4</v>
      </c>
      <c r="AF21" s="8">
        <v>0.00352768506854772</v>
      </c>
      <c r="AG21" s="8">
        <v>0.0277137521654367</v>
      </c>
      <c r="AH21" s="8">
        <v>0.398124676942824</v>
      </c>
      <c r="AI21" s="8">
        <v>0.885214917659758</v>
      </c>
      <c r="AJ21" s="8">
        <v>10.8151456202109</v>
      </c>
      <c r="AK21" s="8">
        <v>3.84593093931352</v>
      </c>
      <c r="AL21" s="8">
        <v>0.25</v>
      </c>
      <c r="AM21" s="8">
        <v>18.2265625</v>
      </c>
      <c r="AN21" s="8">
        <v>11.9431819915771</v>
      </c>
      <c r="AO21" s="8">
        <v>2.625</v>
      </c>
      <c r="AP21" s="8">
        <v>5.86306762695312</v>
      </c>
      <c r="AQ21" s="8">
        <v>8.39346694946289</v>
      </c>
      <c r="AR21" s="8">
        <v>5.0</v>
      </c>
      <c r="AS21" s="8">
        <v>1.0</v>
      </c>
      <c r="AT21" s="8">
        <v>0.0</v>
      </c>
      <c r="AU21" s="8">
        <v>0.0</v>
      </c>
      <c r="AV21" s="8">
        <v>0.0393700787401574</v>
      </c>
      <c r="AW21" s="8">
        <v>0.00787401574803149</v>
      </c>
      <c r="AX21" s="8">
        <v>0.0</v>
      </c>
      <c r="AY21" s="8">
        <v>0.0</v>
      </c>
      <c r="AZ21" s="8">
        <v>0.0</v>
      </c>
      <c r="BA21" s="8">
        <v>0.0</v>
      </c>
      <c r="BB21" s="8">
        <v>1.0</v>
      </c>
      <c r="BC21" s="8">
        <v>3.0</v>
      </c>
      <c r="BD21" s="8">
        <v>0.0</v>
      </c>
      <c r="BE21" s="8">
        <v>0.0</v>
      </c>
      <c r="BF21" s="8">
        <v>0.00787401574803149</v>
      </c>
      <c r="BG21" s="8">
        <v>0.0236220472440944</v>
      </c>
      <c r="BH21" s="8">
        <v>9.0</v>
      </c>
      <c r="BI21" s="2"/>
      <c r="BJ21" s="2"/>
      <c r="BK21" s="2"/>
      <c r="BL21" s="8">
        <v>9.0</v>
      </c>
      <c r="BM21" s="2" t="s">
        <v>406</v>
      </c>
      <c r="BN21" s="2" t="s">
        <v>407</v>
      </c>
      <c r="BO21" s="8">
        <v>77.0</v>
      </c>
      <c r="BP21" s="8">
        <v>466.0</v>
      </c>
      <c r="BQ21" s="8">
        <v>299.0</v>
      </c>
      <c r="BR21" s="8">
        <v>285.0</v>
      </c>
      <c r="BS21" s="8">
        <v>8.0</v>
      </c>
      <c r="BT21" s="8">
        <v>10.0</v>
      </c>
      <c r="BU21" s="10" t="b">
        <v>1</v>
      </c>
      <c r="BV21" s="10" t="b">
        <v>0</v>
      </c>
      <c r="BW21" s="10" t="b">
        <v>1</v>
      </c>
      <c r="BX21" s="2" t="s">
        <v>74</v>
      </c>
      <c r="BY21" s="8">
        <v>127.0</v>
      </c>
      <c r="BZ21" s="2"/>
      <c r="CA21" s="2"/>
    </row>
    <row r="22">
      <c r="A22" s="2" t="s">
        <v>408</v>
      </c>
      <c r="B22" s="2" t="s">
        <v>121</v>
      </c>
      <c r="C22" s="8">
        <v>0.0</v>
      </c>
      <c r="D22" s="2" t="s">
        <v>71</v>
      </c>
      <c r="E22" s="2" t="s">
        <v>122</v>
      </c>
      <c r="F22" s="10" t="b">
        <v>1</v>
      </c>
      <c r="G22" s="2"/>
      <c r="H22" s="2"/>
      <c r="I22" s="2"/>
      <c r="J22" s="2"/>
      <c r="K22" s="2" t="s">
        <v>409</v>
      </c>
      <c r="L22" s="2" t="s">
        <v>410</v>
      </c>
      <c r="M22" s="2"/>
      <c r="N22" s="2" t="s">
        <v>411</v>
      </c>
      <c r="O22" s="2" t="s">
        <v>412</v>
      </c>
      <c r="P22" s="10" t="b">
        <v>0</v>
      </c>
      <c r="Q22" s="2"/>
      <c r="R22" s="2"/>
      <c r="S22" s="8">
        <v>123.0</v>
      </c>
      <c r="T22" s="8">
        <v>125.0</v>
      </c>
      <c r="U22" s="8">
        <v>2.35624938222685</v>
      </c>
      <c r="V22" s="8">
        <v>53.0504117870004</v>
      </c>
      <c r="W22" s="8">
        <v>0.100949649790263</v>
      </c>
      <c r="X22" s="8">
        <v>1.61039662361145</v>
      </c>
      <c r="Y22" s="8">
        <v>8.28630152130126</v>
      </c>
      <c r="Z22" s="8">
        <v>0.164773941040039</v>
      </c>
      <c r="AA22" s="8">
        <v>0.100949649790263</v>
      </c>
      <c r="AB22" s="8">
        <v>0.290649294092888</v>
      </c>
      <c r="AC22" s="11">
        <v>3.70564953300345E-6</v>
      </c>
      <c r="AD22" s="8">
        <v>1.61039662361145</v>
      </c>
      <c r="AE22" s="8">
        <v>0.00289028044790029</v>
      </c>
      <c r="AF22" s="8">
        <v>0.0146095985546708</v>
      </c>
      <c r="AG22" s="8">
        <v>0.309613239765168</v>
      </c>
      <c r="AH22" s="8">
        <v>0.705442547798156</v>
      </c>
      <c r="AI22" s="8">
        <v>1.45436880111694</v>
      </c>
      <c r="AJ22" s="8">
        <v>8.28630152130126</v>
      </c>
      <c r="AK22" s="8">
        <v>3.38706567104614</v>
      </c>
      <c r="AL22" s="8">
        <v>0.164773941040039</v>
      </c>
      <c r="AM22" s="8">
        <v>15.9730110168457</v>
      </c>
      <c r="AN22" s="8">
        <v>8.80539894104003</v>
      </c>
      <c r="AO22" s="8">
        <v>1.09886360168457</v>
      </c>
      <c r="AP22" s="8">
        <v>2.61221618652343</v>
      </c>
      <c r="AQ22" s="8">
        <v>7.046875</v>
      </c>
      <c r="AR22" s="8">
        <v>10.0</v>
      </c>
      <c r="AS22" s="8">
        <v>4.0</v>
      </c>
      <c r="AT22" s="8">
        <v>2.0</v>
      </c>
      <c r="AU22" s="8">
        <v>0.0</v>
      </c>
      <c r="AV22" s="8">
        <v>0.08</v>
      </c>
      <c r="AW22" s="8">
        <v>0.032</v>
      </c>
      <c r="AX22" s="8">
        <v>0.016</v>
      </c>
      <c r="AY22" s="8">
        <v>0.0</v>
      </c>
      <c r="AZ22" s="8">
        <v>0.0</v>
      </c>
      <c r="BA22" s="8">
        <v>1.0</v>
      </c>
      <c r="BB22" s="8">
        <v>3.0</v>
      </c>
      <c r="BC22" s="8">
        <v>6.0</v>
      </c>
      <c r="BD22" s="8">
        <v>0.0</v>
      </c>
      <c r="BE22" s="8">
        <v>0.008</v>
      </c>
      <c r="BF22" s="8">
        <v>0.024</v>
      </c>
      <c r="BG22" s="8">
        <v>0.048</v>
      </c>
      <c r="BH22" s="8">
        <v>7.0</v>
      </c>
      <c r="BI22" s="8">
        <v>14.0</v>
      </c>
      <c r="BJ22" s="2"/>
      <c r="BK22" s="8">
        <v>122.0</v>
      </c>
      <c r="BL22" s="8">
        <v>94.0</v>
      </c>
      <c r="BM22" s="2" t="s">
        <v>417</v>
      </c>
      <c r="BN22" s="2" t="s">
        <v>418</v>
      </c>
      <c r="BO22" s="8">
        <v>75.0</v>
      </c>
      <c r="BP22" s="8">
        <v>471.0</v>
      </c>
      <c r="BQ22" s="8">
        <v>534.0</v>
      </c>
      <c r="BR22" s="8">
        <v>520.0</v>
      </c>
      <c r="BS22" s="8">
        <v>17.0</v>
      </c>
      <c r="BT22" s="8">
        <v>19.0</v>
      </c>
      <c r="BU22" s="10" t="b">
        <v>1</v>
      </c>
      <c r="BV22" s="10" t="b">
        <v>0</v>
      </c>
      <c r="BW22" s="10" t="b">
        <v>1</v>
      </c>
      <c r="BX22" s="2" t="s">
        <v>74</v>
      </c>
      <c r="BY22" s="8">
        <v>125.0</v>
      </c>
      <c r="BZ22" s="2"/>
      <c r="CA22" s="2"/>
    </row>
    <row r="23">
      <c r="A23" s="2" t="s">
        <v>419</v>
      </c>
      <c r="B23" s="2" t="s">
        <v>121</v>
      </c>
      <c r="C23" s="8">
        <v>0.0</v>
      </c>
      <c r="D23" s="2" t="s">
        <v>71</v>
      </c>
      <c r="E23" s="2" t="s">
        <v>122</v>
      </c>
      <c r="F23" s="10" t="b">
        <v>1</v>
      </c>
      <c r="G23" s="2"/>
      <c r="H23" s="2"/>
      <c r="I23" s="2"/>
      <c r="J23" s="2"/>
      <c r="K23" s="2" t="s">
        <v>420</v>
      </c>
      <c r="L23" s="2" t="s">
        <v>421</v>
      </c>
      <c r="M23" s="2"/>
      <c r="N23" s="2" t="s">
        <v>422</v>
      </c>
      <c r="O23" s="2" t="s">
        <v>423</v>
      </c>
      <c r="P23" s="10" t="b">
        <v>0</v>
      </c>
      <c r="Q23" s="2"/>
      <c r="R23" s="2"/>
      <c r="S23" s="8">
        <v>136.0</v>
      </c>
      <c r="T23" s="8">
        <v>33.0</v>
      </c>
      <c r="U23" s="8">
        <v>2.3567261468857</v>
      </c>
      <c r="V23" s="8">
        <v>14.002475444</v>
      </c>
      <c r="W23" s="8">
        <v>0.203769804824415</v>
      </c>
      <c r="X23" s="8">
        <v>1.06083667278289</v>
      </c>
      <c r="Y23" s="8">
        <v>6.74711629116173</v>
      </c>
      <c r="Z23" s="8">
        <v>0.15625</v>
      </c>
      <c r="AA23" s="8">
        <v>0.203769804824415</v>
      </c>
      <c r="AB23" s="8">
        <v>0.303254265559685</v>
      </c>
      <c r="AC23" s="11">
        <v>1.48330336742219E-5</v>
      </c>
      <c r="AD23" s="8">
        <v>1.06083667278289</v>
      </c>
      <c r="AE23" s="8">
        <v>0.0317549742758274</v>
      </c>
      <c r="AF23" s="8">
        <v>0.297808617353439</v>
      </c>
      <c r="AG23" s="8">
        <v>0.708743917942047</v>
      </c>
      <c r="AH23" s="8">
        <v>0.81834053993225</v>
      </c>
      <c r="AI23" s="8">
        <v>1.01409421443939</v>
      </c>
      <c r="AJ23" s="8">
        <v>6.74711629116173</v>
      </c>
      <c r="AK23" s="8">
        <v>4.58277443651833</v>
      </c>
      <c r="AL23" s="8">
        <v>0.15625</v>
      </c>
      <c r="AM23" s="8">
        <v>15.3082380294799</v>
      </c>
      <c r="AN23" s="8">
        <v>6.27840995788574</v>
      </c>
      <c r="AO23" s="8">
        <v>0.604545974731445</v>
      </c>
      <c r="AP23" s="8">
        <v>1.18096618652343</v>
      </c>
      <c r="AQ23" s="8">
        <v>2.6917610168457</v>
      </c>
      <c r="AR23" s="8">
        <v>5.0</v>
      </c>
      <c r="AS23" s="8">
        <v>1.0</v>
      </c>
      <c r="AT23" s="8">
        <v>0.0</v>
      </c>
      <c r="AU23" s="8">
        <v>0.0</v>
      </c>
      <c r="AV23" s="8">
        <v>0.151515151515151</v>
      </c>
      <c r="AW23" s="8">
        <v>0.0303030303030303</v>
      </c>
      <c r="AX23" s="8">
        <v>0.0</v>
      </c>
      <c r="AY23" s="8">
        <v>0.0</v>
      </c>
      <c r="AZ23" s="8">
        <v>0.0</v>
      </c>
      <c r="BA23" s="8">
        <v>1.0</v>
      </c>
      <c r="BB23" s="8">
        <v>2.0</v>
      </c>
      <c r="BC23" s="8">
        <v>3.0</v>
      </c>
      <c r="BD23" s="8">
        <v>0.0</v>
      </c>
      <c r="BE23" s="8">
        <v>0.0303030303030303</v>
      </c>
      <c r="BF23" s="8">
        <v>0.0606060606060606</v>
      </c>
      <c r="BG23" s="8">
        <v>0.0909090909090909</v>
      </c>
      <c r="BH23" s="8">
        <v>6.0</v>
      </c>
      <c r="BI23" s="2"/>
      <c r="BJ23" s="2"/>
      <c r="BK23" s="8">
        <v>14.0</v>
      </c>
      <c r="BL23" s="8">
        <v>10.0</v>
      </c>
      <c r="BM23" s="2" t="s">
        <v>428</v>
      </c>
      <c r="BN23" s="2" t="s">
        <v>430</v>
      </c>
      <c r="BO23" s="8">
        <v>79.0</v>
      </c>
      <c r="BP23" s="8">
        <v>495.0</v>
      </c>
      <c r="BQ23" s="8">
        <v>109.0</v>
      </c>
      <c r="BR23" s="8">
        <v>95.0</v>
      </c>
      <c r="BS23" s="8">
        <v>3.0</v>
      </c>
      <c r="BT23" s="8">
        <v>5.0</v>
      </c>
      <c r="BU23" s="10" t="b">
        <v>1</v>
      </c>
      <c r="BV23" s="10" t="b">
        <v>0</v>
      </c>
      <c r="BW23" s="10" t="b">
        <v>1</v>
      </c>
      <c r="BX23" s="2" t="s">
        <v>74</v>
      </c>
      <c r="BY23" s="8">
        <v>33.0</v>
      </c>
      <c r="BZ23" s="2"/>
      <c r="CA23" s="2"/>
    </row>
    <row r="24">
      <c r="A24" s="2" t="s">
        <v>433</v>
      </c>
      <c r="B24" s="2" t="s">
        <v>121</v>
      </c>
      <c r="C24" s="8">
        <v>0.0</v>
      </c>
      <c r="D24" s="2" t="s">
        <v>71</v>
      </c>
      <c r="E24" s="2" t="s">
        <v>122</v>
      </c>
      <c r="F24" s="10" t="b">
        <v>1</v>
      </c>
      <c r="G24" s="2"/>
      <c r="H24" s="2"/>
      <c r="I24" s="2"/>
      <c r="J24" s="2"/>
      <c r="K24" s="2" t="s">
        <v>435</v>
      </c>
      <c r="L24" s="2" t="s">
        <v>437</v>
      </c>
      <c r="M24" s="2"/>
      <c r="N24" s="2" t="s">
        <v>438</v>
      </c>
      <c r="O24" s="2" t="s">
        <v>439</v>
      </c>
      <c r="P24" s="10" t="b">
        <v>0</v>
      </c>
      <c r="Q24" s="2"/>
      <c r="R24" s="2"/>
      <c r="S24" s="8">
        <v>180.0</v>
      </c>
      <c r="T24" s="8">
        <v>122.0</v>
      </c>
      <c r="U24" s="8">
        <v>2.35668465350382</v>
      </c>
      <c r="V24" s="8">
        <v>51.767638839</v>
      </c>
      <c r="W24" s="8">
        <v>0.0964762641560661</v>
      </c>
      <c r="X24" s="8">
        <v>1.48096787929534</v>
      </c>
      <c r="Y24" s="8">
        <v>8.82407949009879</v>
      </c>
      <c r="Z24" s="8">
        <v>0.125</v>
      </c>
      <c r="AA24" s="8">
        <v>0.0964762641560661</v>
      </c>
      <c r="AB24" s="8">
        <v>0.254965082771128</v>
      </c>
      <c r="AC24" s="11">
        <v>5.9119333855051E-6</v>
      </c>
      <c r="AD24" s="8">
        <v>1.48096787929534</v>
      </c>
      <c r="AE24" s="8">
        <v>0.00151130865560844</v>
      </c>
      <c r="AF24" s="8">
        <v>0.0154406724032014</v>
      </c>
      <c r="AG24" s="8">
        <v>0.374216446280479</v>
      </c>
      <c r="AH24" s="8">
        <v>0.687622171640394</v>
      </c>
      <c r="AI24" s="8">
        <v>1.20425910711288</v>
      </c>
      <c r="AJ24" s="8">
        <v>8.82407949009879</v>
      </c>
      <c r="AK24" s="8">
        <v>3.86763382206127</v>
      </c>
      <c r="AL24" s="8">
        <v>0.125</v>
      </c>
      <c r="AM24" s="8">
        <v>16.0078125</v>
      </c>
      <c r="AN24" s="8">
        <v>9.44034099578857</v>
      </c>
      <c r="AO24" s="8">
        <v>1.22492914199829</v>
      </c>
      <c r="AP24" s="8">
        <v>2.60085220336914</v>
      </c>
      <c r="AQ24" s="8">
        <v>7.02272844314575</v>
      </c>
      <c r="AR24" s="8">
        <v>9.0</v>
      </c>
      <c r="AS24" s="8">
        <v>3.0</v>
      </c>
      <c r="AT24" s="8">
        <v>0.0</v>
      </c>
      <c r="AU24" s="8">
        <v>0.0</v>
      </c>
      <c r="AV24" s="8">
        <v>0.0737704918032786</v>
      </c>
      <c r="AW24" s="8">
        <v>0.0245901639344262</v>
      </c>
      <c r="AX24" s="8">
        <v>0.0</v>
      </c>
      <c r="AY24" s="8">
        <v>0.0</v>
      </c>
      <c r="AZ24" s="8">
        <v>0.0</v>
      </c>
      <c r="BA24" s="8">
        <v>1.0</v>
      </c>
      <c r="BB24" s="8">
        <v>1.0</v>
      </c>
      <c r="BC24" s="8">
        <v>4.0</v>
      </c>
      <c r="BD24" s="8">
        <v>0.0</v>
      </c>
      <c r="BE24" s="8">
        <v>0.00819672131147541</v>
      </c>
      <c r="BF24" s="8">
        <v>0.00819672131147541</v>
      </c>
      <c r="BG24" s="8">
        <v>0.0327868852459016</v>
      </c>
      <c r="BH24" s="8">
        <v>6.0</v>
      </c>
      <c r="BI24" s="2"/>
      <c r="BJ24" s="2"/>
      <c r="BK24" s="8">
        <v>32.0</v>
      </c>
      <c r="BL24" s="8">
        <v>32.0</v>
      </c>
      <c r="BM24" s="2" t="s">
        <v>441</v>
      </c>
      <c r="BN24" s="2" t="s">
        <v>442</v>
      </c>
      <c r="BO24" s="8">
        <v>44.0</v>
      </c>
      <c r="BP24" s="8">
        <v>488.0</v>
      </c>
      <c r="BQ24" s="8">
        <v>437.0</v>
      </c>
      <c r="BR24" s="8">
        <v>423.0</v>
      </c>
      <c r="BS24" s="8">
        <v>19.0</v>
      </c>
      <c r="BT24" s="8">
        <v>21.0</v>
      </c>
      <c r="BU24" s="10" t="b">
        <v>1</v>
      </c>
      <c r="BV24" s="10" t="b">
        <v>0</v>
      </c>
      <c r="BW24" s="10" t="b">
        <v>1</v>
      </c>
      <c r="BX24" s="2" t="s">
        <v>74</v>
      </c>
      <c r="BY24" s="8">
        <v>122.0</v>
      </c>
      <c r="BZ24" s="2"/>
      <c r="CA24" s="2"/>
    </row>
    <row r="25">
      <c r="A25" s="2" t="s">
        <v>445</v>
      </c>
      <c r="B25" s="2" t="s">
        <v>121</v>
      </c>
      <c r="C25" s="8">
        <v>0.0</v>
      </c>
      <c r="D25" s="2" t="s">
        <v>71</v>
      </c>
      <c r="E25" s="2" t="s">
        <v>122</v>
      </c>
      <c r="F25" s="10" t="b">
        <v>0</v>
      </c>
      <c r="G25" s="2" t="s">
        <v>198</v>
      </c>
      <c r="H25" s="2" t="s">
        <v>247</v>
      </c>
      <c r="I25" s="2" t="s">
        <v>447</v>
      </c>
      <c r="J25" s="2"/>
      <c r="K25" s="2" t="s">
        <v>448</v>
      </c>
      <c r="L25" s="2" t="s">
        <v>449</v>
      </c>
      <c r="M25" s="2"/>
      <c r="N25" s="2" t="s">
        <v>450</v>
      </c>
      <c r="O25" s="2" t="s">
        <v>451</v>
      </c>
      <c r="P25" s="10" t="b">
        <v>0</v>
      </c>
      <c r="Q25" s="2"/>
      <c r="R25" s="2"/>
      <c r="S25" s="8">
        <v>99.0</v>
      </c>
      <c r="T25" s="8">
        <v>24.0</v>
      </c>
      <c r="U25" s="8">
        <v>2.35905113602753</v>
      </c>
      <c r="V25" s="8">
        <v>10.1735819260002</v>
      </c>
      <c r="W25" s="8">
        <v>0.349911750352475</v>
      </c>
      <c r="X25" s="8">
        <v>1.16661715507507</v>
      </c>
      <c r="Y25" s="8">
        <v>4.28844137986501</v>
      </c>
      <c r="Z25" s="8">
        <v>0.125</v>
      </c>
      <c r="AA25" s="8">
        <v>0.349911750352475</v>
      </c>
      <c r="AB25" s="8">
        <v>0.374993134433201</v>
      </c>
      <c r="AC25" s="8">
        <v>0.00106935878284275</v>
      </c>
      <c r="AD25" s="8">
        <v>1.16661715507507</v>
      </c>
      <c r="AE25" s="8">
        <v>0.110857542604207</v>
      </c>
      <c r="AF25" s="8">
        <v>0.644089773297309</v>
      </c>
      <c r="AG25" s="8">
        <v>0.806240880489349</v>
      </c>
      <c r="AH25" s="8">
        <v>0.895187810063361</v>
      </c>
      <c r="AI25" s="8">
        <v>1.10690667748451</v>
      </c>
      <c r="AJ25" s="8">
        <v>4.28844137986501</v>
      </c>
      <c r="AK25" s="8">
        <v>3.23358224317718</v>
      </c>
      <c r="AL25" s="8">
        <v>0.125</v>
      </c>
      <c r="AM25" s="8">
        <v>10.0426149368286</v>
      </c>
      <c r="AN25" s="8">
        <v>4.14204597473144</v>
      </c>
      <c r="AO25" s="8">
        <v>0.715625</v>
      </c>
      <c r="AP25" s="8">
        <v>0.9125</v>
      </c>
      <c r="AQ25" s="8">
        <v>1.1796875</v>
      </c>
      <c r="AR25" s="8">
        <v>10.0</v>
      </c>
      <c r="AS25" s="8">
        <v>1.0</v>
      </c>
      <c r="AT25" s="8">
        <v>0.0</v>
      </c>
      <c r="AU25" s="8">
        <v>0.0</v>
      </c>
      <c r="AV25" s="8">
        <v>0.416666666666666</v>
      </c>
      <c r="AW25" s="8">
        <v>0.0416666666666666</v>
      </c>
      <c r="AX25" s="8">
        <v>0.0</v>
      </c>
      <c r="AY25" s="8">
        <v>0.0</v>
      </c>
      <c r="AZ25" s="8">
        <v>0.0</v>
      </c>
      <c r="BA25" s="8">
        <v>1.0</v>
      </c>
      <c r="BB25" s="8">
        <v>1.0</v>
      </c>
      <c r="BC25" s="8">
        <v>3.0</v>
      </c>
      <c r="BD25" s="8">
        <v>0.0</v>
      </c>
      <c r="BE25" s="8">
        <v>0.0416666666666666</v>
      </c>
      <c r="BF25" s="8">
        <v>0.0416666666666666</v>
      </c>
      <c r="BG25" s="8">
        <v>0.125</v>
      </c>
      <c r="BH25" s="8">
        <v>17.0</v>
      </c>
      <c r="BI25" s="2"/>
      <c r="BJ25" s="2"/>
      <c r="BK25" s="8">
        <v>8.0</v>
      </c>
      <c r="BL25" s="8">
        <v>8.0</v>
      </c>
      <c r="BM25" s="2" t="s">
        <v>452</v>
      </c>
      <c r="BN25" s="2" t="s">
        <v>454</v>
      </c>
      <c r="BO25" s="8">
        <v>117.0</v>
      </c>
      <c r="BP25" s="8">
        <v>472.0</v>
      </c>
      <c r="BQ25" s="8">
        <v>57.0</v>
      </c>
      <c r="BR25" s="8">
        <v>43.0</v>
      </c>
      <c r="BS25" s="8">
        <v>2.0</v>
      </c>
      <c r="BT25" s="8">
        <v>4.0</v>
      </c>
      <c r="BU25" s="10" t="b">
        <v>1</v>
      </c>
      <c r="BV25" s="10" t="b">
        <v>0</v>
      </c>
      <c r="BW25" s="10" t="b">
        <v>1</v>
      </c>
      <c r="BX25" s="2" t="s">
        <v>455</v>
      </c>
      <c r="BY25" s="8">
        <v>24.0</v>
      </c>
      <c r="BZ25" s="2"/>
      <c r="CA25" s="2"/>
    </row>
    <row r="26">
      <c r="A26" s="2" t="s">
        <v>457</v>
      </c>
      <c r="B26" s="2" t="s">
        <v>121</v>
      </c>
      <c r="C26" s="8">
        <v>0.0</v>
      </c>
      <c r="D26" s="2" t="s">
        <v>71</v>
      </c>
      <c r="E26" s="2" t="s">
        <v>122</v>
      </c>
      <c r="F26" s="10" t="b">
        <v>1</v>
      </c>
      <c r="G26" s="2"/>
      <c r="H26" s="2"/>
      <c r="I26" s="2"/>
      <c r="J26" s="2"/>
      <c r="K26" s="2" t="s">
        <v>460</v>
      </c>
      <c r="L26" s="2" t="s">
        <v>461</v>
      </c>
      <c r="M26" s="2"/>
      <c r="N26" s="2" t="s">
        <v>462</v>
      </c>
      <c r="O26" s="2" t="s">
        <v>463</v>
      </c>
      <c r="P26" s="10" t="b">
        <v>0</v>
      </c>
      <c r="Q26" s="2"/>
      <c r="R26" s="2"/>
      <c r="S26" s="8">
        <v>126.0</v>
      </c>
      <c r="T26" s="8">
        <v>115.0</v>
      </c>
      <c r="U26" s="8">
        <v>2.3547022252388</v>
      </c>
      <c r="V26" s="8">
        <v>48.8384470729997</v>
      </c>
      <c r="W26" s="8">
        <v>0.101831346964741</v>
      </c>
      <c r="X26" s="8">
        <v>1.55507206916809</v>
      </c>
      <c r="Y26" s="8">
        <v>9.46009186454441</v>
      </c>
      <c r="Z26" s="8">
        <v>0.363637924194335</v>
      </c>
      <c r="AA26" s="8">
        <v>0.101831346964741</v>
      </c>
      <c r="AB26" s="8">
        <v>0.249029489584715</v>
      </c>
      <c r="AC26" s="11">
        <v>4.7928197091096E-6</v>
      </c>
      <c r="AD26" s="8">
        <v>1.55507206916809</v>
      </c>
      <c r="AE26" s="8">
        <v>4.6172525617294E-4</v>
      </c>
      <c r="AF26" s="8">
        <v>0.015730804298073</v>
      </c>
      <c r="AG26" s="8">
        <v>0.473078578710556</v>
      </c>
      <c r="AH26" s="8">
        <v>0.653060406446456</v>
      </c>
      <c r="AI26" s="8">
        <v>0.931795223951339</v>
      </c>
      <c r="AJ26" s="8">
        <v>9.46009186454441</v>
      </c>
      <c r="AK26" s="8">
        <v>4.3143786808676</v>
      </c>
      <c r="AL26" s="8">
        <v>0.363637924194335</v>
      </c>
      <c r="AM26" s="8">
        <v>15.8380661010742</v>
      </c>
      <c r="AN26" s="8">
        <v>10.8664770126342</v>
      </c>
      <c r="AO26" s="8">
        <v>1.589914894104</v>
      </c>
      <c r="AP26" s="8">
        <v>2.26051177978515</v>
      </c>
      <c r="AQ26" s="8">
        <v>6.64382171630859</v>
      </c>
      <c r="AR26" s="8">
        <v>11.0</v>
      </c>
      <c r="AS26" s="8">
        <v>1.0</v>
      </c>
      <c r="AT26" s="8">
        <v>1.0</v>
      </c>
      <c r="AU26" s="8">
        <v>0.0</v>
      </c>
      <c r="AV26" s="8">
        <v>0.0956521739130434</v>
      </c>
      <c r="AW26" s="8">
        <v>0.00869565217391304</v>
      </c>
      <c r="AX26" s="8">
        <v>0.00869565217391304</v>
      </c>
      <c r="AY26" s="8">
        <v>0.0</v>
      </c>
      <c r="AZ26" s="8">
        <v>0.0</v>
      </c>
      <c r="BA26" s="8">
        <v>0.0</v>
      </c>
      <c r="BB26" s="8">
        <v>1.0</v>
      </c>
      <c r="BC26" s="8">
        <v>2.0</v>
      </c>
      <c r="BD26" s="8">
        <v>0.0</v>
      </c>
      <c r="BE26" s="8">
        <v>0.0</v>
      </c>
      <c r="BF26" s="8">
        <v>0.00869565217391304</v>
      </c>
      <c r="BG26" s="8">
        <v>0.017391304347826</v>
      </c>
      <c r="BH26" s="8">
        <v>7.0</v>
      </c>
      <c r="BI26" s="8">
        <v>7.0</v>
      </c>
      <c r="BJ26" s="2"/>
      <c r="BK26" s="2"/>
      <c r="BL26" s="8">
        <v>112.0</v>
      </c>
      <c r="BM26" s="2" t="s">
        <v>468</v>
      </c>
      <c r="BN26" s="2" t="s">
        <v>469</v>
      </c>
      <c r="BO26" s="8">
        <v>86.0</v>
      </c>
      <c r="BP26" s="8">
        <v>560.0</v>
      </c>
      <c r="BQ26" s="8">
        <v>541.0</v>
      </c>
      <c r="BR26" s="8">
        <v>527.0</v>
      </c>
      <c r="BS26" s="8">
        <v>17.0</v>
      </c>
      <c r="BT26" s="8">
        <v>19.0</v>
      </c>
      <c r="BU26" s="10" t="b">
        <v>1</v>
      </c>
      <c r="BV26" s="10" t="b">
        <v>0</v>
      </c>
      <c r="BW26" s="10" t="b">
        <v>1</v>
      </c>
      <c r="BX26" s="2" t="s">
        <v>74</v>
      </c>
      <c r="BY26" s="8">
        <v>115.0</v>
      </c>
      <c r="BZ26" s="2"/>
      <c r="CA26" s="2"/>
    </row>
    <row r="27">
      <c r="A27" s="2" t="s">
        <v>470</v>
      </c>
      <c r="B27" s="2" t="s">
        <v>121</v>
      </c>
      <c r="C27" s="8">
        <v>0.0</v>
      </c>
      <c r="D27" s="2" t="s">
        <v>71</v>
      </c>
      <c r="E27" s="2" t="s">
        <v>122</v>
      </c>
      <c r="F27" s="10" t="b">
        <v>1</v>
      </c>
      <c r="G27" s="2"/>
      <c r="H27" s="2"/>
      <c r="I27" s="2"/>
      <c r="J27" s="2"/>
      <c r="K27" s="2" t="s">
        <v>471</v>
      </c>
      <c r="L27" s="2" t="s">
        <v>472</v>
      </c>
      <c r="M27" s="2"/>
      <c r="N27" s="2" t="s">
        <v>473</v>
      </c>
      <c r="O27" s="2" t="s">
        <v>474</v>
      </c>
      <c r="P27" s="10" t="b">
        <v>0</v>
      </c>
      <c r="Q27" s="2"/>
      <c r="R27" s="2"/>
      <c r="S27" s="8">
        <v>214.0</v>
      </c>
      <c r="T27" s="8">
        <v>41.0</v>
      </c>
      <c r="U27" s="8">
        <v>2.33419090079943</v>
      </c>
      <c r="V27" s="8">
        <v>17.5649729360002</v>
      </c>
      <c r="W27" s="8">
        <v>0.193499705774051</v>
      </c>
      <c r="X27" s="8">
        <v>1.80801880359649</v>
      </c>
      <c r="Y27" s="8">
        <v>7.44775525535025</v>
      </c>
      <c r="Z27" s="8">
        <v>0.046875</v>
      </c>
      <c r="AA27" s="8">
        <v>0.193499705774051</v>
      </c>
      <c r="AB27" s="8">
        <v>0.399407435076856</v>
      </c>
      <c r="AC27" s="11">
        <v>2.410674096609E-5</v>
      </c>
      <c r="AD27" s="8">
        <v>1.80801880359649</v>
      </c>
      <c r="AE27" s="8">
        <v>0.00631966162472963</v>
      </c>
      <c r="AF27" s="8">
        <v>0.0821539014577865</v>
      </c>
      <c r="AG27" s="8">
        <v>0.739354193210601</v>
      </c>
      <c r="AH27" s="8">
        <v>0.874249696731567</v>
      </c>
      <c r="AI27" s="8">
        <v>1.5611163854599</v>
      </c>
      <c r="AJ27" s="8">
        <v>7.44775525535025</v>
      </c>
      <c r="AK27" s="8">
        <v>4.20010381779423</v>
      </c>
      <c r="AL27" s="8">
        <v>0.046875</v>
      </c>
      <c r="AM27" s="8">
        <v>14.140625</v>
      </c>
      <c r="AN27" s="8">
        <v>8.11931800842285</v>
      </c>
      <c r="AO27" s="8">
        <v>0.40625</v>
      </c>
      <c r="AP27" s="8">
        <v>0.765625</v>
      </c>
      <c r="AQ27" s="8">
        <v>4.21875</v>
      </c>
      <c r="AR27" s="8">
        <v>7.0</v>
      </c>
      <c r="AS27" s="8">
        <v>2.0</v>
      </c>
      <c r="AT27" s="8">
        <v>1.0</v>
      </c>
      <c r="AU27" s="8">
        <v>0.0</v>
      </c>
      <c r="AV27" s="8">
        <v>0.170731707317073</v>
      </c>
      <c r="AW27" s="8">
        <v>0.048780487804878</v>
      </c>
      <c r="AX27" s="8">
        <v>0.024390243902439</v>
      </c>
      <c r="AY27" s="8">
        <v>0.0</v>
      </c>
      <c r="AZ27" s="8">
        <v>1.0</v>
      </c>
      <c r="BA27" s="8">
        <v>2.0</v>
      </c>
      <c r="BB27" s="8">
        <v>4.0</v>
      </c>
      <c r="BC27" s="8">
        <v>5.0</v>
      </c>
      <c r="BD27" s="8">
        <v>0.024390243902439</v>
      </c>
      <c r="BE27" s="8">
        <v>0.048780487804878</v>
      </c>
      <c r="BF27" s="8">
        <v>0.0975609756097561</v>
      </c>
      <c r="BG27" s="8">
        <v>0.121951219512195</v>
      </c>
      <c r="BH27" s="8">
        <v>6.0</v>
      </c>
      <c r="BI27" s="8">
        <v>15.0</v>
      </c>
      <c r="BJ27" s="2"/>
      <c r="BK27" s="8">
        <v>10.0</v>
      </c>
      <c r="BL27" s="8">
        <v>10.0</v>
      </c>
      <c r="BM27" s="2" t="s">
        <v>479</v>
      </c>
      <c r="BN27" s="2" t="s">
        <v>480</v>
      </c>
      <c r="BO27" s="8">
        <v>101.0</v>
      </c>
      <c r="BP27" s="8">
        <v>599.0</v>
      </c>
      <c r="BQ27" s="8">
        <v>132.0</v>
      </c>
      <c r="BR27" s="8">
        <v>118.0</v>
      </c>
      <c r="BS27" s="8">
        <v>3.0</v>
      </c>
      <c r="BT27" s="8">
        <v>5.0</v>
      </c>
      <c r="BU27" s="10" t="b">
        <v>1</v>
      </c>
      <c r="BV27" s="10" t="b">
        <v>0</v>
      </c>
      <c r="BW27" s="10" t="b">
        <v>1</v>
      </c>
      <c r="BX27" s="2" t="s">
        <v>74</v>
      </c>
      <c r="BY27" s="8">
        <v>41.0</v>
      </c>
      <c r="BZ27" s="2"/>
      <c r="CA27" s="2"/>
    </row>
    <row r="28">
      <c r="A28" s="2" t="s">
        <v>481</v>
      </c>
      <c r="B28" s="2" t="s">
        <v>121</v>
      </c>
      <c r="C28" s="8">
        <v>0.0</v>
      </c>
      <c r="D28" s="2" t="s">
        <v>71</v>
      </c>
      <c r="E28" s="2" t="s">
        <v>122</v>
      </c>
      <c r="F28" s="10" t="b">
        <v>1</v>
      </c>
      <c r="G28" s="2"/>
      <c r="H28" s="2"/>
      <c r="I28" s="2"/>
      <c r="J28" s="2"/>
      <c r="K28" s="2" t="s">
        <v>482</v>
      </c>
      <c r="L28" s="2" t="s">
        <v>483</v>
      </c>
      <c r="M28" s="2"/>
      <c r="N28" s="2" t="s">
        <v>484</v>
      </c>
      <c r="O28" s="2" t="s">
        <v>485</v>
      </c>
      <c r="P28" s="10" t="b">
        <v>0</v>
      </c>
      <c r="Q28" s="2"/>
      <c r="R28" s="2"/>
      <c r="S28" s="8">
        <v>104.0</v>
      </c>
      <c r="T28" s="8">
        <v>22.0</v>
      </c>
      <c r="U28" s="8">
        <v>2.33677448535589</v>
      </c>
      <c r="V28" s="8">
        <v>9.41468684199935</v>
      </c>
      <c r="W28" s="8">
        <v>0.266075684800109</v>
      </c>
      <c r="X28" s="8">
        <v>2.0666708946228</v>
      </c>
      <c r="Y28" s="8">
        <v>6.46032450415871</v>
      </c>
      <c r="Z28" s="8">
        <v>0.3125</v>
      </c>
      <c r="AA28" s="8">
        <v>0.266075684800109</v>
      </c>
      <c r="AB28" s="8">
        <v>0.507281815083086</v>
      </c>
      <c r="AC28" s="8">
        <v>2.93784833047539E-4</v>
      </c>
      <c r="AD28" s="8">
        <v>2.0666708946228</v>
      </c>
      <c r="AE28" s="8">
        <v>0.0153632103465497</v>
      </c>
      <c r="AF28" s="8">
        <v>0.212794596329331</v>
      </c>
      <c r="AG28" s="8">
        <v>0.8514677464962</v>
      </c>
      <c r="AH28" s="8">
        <v>0.957466101646423</v>
      </c>
      <c r="AI28" s="8">
        <v>1.83471626996993</v>
      </c>
      <c r="AJ28" s="8">
        <v>6.46032450415871</v>
      </c>
      <c r="AK28" s="8">
        <v>3.90667971892327</v>
      </c>
      <c r="AL28" s="8">
        <v>0.3125</v>
      </c>
      <c r="AM28" s="8">
        <v>11.9921875</v>
      </c>
      <c r="AN28" s="8">
        <v>6.875</v>
      </c>
      <c r="AO28" s="8">
        <v>0.508451747894287</v>
      </c>
      <c r="AP28" s="8">
        <v>0.705256462097168</v>
      </c>
      <c r="AQ28" s="8">
        <v>3.74360799789428</v>
      </c>
      <c r="AR28" s="8">
        <v>5.0</v>
      </c>
      <c r="AS28" s="8">
        <v>1.0</v>
      </c>
      <c r="AT28" s="8">
        <v>1.0</v>
      </c>
      <c r="AU28" s="8">
        <v>1.0</v>
      </c>
      <c r="AV28" s="8">
        <v>0.227272727272727</v>
      </c>
      <c r="AW28" s="8">
        <v>0.0454545454545454</v>
      </c>
      <c r="AX28" s="8">
        <v>0.0454545454545454</v>
      </c>
      <c r="AY28" s="8">
        <v>0.0454545454545454</v>
      </c>
      <c r="AZ28" s="8">
        <v>0.0</v>
      </c>
      <c r="BA28" s="8">
        <v>0.0</v>
      </c>
      <c r="BB28" s="8">
        <v>1.0</v>
      </c>
      <c r="BC28" s="8">
        <v>3.0</v>
      </c>
      <c r="BD28" s="8">
        <v>0.0</v>
      </c>
      <c r="BE28" s="8">
        <v>0.0</v>
      </c>
      <c r="BF28" s="8">
        <v>0.0454545454545454</v>
      </c>
      <c r="BG28" s="8">
        <v>0.136363636363636</v>
      </c>
      <c r="BH28" s="8">
        <v>10.0</v>
      </c>
      <c r="BI28" s="8">
        <v>10.0</v>
      </c>
      <c r="BJ28" s="8">
        <v>10.0</v>
      </c>
      <c r="BK28" s="2"/>
      <c r="BL28" s="8">
        <v>10.0</v>
      </c>
      <c r="BM28" s="2" t="s">
        <v>490</v>
      </c>
      <c r="BN28" s="2" t="s">
        <v>491</v>
      </c>
      <c r="BO28" s="8">
        <v>68.0</v>
      </c>
      <c r="BP28" s="8">
        <v>427.0</v>
      </c>
      <c r="BQ28" s="8">
        <v>52.0</v>
      </c>
      <c r="BR28" s="8">
        <v>38.0</v>
      </c>
      <c r="BS28" s="8">
        <v>2.0</v>
      </c>
      <c r="BT28" s="8">
        <v>4.0</v>
      </c>
      <c r="BU28" s="10" t="b">
        <v>1</v>
      </c>
      <c r="BV28" s="10" t="b">
        <v>0</v>
      </c>
      <c r="BW28" s="10" t="b">
        <v>1</v>
      </c>
      <c r="BX28" s="2" t="s">
        <v>74</v>
      </c>
      <c r="BY28" s="8">
        <v>22.0</v>
      </c>
      <c r="BZ28" s="2"/>
      <c r="CA28" s="2"/>
    </row>
    <row r="29">
      <c r="A29" s="2" t="s">
        <v>492</v>
      </c>
      <c r="B29" s="2" t="s">
        <v>121</v>
      </c>
      <c r="C29" s="8">
        <v>0.0</v>
      </c>
      <c r="D29" s="2" t="s">
        <v>71</v>
      </c>
      <c r="E29" s="2" t="s">
        <v>122</v>
      </c>
      <c r="F29" s="10" t="b">
        <v>1</v>
      </c>
      <c r="G29" s="2"/>
      <c r="H29" s="2"/>
      <c r="I29" s="2"/>
      <c r="J29" s="2"/>
      <c r="K29" s="2" t="s">
        <v>493</v>
      </c>
      <c r="L29" s="2" t="s">
        <v>494</v>
      </c>
      <c r="M29" s="2"/>
      <c r="N29" s="2" t="s">
        <v>495</v>
      </c>
      <c r="O29" s="2" t="s">
        <v>496</v>
      </c>
      <c r="P29" s="10" t="b">
        <v>0</v>
      </c>
      <c r="Q29" s="2"/>
      <c r="R29" s="2"/>
      <c r="S29" s="8">
        <v>90.0</v>
      </c>
      <c r="T29" s="8">
        <v>22.0</v>
      </c>
      <c r="U29" s="8">
        <v>2.36151017679712</v>
      </c>
      <c r="V29" s="8">
        <v>9.31607249300032</v>
      </c>
      <c r="W29" s="8">
        <v>0.211505907039529</v>
      </c>
      <c r="X29" s="8">
        <v>1.12931191921234</v>
      </c>
      <c r="Y29" s="8">
        <v>7.12735704942183</v>
      </c>
      <c r="Z29" s="8">
        <v>0.234375</v>
      </c>
      <c r="AA29" s="8">
        <v>0.211505907039529</v>
      </c>
      <c r="AB29" s="8">
        <v>0.348120439897738</v>
      </c>
      <c r="AC29" s="11">
        <v>4.17194314650259E-6</v>
      </c>
      <c r="AD29" s="8">
        <v>1.12931191921234</v>
      </c>
      <c r="AE29" s="8">
        <v>0.00525940873194485</v>
      </c>
      <c r="AF29" s="8">
        <v>0.214921049773693</v>
      </c>
      <c r="AG29" s="8">
        <v>0.784067922830582</v>
      </c>
      <c r="AH29" s="8">
        <v>0.846436205506324</v>
      </c>
      <c r="AI29" s="8">
        <v>1.07042334258556</v>
      </c>
      <c r="AJ29" s="8">
        <v>7.12735704942183</v>
      </c>
      <c r="AK29" s="8">
        <v>4.71216209795901</v>
      </c>
      <c r="AL29" s="8">
        <v>0.234375</v>
      </c>
      <c r="AM29" s="8">
        <v>16.2734375</v>
      </c>
      <c r="AN29" s="8">
        <v>8.20170497894287</v>
      </c>
      <c r="AO29" s="8">
        <v>0.773579597473144</v>
      </c>
      <c r="AP29" s="8">
        <v>0.990057754516601</v>
      </c>
      <c r="AQ29" s="8">
        <v>2.89985799789428</v>
      </c>
      <c r="AR29" s="8">
        <v>5.0</v>
      </c>
      <c r="AS29" s="8">
        <v>1.0</v>
      </c>
      <c r="AT29" s="8">
        <v>0.0</v>
      </c>
      <c r="AU29" s="8">
        <v>0.0</v>
      </c>
      <c r="AV29" s="8">
        <v>0.227272727272727</v>
      </c>
      <c r="AW29" s="8">
        <v>0.0454545454545454</v>
      </c>
      <c r="AX29" s="8">
        <v>0.0</v>
      </c>
      <c r="AY29" s="8">
        <v>0.0</v>
      </c>
      <c r="AZ29" s="8">
        <v>0.0</v>
      </c>
      <c r="BA29" s="8">
        <v>1.0</v>
      </c>
      <c r="BB29" s="8">
        <v>1.0</v>
      </c>
      <c r="BC29" s="8">
        <v>3.0</v>
      </c>
      <c r="BD29" s="8">
        <v>0.0</v>
      </c>
      <c r="BE29" s="8">
        <v>0.0454545454545454</v>
      </c>
      <c r="BF29" s="8">
        <v>0.0454545454545454</v>
      </c>
      <c r="BG29" s="8">
        <v>0.136363636363636</v>
      </c>
      <c r="BH29" s="8">
        <v>6.0</v>
      </c>
      <c r="BI29" s="2"/>
      <c r="BJ29" s="2"/>
      <c r="BK29" s="8">
        <v>9.0</v>
      </c>
      <c r="BL29" s="8">
        <v>9.0</v>
      </c>
      <c r="BM29" s="2" t="s">
        <v>499</v>
      </c>
      <c r="BN29" s="2" t="s">
        <v>501</v>
      </c>
      <c r="BO29" s="8">
        <v>78.0</v>
      </c>
      <c r="BP29" s="8">
        <v>448.0</v>
      </c>
      <c r="BQ29" s="8">
        <v>63.0</v>
      </c>
      <c r="BR29" s="8">
        <v>49.0</v>
      </c>
      <c r="BS29" s="8">
        <v>2.0</v>
      </c>
      <c r="BT29" s="8">
        <v>4.0</v>
      </c>
      <c r="BU29" s="10" t="b">
        <v>1</v>
      </c>
      <c r="BV29" s="10" t="b">
        <v>0</v>
      </c>
      <c r="BW29" s="10" t="b">
        <v>1</v>
      </c>
      <c r="BX29" s="2" t="s">
        <v>74</v>
      </c>
      <c r="BY29" s="8">
        <v>22.0</v>
      </c>
      <c r="BZ29" s="2"/>
      <c r="CA29" s="2"/>
    </row>
    <row r="30">
      <c r="A30" s="2" t="s">
        <v>504</v>
      </c>
      <c r="B30" s="2" t="s">
        <v>121</v>
      </c>
      <c r="C30" s="8">
        <v>0.0</v>
      </c>
      <c r="D30" s="2" t="s">
        <v>71</v>
      </c>
      <c r="E30" s="2" t="s">
        <v>122</v>
      </c>
      <c r="F30" s="10" t="b">
        <v>1</v>
      </c>
      <c r="G30" s="2"/>
      <c r="H30" s="2"/>
      <c r="I30" s="2"/>
      <c r="J30" s="2"/>
      <c r="K30" s="2" t="s">
        <v>506</v>
      </c>
      <c r="L30" s="2" t="s">
        <v>507</v>
      </c>
      <c r="M30" s="2"/>
      <c r="N30" s="2" t="s">
        <v>508</v>
      </c>
      <c r="O30" s="2" t="s">
        <v>509</v>
      </c>
      <c r="P30" s="10" t="b">
        <v>0</v>
      </c>
      <c r="Q30" s="2"/>
      <c r="R30" s="2"/>
      <c r="S30" s="8">
        <v>96.0</v>
      </c>
      <c r="T30" s="8">
        <v>34.0</v>
      </c>
      <c r="U30" s="8">
        <v>2.3476455399493</v>
      </c>
      <c r="V30" s="8">
        <v>14.4825951880002</v>
      </c>
      <c r="W30" s="8">
        <v>0.131310649509485</v>
      </c>
      <c r="X30" s="8">
        <v>0.898703634738922</v>
      </c>
      <c r="Y30" s="8">
        <v>8.58583335315479</v>
      </c>
      <c r="Z30" s="8">
        <v>0.15625</v>
      </c>
      <c r="AA30" s="8">
        <v>0.131310649509485</v>
      </c>
      <c r="AB30" s="8">
        <v>0.265447794191552</v>
      </c>
      <c r="AC30" s="11">
        <v>4.18176000493986E-8</v>
      </c>
      <c r="AD30" s="8">
        <v>0.898703634738922</v>
      </c>
      <c r="AE30" s="8">
        <v>0.00176633836235851</v>
      </c>
      <c r="AF30" s="8">
        <v>0.0430336743593215</v>
      </c>
      <c r="AG30" s="8">
        <v>0.614775627851486</v>
      </c>
      <c r="AH30" s="8">
        <v>0.727273163199424</v>
      </c>
      <c r="AI30" s="8">
        <v>0.866002780795097</v>
      </c>
      <c r="AJ30" s="8">
        <v>8.58583335315479</v>
      </c>
      <c r="AK30" s="8">
        <v>4.93781304516217</v>
      </c>
      <c r="AL30" s="8">
        <v>0.15625</v>
      </c>
      <c r="AM30" s="8">
        <v>21.5127830505371</v>
      </c>
      <c r="AN30" s="8">
        <v>9.53018474578857</v>
      </c>
      <c r="AO30" s="8">
        <v>0.74453125</v>
      </c>
      <c r="AP30" s="8">
        <v>0.995029258728027</v>
      </c>
      <c r="AQ30" s="8">
        <v>5.19247150421142</v>
      </c>
      <c r="AR30" s="8">
        <v>5.0</v>
      </c>
      <c r="AS30" s="8">
        <v>0.0</v>
      </c>
      <c r="AT30" s="8">
        <v>0.0</v>
      </c>
      <c r="AU30" s="8">
        <v>0.0</v>
      </c>
      <c r="AV30" s="8">
        <v>0.147058823529411</v>
      </c>
      <c r="AW30" s="8">
        <v>0.0</v>
      </c>
      <c r="AX30" s="8">
        <v>0.0</v>
      </c>
      <c r="AY30" s="8">
        <v>0.0</v>
      </c>
      <c r="AZ30" s="8">
        <v>0.0</v>
      </c>
      <c r="BA30" s="8">
        <v>1.0</v>
      </c>
      <c r="BB30" s="8">
        <v>1.0</v>
      </c>
      <c r="BC30" s="8">
        <v>4.0</v>
      </c>
      <c r="BD30" s="8">
        <v>0.0</v>
      </c>
      <c r="BE30" s="8">
        <v>0.0294117647058823</v>
      </c>
      <c r="BF30" s="8">
        <v>0.0294117647058823</v>
      </c>
      <c r="BG30" s="8">
        <v>0.117647058823529</v>
      </c>
      <c r="BH30" s="2"/>
      <c r="BI30" s="2"/>
      <c r="BJ30" s="2"/>
      <c r="BK30" s="8">
        <v>12.0</v>
      </c>
      <c r="BL30" s="8">
        <v>12.0</v>
      </c>
      <c r="BM30" s="2" t="s">
        <v>511</v>
      </c>
      <c r="BN30" s="2" t="s">
        <v>512</v>
      </c>
      <c r="BO30" s="8">
        <v>52.0</v>
      </c>
      <c r="BP30" s="8">
        <v>422.0</v>
      </c>
      <c r="BQ30" s="8">
        <v>82.0</v>
      </c>
      <c r="BR30" s="8">
        <v>68.0</v>
      </c>
      <c r="BS30" s="8">
        <v>2.0</v>
      </c>
      <c r="BT30" s="8">
        <v>4.0</v>
      </c>
      <c r="BU30" s="10" t="b">
        <v>1</v>
      </c>
      <c r="BV30" s="10" t="b">
        <v>0</v>
      </c>
      <c r="BW30" s="10" t="b">
        <v>1</v>
      </c>
      <c r="BX30" s="2" t="s">
        <v>74</v>
      </c>
      <c r="BY30" s="8">
        <v>34.0</v>
      </c>
      <c r="BZ30" s="2"/>
      <c r="CA30" s="2"/>
    </row>
    <row r="31">
      <c r="A31" s="2" t="s">
        <v>515</v>
      </c>
      <c r="B31" s="2" t="s">
        <v>121</v>
      </c>
      <c r="C31" s="8">
        <v>0.0</v>
      </c>
      <c r="D31" s="2" t="s">
        <v>71</v>
      </c>
      <c r="E31" s="2" t="s">
        <v>122</v>
      </c>
      <c r="F31" s="10" t="b">
        <v>1</v>
      </c>
      <c r="G31" s="2"/>
      <c r="H31" s="2"/>
      <c r="I31" s="2"/>
      <c r="J31" s="2"/>
      <c r="K31" s="2" t="s">
        <v>517</v>
      </c>
      <c r="L31" s="2" t="s">
        <v>518</v>
      </c>
      <c r="M31" s="2"/>
      <c r="N31" s="2" t="s">
        <v>519</v>
      </c>
      <c r="O31" s="2" t="s">
        <v>520</v>
      </c>
      <c r="P31" s="10" t="b">
        <v>0</v>
      </c>
      <c r="Q31" s="2"/>
      <c r="R31" s="2"/>
      <c r="S31" s="8">
        <v>173.0</v>
      </c>
      <c r="T31" s="8">
        <v>52.0</v>
      </c>
      <c r="U31" s="8">
        <v>2.34544911250954</v>
      </c>
      <c r="V31" s="8">
        <v>22.1705939909998</v>
      </c>
      <c r="W31" s="8">
        <v>0.173617042406371</v>
      </c>
      <c r="X31" s="8">
        <v>0.984980165958404</v>
      </c>
      <c r="Y31" s="8">
        <v>7.03041707552396</v>
      </c>
      <c r="Z31" s="8">
        <v>0.015625</v>
      </c>
      <c r="AA31" s="8">
        <v>0.173617042406371</v>
      </c>
      <c r="AB31" s="8">
        <v>0.285803810163909</v>
      </c>
      <c r="AC31" s="11">
        <v>1.6586112906225E-5</v>
      </c>
      <c r="AD31" s="8">
        <v>0.984980165958404</v>
      </c>
      <c r="AE31" s="8">
        <v>0.00921739358454942</v>
      </c>
      <c r="AF31" s="8">
        <v>0.219005603343248</v>
      </c>
      <c r="AG31" s="8">
        <v>0.647388660907745</v>
      </c>
      <c r="AH31" s="8">
        <v>0.802927595376968</v>
      </c>
      <c r="AI31" s="8">
        <v>0.931536520123482</v>
      </c>
      <c r="AJ31" s="8">
        <v>7.03041707552396</v>
      </c>
      <c r="AK31" s="8">
        <v>4.38037668407678</v>
      </c>
      <c r="AL31" s="8">
        <v>0.015625</v>
      </c>
      <c r="AM31" s="8">
        <v>14.9076709747314</v>
      </c>
      <c r="AN31" s="8">
        <v>7.29332447052001</v>
      </c>
      <c r="AO31" s="8">
        <v>0.543039512634277</v>
      </c>
      <c r="AP31" s="8">
        <v>1.15539875030517</v>
      </c>
      <c r="AQ31" s="8">
        <v>2.84765625</v>
      </c>
      <c r="AR31" s="8">
        <v>10.0</v>
      </c>
      <c r="AS31" s="8">
        <v>0.0</v>
      </c>
      <c r="AT31" s="8">
        <v>0.0</v>
      </c>
      <c r="AU31" s="8">
        <v>0.0</v>
      </c>
      <c r="AV31" s="8">
        <v>0.192307692307692</v>
      </c>
      <c r="AW31" s="8">
        <v>0.0</v>
      </c>
      <c r="AX31" s="8">
        <v>0.0</v>
      </c>
      <c r="AY31" s="8">
        <v>0.0</v>
      </c>
      <c r="AZ31" s="8">
        <v>1.0</v>
      </c>
      <c r="BA31" s="8">
        <v>2.0</v>
      </c>
      <c r="BB31" s="8">
        <v>3.0</v>
      </c>
      <c r="BC31" s="8">
        <v>5.0</v>
      </c>
      <c r="BD31" s="8">
        <v>0.0192307692307692</v>
      </c>
      <c r="BE31" s="8">
        <v>0.0384615384615384</v>
      </c>
      <c r="BF31" s="8">
        <v>0.0576923076923076</v>
      </c>
      <c r="BG31" s="8">
        <v>0.0961538461538461</v>
      </c>
      <c r="BH31" s="2"/>
      <c r="BI31" s="2"/>
      <c r="BJ31" s="2"/>
      <c r="BK31" s="8">
        <v>0.0</v>
      </c>
      <c r="BL31" s="8">
        <v>0.0</v>
      </c>
      <c r="BM31" s="2" t="s">
        <v>521</v>
      </c>
      <c r="BN31" s="2" t="s">
        <v>522</v>
      </c>
      <c r="BO31" s="8">
        <v>48.0</v>
      </c>
      <c r="BP31" s="8">
        <v>532.0</v>
      </c>
      <c r="BQ31" s="8">
        <v>160.0</v>
      </c>
      <c r="BR31" s="8">
        <v>146.0</v>
      </c>
      <c r="BS31" s="8">
        <v>5.0</v>
      </c>
      <c r="BT31" s="8">
        <v>7.0</v>
      </c>
      <c r="BU31" s="10" t="b">
        <v>1</v>
      </c>
      <c r="BV31" s="10" t="b">
        <v>1</v>
      </c>
      <c r="BW31" s="10" t="b">
        <v>1</v>
      </c>
      <c r="BX31" s="2" t="s">
        <v>74</v>
      </c>
      <c r="BY31" s="8">
        <v>52.0</v>
      </c>
      <c r="BZ31" s="2"/>
      <c r="CA31" s="2"/>
    </row>
    <row r="32">
      <c r="A32" s="2" t="s">
        <v>524</v>
      </c>
      <c r="B32" s="2" t="s">
        <v>121</v>
      </c>
      <c r="C32" s="8">
        <v>0.0</v>
      </c>
      <c r="D32" s="2" t="s">
        <v>71</v>
      </c>
      <c r="E32" s="2" t="s">
        <v>122</v>
      </c>
      <c r="F32" s="10" t="b">
        <v>0</v>
      </c>
      <c r="G32" s="2" t="s">
        <v>198</v>
      </c>
      <c r="H32" s="2" t="s">
        <v>247</v>
      </c>
      <c r="I32" s="2" t="s">
        <v>525</v>
      </c>
      <c r="J32" s="2"/>
      <c r="K32" s="2" t="s">
        <v>526</v>
      </c>
      <c r="L32" s="2" t="s">
        <v>528</v>
      </c>
      <c r="M32" s="2"/>
      <c r="N32" s="2" t="s">
        <v>530</v>
      </c>
      <c r="O32" s="2" t="s">
        <v>531</v>
      </c>
      <c r="P32" s="10" t="b">
        <v>0</v>
      </c>
      <c r="Q32" s="2"/>
      <c r="R32" s="2"/>
      <c r="S32" s="8">
        <v>106.0</v>
      </c>
      <c r="T32" s="8">
        <v>85.0</v>
      </c>
      <c r="U32" s="8">
        <v>2.35934472561836</v>
      </c>
      <c r="V32" s="8">
        <v>36.0269523470005</v>
      </c>
      <c r="W32" s="8">
        <v>0.279826927293962</v>
      </c>
      <c r="X32" s="8">
        <v>2.15607690811157</v>
      </c>
      <c r="Y32" s="8">
        <v>6.42677165760713</v>
      </c>
      <c r="Z32" s="8">
        <v>0.078125</v>
      </c>
      <c r="AA32" s="8">
        <v>0.279826927293962</v>
      </c>
      <c r="AB32" s="8">
        <v>0.482988970153532</v>
      </c>
      <c r="AC32" s="11">
        <v>1.28733245219336E-5</v>
      </c>
      <c r="AD32" s="8">
        <v>2.15607690811157</v>
      </c>
      <c r="AE32" s="8">
        <v>0.019660884514451</v>
      </c>
      <c r="AF32" s="8">
        <v>0.269777029752731</v>
      </c>
      <c r="AG32" s="8">
        <v>0.999454069137574</v>
      </c>
      <c r="AH32" s="8">
        <v>1.27136857509613</v>
      </c>
      <c r="AI32" s="8">
        <v>1.90400394916534</v>
      </c>
      <c r="AJ32" s="8">
        <v>6.42677165760713</v>
      </c>
      <c r="AK32" s="8">
        <v>4.20522031221216</v>
      </c>
      <c r="AL32" s="8">
        <v>0.078125</v>
      </c>
      <c r="AM32" s="8">
        <v>15.7890625</v>
      </c>
      <c r="AN32" s="8">
        <v>6.5667610168457</v>
      </c>
      <c r="AO32" s="8">
        <v>0.39886360168457</v>
      </c>
      <c r="AP32" s="8">
        <v>0.996023178100585</v>
      </c>
      <c r="AQ32" s="8">
        <v>2.60085105895996</v>
      </c>
      <c r="AR32" s="8">
        <v>19.0</v>
      </c>
      <c r="AS32" s="8">
        <v>9.0</v>
      </c>
      <c r="AT32" s="8">
        <v>3.0</v>
      </c>
      <c r="AU32" s="8">
        <v>1.0</v>
      </c>
      <c r="AV32" s="8">
        <v>0.223529411764705</v>
      </c>
      <c r="AW32" s="8">
        <v>0.105882352941176</v>
      </c>
      <c r="AX32" s="8">
        <v>0.0352941176470588</v>
      </c>
      <c r="AY32" s="8">
        <v>0.0117647058823529</v>
      </c>
      <c r="AZ32" s="8">
        <v>1.0</v>
      </c>
      <c r="BA32" s="8">
        <v>3.0</v>
      </c>
      <c r="BB32" s="8">
        <v>6.0</v>
      </c>
      <c r="BC32" s="8">
        <v>10.0</v>
      </c>
      <c r="BD32" s="8">
        <v>0.0117647058823529</v>
      </c>
      <c r="BE32" s="8">
        <v>0.0352941176470588</v>
      </c>
      <c r="BF32" s="8">
        <v>0.0705882352941176</v>
      </c>
      <c r="BG32" s="8">
        <v>0.117647058823529</v>
      </c>
      <c r="BH32" s="8">
        <v>6.0</v>
      </c>
      <c r="BI32" s="8">
        <v>6.0</v>
      </c>
      <c r="BJ32" s="8">
        <v>9.0</v>
      </c>
      <c r="BK32" s="8">
        <v>7.0</v>
      </c>
      <c r="BL32" s="8">
        <v>7.0</v>
      </c>
      <c r="BM32" s="2" t="s">
        <v>533</v>
      </c>
      <c r="BN32" s="2" t="s">
        <v>534</v>
      </c>
      <c r="BO32" s="8">
        <v>129.0</v>
      </c>
      <c r="BP32" s="8">
        <v>483.0</v>
      </c>
      <c r="BQ32" s="8">
        <v>330.0</v>
      </c>
      <c r="BR32" s="8">
        <v>316.0</v>
      </c>
      <c r="BS32" s="8">
        <v>7.0</v>
      </c>
      <c r="BT32" s="8">
        <v>9.0</v>
      </c>
      <c r="BU32" s="10" t="b">
        <v>1</v>
      </c>
      <c r="BV32" s="10" t="b">
        <v>0</v>
      </c>
      <c r="BW32" s="10" t="b">
        <v>1</v>
      </c>
      <c r="BX32" s="2" t="s">
        <v>535</v>
      </c>
      <c r="BY32" s="8">
        <v>85.0</v>
      </c>
      <c r="BZ32" s="2"/>
      <c r="CA32" s="2"/>
    </row>
    <row r="33">
      <c r="A33" s="2" t="s">
        <v>536</v>
      </c>
      <c r="B33" s="2" t="s">
        <v>121</v>
      </c>
      <c r="C33" s="8">
        <v>0.0</v>
      </c>
      <c r="D33" s="2" t="s">
        <v>71</v>
      </c>
      <c r="E33" s="2" t="s">
        <v>122</v>
      </c>
      <c r="F33" s="10" t="b">
        <v>1</v>
      </c>
      <c r="G33" s="2"/>
      <c r="H33" s="2"/>
      <c r="I33" s="2"/>
      <c r="J33" s="2"/>
      <c r="K33" s="2" t="s">
        <v>537</v>
      </c>
      <c r="L33" s="2" t="s">
        <v>538</v>
      </c>
      <c r="M33" s="2"/>
      <c r="N33" s="2" t="s">
        <v>539</v>
      </c>
      <c r="O33" s="2" t="s">
        <v>540</v>
      </c>
      <c r="P33" s="10" t="b">
        <v>0</v>
      </c>
      <c r="Q33" s="2"/>
      <c r="R33" s="2"/>
      <c r="S33" s="8">
        <v>89.0</v>
      </c>
      <c r="T33" s="8">
        <v>48.0</v>
      </c>
      <c r="U33" s="8">
        <v>2.35118551316999</v>
      </c>
      <c r="V33" s="8">
        <v>20.4152329669996</v>
      </c>
      <c r="W33" s="8">
        <v>0.121330958296198</v>
      </c>
      <c r="X33" s="8">
        <v>0.963097870349884</v>
      </c>
      <c r="Y33" s="8">
        <v>8.42550049225489</v>
      </c>
      <c r="Z33" s="8">
        <v>0.171875</v>
      </c>
      <c r="AA33" s="8">
        <v>0.121330958296198</v>
      </c>
      <c r="AB33" s="8">
        <v>0.255848686523171</v>
      </c>
      <c r="AC33" s="11">
        <v>1.15247230496606E-5</v>
      </c>
      <c r="AD33" s="8">
        <v>0.963097870349884</v>
      </c>
      <c r="AE33" s="8">
        <v>0.00212492223363369</v>
      </c>
      <c r="AF33" s="8">
        <v>0.0281289787963032</v>
      </c>
      <c r="AG33" s="8">
        <v>0.55562390089035</v>
      </c>
      <c r="AH33" s="8">
        <v>0.713518875837326</v>
      </c>
      <c r="AI33" s="8">
        <v>0.91086710691452</v>
      </c>
      <c r="AJ33" s="8">
        <v>8.42550049225489</v>
      </c>
      <c r="AK33" s="8">
        <v>4.05789955088533</v>
      </c>
      <c r="AL33" s="8">
        <v>0.171875</v>
      </c>
      <c r="AM33" s="8">
        <v>14.9715919494628</v>
      </c>
      <c r="AN33" s="8">
        <v>9.23473072052002</v>
      </c>
      <c r="AO33" s="8">
        <v>1.40120763778686</v>
      </c>
      <c r="AP33" s="8">
        <v>2.1140625</v>
      </c>
      <c r="AQ33" s="8">
        <v>6.08078956604003</v>
      </c>
      <c r="AR33" s="8">
        <v>6.0</v>
      </c>
      <c r="AS33" s="8">
        <v>0.0</v>
      </c>
      <c r="AT33" s="8">
        <v>0.0</v>
      </c>
      <c r="AU33" s="8">
        <v>0.0</v>
      </c>
      <c r="AV33" s="8">
        <v>0.125</v>
      </c>
      <c r="AW33" s="8">
        <v>0.0</v>
      </c>
      <c r="AX33" s="8">
        <v>0.0</v>
      </c>
      <c r="AY33" s="8">
        <v>0.0</v>
      </c>
      <c r="AZ33" s="8">
        <v>0.0</v>
      </c>
      <c r="BA33" s="8">
        <v>1.0</v>
      </c>
      <c r="BB33" s="8">
        <v>1.0</v>
      </c>
      <c r="BC33" s="8">
        <v>2.0</v>
      </c>
      <c r="BD33" s="8">
        <v>0.0</v>
      </c>
      <c r="BE33" s="8">
        <v>0.0208333333333333</v>
      </c>
      <c r="BF33" s="8">
        <v>0.0208333333333333</v>
      </c>
      <c r="BG33" s="8">
        <v>0.0416666666666666</v>
      </c>
      <c r="BH33" s="2"/>
      <c r="BI33" s="2"/>
      <c r="BJ33" s="2"/>
      <c r="BK33" s="8">
        <v>45.0</v>
      </c>
      <c r="BL33" s="8">
        <v>45.0</v>
      </c>
      <c r="BM33" s="2" t="s">
        <v>545</v>
      </c>
      <c r="BN33" s="2" t="s">
        <v>546</v>
      </c>
      <c r="BO33" s="8">
        <v>70.0</v>
      </c>
      <c r="BP33" s="8">
        <v>408.0</v>
      </c>
      <c r="BQ33" s="8">
        <v>155.0</v>
      </c>
      <c r="BR33" s="8">
        <v>141.0</v>
      </c>
      <c r="BS33" s="8">
        <v>5.0</v>
      </c>
      <c r="BT33" s="8">
        <v>7.0</v>
      </c>
      <c r="BU33" s="10" t="b">
        <v>1</v>
      </c>
      <c r="BV33" s="10" t="b">
        <v>0</v>
      </c>
      <c r="BW33" s="10" t="b">
        <v>1</v>
      </c>
      <c r="BX33" s="2" t="s">
        <v>74</v>
      </c>
      <c r="BY33" s="8">
        <v>48.0</v>
      </c>
      <c r="BZ33" s="2"/>
      <c r="CA33" s="2"/>
    </row>
    <row r="34">
      <c r="A34" s="2" t="s">
        <v>547</v>
      </c>
      <c r="B34" s="2" t="s">
        <v>121</v>
      </c>
      <c r="C34" s="8">
        <v>0.0</v>
      </c>
      <c r="D34" s="2" t="s">
        <v>71</v>
      </c>
      <c r="E34" s="2" t="s">
        <v>122</v>
      </c>
      <c r="F34" s="10" t="b">
        <v>1</v>
      </c>
      <c r="G34" s="2"/>
      <c r="H34" s="2"/>
      <c r="I34" s="2"/>
      <c r="J34" s="2"/>
      <c r="K34" s="2" t="s">
        <v>548</v>
      </c>
      <c r="L34" s="2" t="s">
        <v>549</v>
      </c>
      <c r="M34" s="2"/>
      <c r="N34" s="2" t="s">
        <v>550</v>
      </c>
      <c r="O34" s="2" t="s">
        <v>550</v>
      </c>
      <c r="P34" s="10" t="b">
        <v>0</v>
      </c>
      <c r="Q34" s="2"/>
      <c r="R34" s="2"/>
      <c r="S34" s="8">
        <v>179.0</v>
      </c>
      <c r="T34" s="8">
        <v>22.0</v>
      </c>
      <c r="U34" s="8">
        <v>2.3271425417032</v>
      </c>
      <c r="V34" s="8">
        <v>9.45365382899945</v>
      </c>
      <c r="W34" s="8">
        <v>0.209382747355531</v>
      </c>
      <c r="X34" s="8">
        <v>0.941633820533752</v>
      </c>
      <c r="Y34" s="8">
        <v>5.93026889454234</v>
      </c>
      <c r="Z34" s="8">
        <v>0.0</v>
      </c>
      <c r="AA34" s="8">
        <v>0.209382747355531</v>
      </c>
      <c r="AB34" s="8">
        <v>0.316449601254627</v>
      </c>
      <c r="AC34" s="8">
        <v>2.01444665435701E-4</v>
      </c>
      <c r="AD34" s="8">
        <v>0.941633820533752</v>
      </c>
      <c r="AE34" s="8">
        <v>0.027710523456335</v>
      </c>
      <c r="AF34" s="8">
        <v>0.335379034280777</v>
      </c>
      <c r="AG34" s="8">
        <v>0.682355296611786</v>
      </c>
      <c r="AH34" s="8">
        <v>0.882790574431419</v>
      </c>
      <c r="AI34" s="8">
        <v>0.931388125419616</v>
      </c>
      <c r="AJ34" s="8">
        <v>5.93026889454234</v>
      </c>
      <c r="AK34" s="8">
        <v>3.64299213142783</v>
      </c>
      <c r="AL34" s="8">
        <v>0.0</v>
      </c>
      <c r="AM34" s="8">
        <v>12.0951719284057</v>
      </c>
      <c r="AN34" s="8">
        <v>6.38529968261718</v>
      </c>
      <c r="AO34" s="8">
        <v>0.999289608001709</v>
      </c>
      <c r="AP34" s="8">
        <v>1.115625</v>
      </c>
      <c r="AQ34" s="8">
        <v>2.6953125</v>
      </c>
      <c r="AR34" s="8">
        <v>5.0</v>
      </c>
      <c r="AS34" s="8">
        <v>0.0</v>
      </c>
      <c r="AT34" s="8">
        <v>0.0</v>
      </c>
      <c r="AU34" s="8">
        <v>0.0</v>
      </c>
      <c r="AV34" s="8">
        <v>0.227272727272727</v>
      </c>
      <c r="AW34" s="8">
        <v>0.0</v>
      </c>
      <c r="AX34" s="8">
        <v>0.0</v>
      </c>
      <c r="AY34" s="8">
        <v>0.0</v>
      </c>
      <c r="AZ34" s="8">
        <v>1.0</v>
      </c>
      <c r="BA34" s="8">
        <v>1.0</v>
      </c>
      <c r="BB34" s="8">
        <v>1.0</v>
      </c>
      <c r="BC34" s="8">
        <v>2.0</v>
      </c>
      <c r="BD34" s="8">
        <v>0.0454545454545454</v>
      </c>
      <c r="BE34" s="8">
        <v>0.0454545454545454</v>
      </c>
      <c r="BF34" s="8">
        <v>0.0454545454545454</v>
      </c>
      <c r="BG34" s="8">
        <v>0.0909090909090909</v>
      </c>
      <c r="BH34" s="2"/>
      <c r="BI34" s="2"/>
      <c r="BJ34" s="2"/>
      <c r="BK34" s="8">
        <v>0.0</v>
      </c>
      <c r="BL34" s="8">
        <v>0.0</v>
      </c>
      <c r="BM34" s="2" t="s">
        <v>552</v>
      </c>
      <c r="BN34" s="2" t="s">
        <v>554</v>
      </c>
      <c r="BO34" s="8">
        <v>54.0</v>
      </c>
      <c r="BP34" s="8">
        <v>555.0</v>
      </c>
      <c r="BQ34" s="8">
        <v>81.0</v>
      </c>
      <c r="BR34" s="8">
        <v>81.0</v>
      </c>
      <c r="BS34" s="8">
        <v>4.0</v>
      </c>
      <c r="BT34" s="8">
        <v>4.0</v>
      </c>
      <c r="BU34" s="10" t="b">
        <v>1</v>
      </c>
      <c r="BV34" s="10" t="b">
        <v>1</v>
      </c>
      <c r="BW34" s="10" t="b">
        <v>0</v>
      </c>
      <c r="BX34" s="2" t="s">
        <v>74</v>
      </c>
      <c r="BY34" s="8">
        <v>22.0</v>
      </c>
      <c r="BZ34" s="2"/>
      <c r="CA34" s="2"/>
    </row>
    <row r="35">
      <c r="A35" s="2" t="s">
        <v>557</v>
      </c>
      <c r="B35" s="2" t="s">
        <v>121</v>
      </c>
      <c r="C35" s="8">
        <v>0.0</v>
      </c>
      <c r="D35" s="2" t="s">
        <v>71</v>
      </c>
      <c r="E35" s="2" t="s">
        <v>122</v>
      </c>
      <c r="F35" s="10" t="b">
        <v>1</v>
      </c>
      <c r="G35" s="2"/>
      <c r="H35" s="2"/>
      <c r="I35" s="2"/>
      <c r="J35" s="2"/>
      <c r="K35" s="2" t="s">
        <v>558</v>
      </c>
      <c r="L35" s="2" t="s">
        <v>559</v>
      </c>
      <c r="M35" s="2"/>
      <c r="N35" s="2" t="s">
        <v>560</v>
      </c>
      <c r="O35" s="2" t="s">
        <v>561</v>
      </c>
      <c r="P35" s="10" t="b">
        <v>0</v>
      </c>
      <c r="Q35" s="2"/>
      <c r="R35" s="2"/>
      <c r="S35" s="8">
        <v>97.0</v>
      </c>
      <c r="T35" s="8">
        <v>74.0</v>
      </c>
      <c r="U35" s="8">
        <v>2.34957266198014</v>
      </c>
      <c r="V35" s="8">
        <v>31.495088957</v>
      </c>
      <c r="W35" s="8">
        <v>0.0509454578594749</v>
      </c>
      <c r="X35" s="8">
        <v>0.802579224109649</v>
      </c>
      <c r="Y35" s="8">
        <v>9.7092583630536</v>
      </c>
      <c r="Z35" s="8">
        <v>0.38210105895996</v>
      </c>
      <c r="AA35" s="8">
        <v>0.0509454578594749</v>
      </c>
      <c r="AB35" s="8">
        <v>0.166025718055079</v>
      </c>
      <c r="AC35" s="11">
        <v>2.90065254375804E-5</v>
      </c>
      <c r="AD35" s="8">
        <v>0.802579224109649</v>
      </c>
      <c r="AE35" s="8">
        <v>8.18533386336639E-4</v>
      </c>
      <c r="AF35" s="8">
        <v>0.00585072778631001</v>
      </c>
      <c r="AG35" s="8">
        <v>0.042800535261631</v>
      </c>
      <c r="AH35" s="8">
        <v>0.543471726775169</v>
      </c>
      <c r="AI35" s="8">
        <v>0.718999020457267</v>
      </c>
      <c r="AJ35" s="8">
        <v>9.7092583630536</v>
      </c>
      <c r="AK35" s="8">
        <v>3.56623197638658</v>
      </c>
      <c r="AL35" s="8">
        <v>0.38210105895996</v>
      </c>
      <c r="AM35" s="8">
        <v>14.7798309326171</v>
      </c>
      <c r="AN35" s="8">
        <v>10.0781259536743</v>
      </c>
      <c r="AO35" s="8">
        <v>2.00454635620117</v>
      </c>
      <c r="AP35" s="8">
        <v>5.24744415283203</v>
      </c>
      <c r="AQ35" s="8">
        <v>7.85191869735717</v>
      </c>
      <c r="AR35" s="8">
        <v>5.0</v>
      </c>
      <c r="AS35" s="8">
        <v>0.0</v>
      </c>
      <c r="AT35" s="8">
        <v>0.0</v>
      </c>
      <c r="AU35" s="8">
        <v>0.0</v>
      </c>
      <c r="AV35" s="8">
        <v>0.0675675675675675</v>
      </c>
      <c r="AW35" s="8">
        <v>0.0</v>
      </c>
      <c r="AX35" s="8">
        <v>0.0</v>
      </c>
      <c r="AY35" s="8">
        <v>0.0</v>
      </c>
      <c r="AZ35" s="8">
        <v>0.0</v>
      </c>
      <c r="BA35" s="8">
        <v>0.0</v>
      </c>
      <c r="BB35" s="8">
        <v>1.0</v>
      </c>
      <c r="BC35" s="8">
        <v>3.0</v>
      </c>
      <c r="BD35" s="8">
        <v>0.0</v>
      </c>
      <c r="BE35" s="8">
        <v>0.0</v>
      </c>
      <c r="BF35" s="8">
        <v>0.0135135135135135</v>
      </c>
      <c r="BG35" s="8">
        <v>0.0405405405405405</v>
      </c>
      <c r="BH35" s="2"/>
      <c r="BI35" s="2"/>
      <c r="BJ35" s="2"/>
      <c r="BK35" s="2"/>
      <c r="BL35" s="8">
        <v>26.0</v>
      </c>
      <c r="BM35" s="2" t="s">
        <v>562</v>
      </c>
      <c r="BN35" s="2" t="s">
        <v>563</v>
      </c>
      <c r="BO35" s="8">
        <v>55.0</v>
      </c>
      <c r="BP35" s="8">
        <v>448.0</v>
      </c>
      <c r="BQ35" s="8">
        <v>220.0</v>
      </c>
      <c r="BR35" s="8">
        <v>206.0</v>
      </c>
      <c r="BS35" s="8">
        <v>7.0</v>
      </c>
      <c r="BT35" s="8">
        <v>9.0</v>
      </c>
      <c r="BU35" s="10" t="b">
        <v>1</v>
      </c>
      <c r="BV35" s="10" t="b">
        <v>0</v>
      </c>
      <c r="BW35" s="10" t="b">
        <v>1</v>
      </c>
      <c r="BX35" s="2" t="s">
        <v>74</v>
      </c>
      <c r="BY35" s="8">
        <v>74.0</v>
      </c>
      <c r="BZ35" s="2"/>
      <c r="CA35" s="2"/>
    </row>
    <row r="36">
      <c r="A36" s="2" t="s">
        <v>564</v>
      </c>
      <c r="B36" s="2" t="s">
        <v>121</v>
      </c>
      <c r="C36" s="8">
        <v>0.0</v>
      </c>
      <c r="D36" s="2" t="s">
        <v>71</v>
      </c>
      <c r="E36" s="2" t="s">
        <v>122</v>
      </c>
      <c r="F36" s="10" t="b">
        <v>0</v>
      </c>
      <c r="G36" s="2" t="s">
        <v>198</v>
      </c>
      <c r="H36" s="2" t="s">
        <v>247</v>
      </c>
      <c r="I36" s="2" t="s">
        <v>566</v>
      </c>
      <c r="J36" s="2"/>
      <c r="K36" s="2" t="s">
        <v>567</v>
      </c>
      <c r="L36" s="2" t="s">
        <v>569</v>
      </c>
      <c r="M36" s="2"/>
      <c r="N36" s="2" t="s">
        <v>571</v>
      </c>
      <c r="O36" s="2" t="s">
        <v>573</v>
      </c>
      <c r="P36" s="10" t="b">
        <v>0</v>
      </c>
      <c r="Q36" s="2"/>
      <c r="R36" s="2"/>
      <c r="S36" s="8">
        <v>329.0</v>
      </c>
      <c r="T36" s="8">
        <v>62.0</v>
      </c>
      <c r="U36" s="8">
        <v>2.32684094795605</v>
      </c>
      <c r="V36" s="8">
        <v>26.6455685570008</v>
      </c>
      <c r="W36" s="8">
        <v>0.180962683397</v>
      </c>
      <c r="X36" s="8">
        <v>1.19885993003845</v>
      </c>
      <c r="Y36" s="8">
        <v>7.42076413862166</v>
      </c>
      <c r="Z36" s="8">
        <v>0.171875</v>
      </c>
      <c r="AA36" s="8">
        <v>0.180962683397</v>
      </c>
      <c r="AB36" s="8">
        <v>0.31313552628876</v>
      </c>
      <c r="AC36" s="11">
        <v>6.90342494635842E-6</v>
      </c>
      <c r="AD36" s="8">
        <v>1.19885993003845</v>
      </c>
      <c r="AE36" s="8">
        <v>0.00341870600823313</v>
      </c>
      <c r="AF36" s="8">
        <v>0.19236147776246</v>
      </c>
      <c r="AG36" s="8">
        <v>0.735382908582687</v>
      </c>
      <c r="AH36" s="8">
        <v>0.760909867286682</v>
      </c>
      <c r="AI36" s="8">
        <v>1.19632521033287</v>
      </c>
      <c r="AJ36" s="8">
        <v>7.42076413862166</v>
      </c>
      <c r="AK36" s="8">
        <v>4.56767052025546</v>
      </c>
      <c r="AL36" s="8">
        <v>0.171875</v>
      </c>
      <c r="AM36" s="8">
        <v>16.5</v>
      </c>
      <c r="AN36" s="8">
        <v>8.31107997894287</v>
      </c>
      <c r="AO36" s="8">
        <v>0.380683135986328</v>
      </c>
      <c r="AP36" s="8">
        <v>1.07840862274169</v>
      </c>
      <c r="AQ36" s="8">
        <v>3.05078125</v>
      </c>
      <c r="AR36" s="8">
        <v>10.0</v>
      </c>
      <c r="AS36" s="8">
        <v>2.0</v>
      </c>
      <c r="AT36" s="8">
        <v>0.0</v>
      </c>
      <c r="AU36" s="8">
        <v>0.0</v>
      </c>
      <c r="AV36" s="8">
        <v>0.161290322580645</v>
      </c>
      <c r="AW36" s="8">
        <v>0.032258064516129</v>
      </c>
      <c r="AX36" s="8">
        <v>0.0</v>
      </c>
      <c r="AY36" s="8">
        <v>0.0</v>
      </c>
      <c r="AZ36" s="8">
        <v>0.0</v>
      </c>
      <c r="BA36" s="8">
        <v>2.0</v>
      </c>
      <c r="BB36" s="8">
        <v>4.0</v>
      </c>
      <c r="BC36" s="8">
        <v>6.0</v>
      </c>
      <c r="BD36" s="8">
        <v>0.0</v>
      </c>
      <c r="BE36" s="8">
        <v>0.032258064516129</v>
      </c>
      <c r="BF36" s="8">
        <v>0.064516129032258</v>
      </c>
      <c r="BG36" s="8">
        <v>0.0967741935483871</v>
      </c>
      <c r="BH36" s="8">
        <v>18.0</v>
      </c>
      <c r="BI36" s="2"/>
      <c r="BJ36" s="2"/>
      <c r="BK36" s="8">
        <v>19.0</v>
      </c>
      <c r="BL36" s="8">
        <v>19.0</v>
      </c>
      <c r="BM36" s="2" t="s">
        <v>575</v>
      </c>
      <c r="BN36" s="2" t="s">
        <v>576</v>
      </c>
      <c r="BO36" s="8">
        <v>70.0</v>
      </c>
      <c r="BP36" s="8">
        <v>1013.0</v>
      </c>
      <c r="BQ36" s="8">
        <v>242.0</v>
      </c>
      <c r="BR36" s="8">
        <v>228.0</v>
      </c>
      <c r="BS36" s="8">
        <v>6.0</v>
      </c>
      <c r="BT36" s="8">
        <v>8.0</v>
      </c>
      <c r="BU36" s="10" t="b">
        <v>1</v>
      </c>
      <c r="BV36" s="10" t="b">
        <v>0</v>
      </c>
      <c r="BW36" s="10" t="b">
        <v>1</v>
      </c>
      <c r="BX36" s="2" t="s">
        <v>580</v>
      </c>
      <c r="BY36" s="8">
        <v>62.0</v>
      </c>
      <c r="BZ36" s="2"/>
      <c r="CA36" s="2"/>
    </row>
    <row r="37">
      <c r="A37" s="2" t="s">
        <v>581</v>
      </c>
      <c r="B37" s="2" t="s">
        <v>121</v>
      </c>
      <c r="C37" s="8">
        <v>0.0</v>
      </c>
      <c r="D37" s="2" t="s">
        <v>71</v>
      </c>
      <c r="E37" s="2" t="s">
        <v>122</v>
      </c>
      <c r="F37" s="10" t="b">
        <v>1</v>
      </c>
      <c r="G37" s="2"/>
      <c r="H37" s="2"/>
      <c r="I37" s="2"/>
      <c r="J37" s="2"/>
      <c r="K37" s="2" t="s">
        <v>582</v>
      </c>
      <c r="L37" s="2" t="s">
        <v>583</v>
      </c>
      <c r="M37" s="2"/>
      <c r="N37" s="2" t="s">
        <v>584</v>
      </c>
      <c r="O37" s="2" t="s">
        <v>585</v>
      </c>
      <c r="P37" s="10" t="b">
        <v>0</v>
      </c>
      <c r="Q37" s="2"/>
      <c r="R37" s="2"/>
      <c r="S37" s="8">
        <v>245.0</v>
      </c>
      <c r="T37" s="8">
        <v>49.0</v>
      </c>
      <c r="U37" s="8">
        <v>2.32438483799757</v>
      </c>
      <c r="V37" s="8">
        <v>21.0808465100008</v>
      </c>
      <c r="W37" s="8">
        <v>0.163522746035596</v>
      </c>
      <c r="X37" s="8">
        <v>1.9555207490921</v>
      </c>
      <c r="Y37" s="8">
        <v>8.15833743737668</v>
      </c>
      <c r="Z37" s="8">
        <v>0.265625</v>
      </c>
      <c r="AA37" s="8">
        <v>0.163522746035596</v>
      </c>
      <c r="AB37" s="8">
        <v>0.425255255501647</v>
      </c>
      <c r="AC37" s="11">
        <v>6.14477030467242E-5</v>
      </c>
      <c r="AD37" s="8">
        <v>1.9555207490921</v>
      </c>
      <c r="AE37" s="8">
        <v>0.00218400312587618</v>
      </c>
      <c r="AF37" s="8">
        <v>0.0462175048887729</v>
      </c>
      <c r="AG37" s="8">
        <v>0.642379283905029</v>
      </c>
      <c r="AH37" s="8">
        <v>0.937285065650938</v>
      </c>
      <c r="AI37" s="8">
        <v>1.90563658237457</v>
      </c>
      <c r="AJ37" s="8">
        <v>8.15833743737668</v>
      </c>
      <c r="AK37" s="8">
        <v>4.01410902636428</v>
      </c>
      <c r="AL37" s="8">
        <v>0.265625</v>
      </c>
      <c r="AM37" s="8">
        <v>13.5866470336914</v>
      </c>
      <c r="AN37" s="8">
        <v>9.36079406738281</v>
      </c>
      <c r="AO37" s="8">
        <v>0.619034194946289</v>
      </c>
      <c r="AP37" s="8">
        <v>0.819033813476562</v>
      </c>
      <c r="AQ37" s="8">
        <v>5.015625</v>
      </c>
      <c r="AR37" s="8">
        <v>6.0</v>
      </c>
      <c r="AS37" s="8">
        <v>3.0</v>
      </c>
      <c r="AT37" s="8">
        <v>2.0</v>
      </c>
      <c r="AU37" s="8">
        <v>0.0</v>
      </c>
      <c r="AV37" s="8">
        <v>0.122448979591836</v>
      </c>
      <c r="AW37" s="8">
        <v>0.0612244897959183</v>
      </c>
      <c r="AX37" s="8">
        <v>0.0408163265306122</v>
      </c>
      <c r="AY37" s="8">
        <v>0.0</v>
      </c>
      <c r="AZ37" s="8">
        <v>0.0</v>
      </c>
      <c r="BA37" s="8">
        <v>0.0</v>
      </c>
      <c r="BB37" s="8">
        <v>2.0</v>
      </c>
      <c r="BC37" s="8">
        <v>6.0</v>
      </c>
      <c r="BD37" s="8">
        <v>0.0</v>
      </c>
      <c r="BE37" s="8">
        <v>0.0</v>
      </c>
      <c r="BF37" s="8">
        <v>0.0408163265306122</v>
      </c>
      <c r="BG37" s="8">
        <v>0.122448979591836</v>
      </c>
      <c r="BH37" s="8">
        <v>0.0</v>
      </c>
      <c r="BI37" s="8">
        <v>6.0</v>
      </c>
      <c r="BJ37" s="2"/>
      <c r="BK37" s="2"/>
      <c r="BL37" s="8">
        <v>6.0</v>
      </c>
      <c r="BM37" s="2" t="s">
        <v>590</v>
      </c>
      <c r="BN37" s="2" t="s">
        <v>591</v>
      </c>
      <c r="BO37" s="8">
        <v>94.0</v>
      </c>
      <c r="BP37" s="8">
        <v>599.0</v>
      </c>
      <c r="BQ37" s="8">
        <v>177.0</v>
      </c>
      <c r="BR37" s="8">
        <v>163.0</v>
      </c>
      <c r="BS37" s="8">
        <v>8.0</v>
      </c>
      <c r="BT37" s="8">
        <v>10.0</v>
      </c>
      <c r="BU37" s="10" t="b">
        <v>1</v>
      </c>
      <c r="BV37" s="10" t="b">
        <v>0</v>
      </c>
      <c r="BW37" s="10" t="b">
        <v>1</v>
      </c>
      <c r="BX37" s="2" t="s">
        <v>74</v>
      </c>
      <c r="BY37" s="8">
        <v>49.0</v>
      </c>
      <c r="BZ37" s="2"/>
      <c r="CA37" s="2"/>
    </row>
    <row r="38">
      <c r="A38" s="2" t="s">
        <v>593</v>
      </c>
      <c r="B38" s="2" t="s">
        <v>121</v>
      </c>
      <c r="C38" s="8">
        <v>0.0</v>
      </c>
      <c r="D38" s="2" t="s">
        <v>71</v>
      </c>
      <c r="E38" s="2" t="s">
        <v>122</v>
      </c>
      <c r="F38" s="10" t="b">
        <v>1</v>
      </c>
      <c r="G38" s="2"/>
      <c r="H38" s="2"/>
      <c r="I38" s="2"/>
      <c r="J38" s="2"/>
      <c r="K38" s="2" t="s">
        <v>596</v>
      </c>
      <c r="L38" s="2" t="s">
        <v>598</v>
      </c>
      <c r="M38" s="2"/>
      <c r="N38" s="2" t="s">
        <v>599</v>
      </c>
      <c r="O38" s="2" t="s">
        <v>600</v>
      </c>
      <c r="P38" s="10" t="b">
        <v>0</v>
      </c>
      <c r="Q38" s="2"/>
      <c r="R38" s="2"/>
      <c r="S38" s="8">
        <v>91.0</v>
      </c>
      <c r="T38" s="8">
        <v>17.0</v>
      </c>
      <c r="U38" s="8">
        <v>2.34127756645305</v>
      </c>
      <c r="V38" s="8">
        <v>7.26099299099951</v>
      </c>
      <c r="W38" s="8">
        <v>0.18833547421844</v>
      </c>
      <c r="X38" s="8">
        <v>0.822903096675872</v>
      </c>
      <c r="Y38" s="8">
        <v>5.85298347473144</v>
      </c>
      <c r="Z38" s="8">
        <v>0.171875</v>
      </c>
      <c r="AA38" s="8">
        <v>0.18833547421844</v>
      </c>
      <c r="AB38" s="8">
        <v>0.297293863238715</v>
      </c>
      <c r="AC38" s="11">
        <v>5.49416436115279E-5</v>
      </c>
      <c r="AD38" s="8">
        <v>0.822903096675872</v>
      </c>
      <c r="AE38" s="8">
        <v>0.0445423759520053</v>
      </c>
      <c r="AF38" s="8">
        <v>0.257730603218078</v>
      </c>
      <c r="AG38" s="8">
        <v>0.746258163452148</v>
      </c>
      <c r="AH38" s="8">
        <v>0.815311181545257</v>
      </c>
      <c r="AI38" s="8">
        <v>0.821384713649749</v>
      </c>
      <c r="AJ38" s="8">
        <v>5.85298347473144</v>
      </c>
      <c r="AK38" s="8">
        <v>3.7655483914502</v>
      </c>
      <c r="AL38" s="8">
        <v>0.171875</v>
      </c>
      <c r="AM38" s="8">
        <v>13.3096599578857</v>
      </c>
      <c r="AN38" s="8">
        <v>5.203125</v>
      </c>
      <c r="AO38" s="8">
        <v>0.221875</v>
      </c>
      <c r="AP38" s="8">
        <v>0.889773559570312</v>
      </c>
      <c r="AQ38" s="8">
        <v>3.52698898315429</v>
      </c>
      <c r="AR38" s="8">
        <v>3.0</v>
      </c>
      <c r="AS38" s="8">
        <v>0.0</v>
      </c>
      <c r="AT38" s="8">
        <v>0.0</v>
      </c>
      <c r="AU38" s="8">
        <v>0.0</v>
      </c>
      <c r="AV38" s="8">
        <v>0.176470588235294</v>
      </c>
      <c r="AW38" s="8">
        <v>0.0</v>
      </c>
      <c r="AX38" s="8">
        <v>0.0</v>
      </c>
      <c r="AY38" s="8">
        <v>0.0</v>
      </c>
      <c r="AZ38" s="8">
        <v>0.0</v>
      </c>
      <c r="BA38" s="8">
        <v>2.0</v>
      </c>
      <c r="BB38" s="8">
        <v>2.0</v>
      </c>
      <c r="BC38" s="8">
        <v>2.0</v>
      </c>
      <c r="BD38" s="8">
        <v>0.0</v>
      </c>
      <c r="BE38" s="8">
        <v>0.117647058823529</v>
      </c>
      <c r="BF38" s="8">
        <v>0.117647058823529</v>
      </c>
      <c r="BG38" s="8">
        <v>0.117647058823529</v>
      </c>
      <c r="BH38" s="2"/>
      <c r="BI38" s="2"/>
      <c r="BJ38" s="2"/>
      <c r="BK38" s="8">
        <v>0.0</v>
      </c>
      <c r="BL38" s="8">
        <v>0.0</v>
      </c>
      <c r="BM38" s="2" t="s">
        <v>605</v>
      </c>
      <c r="BN38" s="2" t="s">
        <v>606</v>
      </c>
      <c r="BO38" s="8">
        <v>59.0</v>
      </c>
      <c r="BP38" s="8">
        <v>409.0</v>
      </c>
      <c r="BQ38" s="8">
        <v>50.0</v>
      </c>
      <c r="BR38" s="8">
        <v>36.0</v>
      </c>
      <c r="BS38" s="8">
        <v>2.0</v>
      </c>
      <c r="BT38" s="8">
        <v>4.0</v>
      </c>
      <c r="BU38" s="10" t="b">
        <v>1</v>
      </c>
      <c r="BV38" s="10" t="b">
        <v>0</v>
      </c>
      <c r="BW38" s="10" t="b">
        <v>1</v>
      </c>
      <c r="BX38" s="2" t="s">
        <v>74</v>
      </c>
      <c r="BY38" s="8">
        <v>17.0</v>
      </c>
      <c r="BZ38" s="2"/>
      <c r="CA38" s="2"/>
    </row>
    <row r="39">
      <c r="A39" s="2" t="s">
        <v>607</v>
      </c>
      <c r="B39" s="2" t="s">
        <v>121</v>
      </c>
      <c r="C39" s="8">
        <v>0.0</v>
      </c>
      <c r="D39" s="2" t="s">
        <v>71</v>
      </c>
      <c r="E39" s="2" t="s">
        <v>122</v>
      </c>
      <c r="F39" s="10" t="b">
        <v>1</v>
      </c>
      <c r="G39" s="2"/>
      <c r="H39" s="2"/>
      <c r="I39" s="2"/>
      <c r="J39" s="2"/>
      <c r="K39" s="2" t="s">
        <v>608</v>
      </c>
      <c r="L39" s="2" t="s">
        <v>609</v>
      </c>
      <c r="M39" s="2"/>
      <c r="N39" s="2" t="s">
        <v>610</v>
      </c>
      <c r="O39" s="2" t="s">
        <v>612</v>
      </c>
      <c r="P39" s="10" t="b">
        <v>0</v>
      </c>
      <c r="Q39" s="2"/>
      <c r="R39" s="2"/>
      <c r="S39" s="8">
        <v>102.0</v>
      </c>
      <c r="T39" s="8">
        <v>38.0</v>
      </c>
      <c r="U39" s="8">
        <v>2.35150047473932</v>
      </c>
      <c r="V39" s="8">
        <v>16.159894675</v>
      </c>
      <c r="W39" s="8">
        <v>0.316612118970768</v>
      </c>
      <c r="X39" s="8">
        <v>1.26887500286102</v>
      </c>
      <c r="Y39" s="8">
        <v>5.24469222520527</v>
      </c>
      <c r="Z39" s="8">
        <v>0.0454559326171875</v>
      </c>
      <c r="AA39" s="8">
        <v>0.316612118970768</v>
      </c>
      <c r="AB39" s="8">
        <v>0.374885800772344</v>
      </c>
      <c r="AC39" s="11">
        <v>4.18252020608633E-5</v>
      </c>
      <c r="AD39" s="8">
        <v>1.26887500286102</v>
      </c>
      <c r="AE39" s="8">
        <v>0.124857790768146</v>
      </c>
      <c r="AF39" s="8">
        <v>0.626171052455902</v>
      </c>
      <c r="AG39" s="8">
        <v>0.887182837724685</v>
      </c>
      <c r="AH39" s="8">
        <v>1.01916877031326</v>
      </c>
      <c r="AI39" s="8">
        <v>1.17776972413063</v>
      </c>
      <c r="AJ39" s="8">
        <v>5.24469222520527</v>
      </c>
      <c r="AK39" s="8">
        <v>4.23000849641984</v>
      </c>
      <c r="AL39" s="8">
        <v>0.0454559326171875</v>
      </c>
      <c r="AM39" s="8">
        <v>14.8437509536743</v>
      </c>
      <c r="AN39" s="8">
        <v>4.14559745788574</v>
      </c>
      <c r="AO39" s="8">
        <v>0.503407764434814</v>
      </c>
      <c r="AP39" s="8">
        <v>0.793892097473144</v>
      </c>
      <c r="AQ39" s="8">
        <v>1.62109375</v>
      </c>
      <c r="AR39" s="8">
        <v>12.0</v>
      </c>
      <c r="AS39" s="8">
        <v>3.0</v>
      </c>
      <c r="AT39" s="8">
        <v>0.0</v>
      </c>
      <c r="AU39" s="8">
        <v>0.0</v>
      </c>
      <c r="AV39" s="8">
        <v>0.31578947368421</v>
      </c>
      <c r="AW39" s="8">
        <v>0.0789473684210526</v>
      </c>
      <c r="AX39" s="8">
        <v>0.0</v>
      </c>
      <c r="AY39" s="8">
        <v>0.0</v>
      </c>
      <c r="AZ39" s="8">
        <v>1.0</v>
      </c>
      <c r="BA39" s="8">
        <v>1.0</v>
      </c>
      <c r="BB39" s="8">
        <v>2.0</v>
      </c>
      <c r="BC39" s="8">
        <v>6.0</v>
      </c>
      <c r="BD39" s="8">
        <v>0.0263157894736842</v>
      </c>
      <c r="BE39" s="8">
        <v>0.0263157894736842</v>
      </c>
      <c r="BF39" s="8">
        <v>0.0526315789473684</v>
      </c>
      <c r="BG39" s="8">
        <v>0.157894736842105</v>
      </c>
      <c r="BH39" s="8">
        <v>10.0</v>
      </c>
      <c r="BI39" s="2"/>
      <c r="BJ39" s="2"/>
      <c r="BK39" s="8">
        <v>14.0</v>
      </c>
      <c r="BL39" s="8">
        <v>10.0</v>
      </c>
      <c r="BM39" s="2" t="s">
        <v>616</v>
      </c>
      <c r="BN39" s="2" t="s">
        <v>617</v>
      </c>
      <c r="BO39" s="8">
        <v>63.0</v>
      </c>
      <c r="BP39" s="8">
        <v>458.0</v>
      </c>
      <c r="BQ39" s="8">
        <v>150.0</v>
      </c>
      <c r="BR39" s="8">
        <v>136.0</v>
      </c>
      <c r="BS39" s="8">
        <v>3.0</v>
      </c>
      <c r="BT39" s="8">
        <v>5.0</v>
      </c>
      <c r="BU39" s="10" t="b">
        <v>1</v>
      </c>
      <c r="BV39" s="10" t="b">
        <v>0</v>
      </c>
      <c r="BW39" s="10" t="b">
        <v>1</v>
      </c>
      <c r="BX39" s="2" t="s">
        <v>74</v>
      </c>
      <c r="BY39" s="8">
        <v>38.0</v>
      </c>
      <c r="BZ39" s="2"/>
      <c r="CA39" s="2"/>
    </row>
    <row r="40">
      <c r="A40" s="2" t="s">
        <v>619</v>
      </c>
      <c r="B40" s="2" t="s">
        <v>121</v>
      </c>
      <c r="C40" s="8">
        <v>0.0</v>
      </c>
      <c r="D40" s="2" t="s">
        <v>71</v>
      </c>
      <c r="E40" s="2" t="s">
        <v>122</v>
      </c>
      <c r="F40" s="10" t="b">
        <v>1</v>
      </c>
      <c r="G40" s="2"/>
      <c r="H40" s="2"/>
      <c r="I40" s="2"/>
      <c r="J40" s="2"/>
      <c r="K40" s="2" t="s">
        <v>623</v>
      </c>
      <c r="L40" s="2" t="s">
        <v>624</v>
      </c>
      <c r="M40" s="2"/>
      <c r="N40" s="2" t="s">
        <v>625</v>
      </c>
      <c r="O40" s="2" t="s">
        <v>626</v>
      </c>
      <c r="P40" s="10" t="b">
        <v>0</v>
      </c>
      <c r="Q40" s="2"/>
      <c r="R40" s="2"/>
      <c r="S40" s="8">
        <v>135.0</v>
      </c>
      <c r="T40" s="8">
        <v>39.0</v>
      </c>
      <c r="U40" s="8">
        <v>2.34064293575978</v>
      </c>
      <c r="V40" s="8">
        <v>16.6620886099999</v>
      </c>
      <c r="W40" s="8">
        <v>0.354124286168184</v>
      </c>
      <c r="X40" s="8">
        <v>2.22496128082275</v>
      </c>
      <c r="Y40" s="8">
        <v>5.89295622018667</v>
      </c>
      <c r="Z40" s="8">
        <v>0.1875</v>
      </c>
      <c r="AA40" s="8">
        <v>0.354124286168184</v>
      </c>
      <c r="AB40" s="8">
        <v>0.562732529296509</v>
      </c>
      <c r="AC40" s="11">
        <v>6.69091241434216E-5</v>
      </c>
      <c r="AD40" s="8">
        <v>2.22496128082275</v>
      </c>
      <c r="AE40" s="8">
        <v>0.0459889248013496</v>
      </c>
      <c r="AF40" s="8">
        <v>0.476354673504829</v>
      </c>
      <c r="AG40" s="8">
        <v>1.12543940544128</v>
      </c>
      <c r="AH40" s="8">
        <v>1.38114136457443</v>
      </c>
      <c r="AI40" s="8">
        <v>2.15700464725494</v>
      </c>
      <c r="AJ40" s="8">
        <v>5.89295622018667</v>
      </c>
      <c r="AK40" s="8">
        <v>4.23475637545735</v>
      </c>
      <c r="AL40" s="8">
        <v>0.1875</v>
      </c>
      <c r="AM40" s="8">
        <v>14.03125</v>
      </c>
      <c r="AN40" s="8">
        <v>4.97869300842285</v>
      </c>
      <c r="AO40" s="8">
        <v>0.3484375</v>
      </c>
      <c r="AP40" s="8">
        <v>0.696875</v>
      </c>
      <c r="AQ40" s="8">
        <v>1.8948860168457</v>
      </c>
      <c r="AR40" s="8">
        <v>10.0</v>
      </c>
      <c r="AS40" s="8">
        <v>5.0</v>
      </c>
      <c r="AT40" s="8">
        <v>2.0</v>
      </c>
      <c r="AU40" s="8">
        <v>2.0</v>
      </c>
      <c r="AV40" s="8">
        <v>0.256410256410256</v>
      </c>
      <c r="AW40" s="8">
        <v>0.128205128205128</v>
      </c>
      <c r="AX40" s="8">
        <v>0.0512820512820512</v>
      </c>
      <c r="AY40" s="8">
        <v>0.0512820512820512</v>
      </c>
      <c r="AZ40" s="8">
        <v>0.0</v>
      </c>
      <c r="BA40" s="8">
        <v>1.0</v>
      </c>
      <c r="BB40" s="8">
        <v>4.0</v>
      </c>
      <c r="BC40" s="8">
        <v>5.0</v>
      </c>
      <c r="BD40" s="8">
        <v>0.0</v>
      </c>
      <c r="BE40" s="8">
        <v>0.0256410256410256</v>
      </c>
      <c r="BF40" s="8">
        <v>0.102564102564102</v>
      </c>
      <c r="BG40" s="8">
        <v>0.128205128205128</v>
      </c>
      <c r="BH40" s="8">
        <v>7.0</v>
      </c>
      <c r="BI40" s="8">
        <v>7.0</v>
      </c>
      <c r="BJ40" s="8">
        <v>7.0</v>
      </c>
      <c r="BK40" s="8">
        <v>12.0</v>
      </c>
      <c r="BL40" s="8">
        <v>7.0</v>
      </c>
      <c r="BM40" s="2" t="s">
        <v>631</v>
      </c>
      <c r="BN40" s="2" t="s">
        <v>632</v>
      </c>
      <c r="BO40" s="8">
        <v>97.0</v>
      </c>
      <c r="BP40" s="8">
        <v>604.0</v>
      </c>
      <c r="BQ40" s="8">
        <v>143.0</v>
      </c>
      <c r="BR40" s="8">
        <v>129.0</v>
      </c>
      <c r="BS40" s="8">
        <v>3.0</v>
      </c>
      <c r="BT40" s="8">
        <v>5.0</v>
      </c>
      <c r="BU40" s="10" t="b">
        <v>1</v>
      </c>
      <c r="BV40" s="10" t="b">
        <v>0</v>
      </c>
      <c r="BW40" s="10" t="b">
        <v>1</v>
      </c>
      <c r="BX40" s="2" t="s">
        <v>74</v>
      </c>
      <c r="BY40" s="8">
        <v>39.0</v>
      </c>
      <c r="BZ40" s="2"/>
      <c r="CA40" s="2"/>
    </row>
    <row r="41">
      <c r="A41" s="2" t="s">
        <v>634</v>
      </c>
      <c r="B41" s="2" t="s">
        <v>121</v>
      </c>
      <c r="C41" s="8">
        <v>0.0</v>
      </c>
      <c r="D41" s="2" t="s">
        <v>71</v>
      </c>
      <c r="E41" s="2" t="s">
        <v>122</v>
      </c>
      <c r="F41" s="10" t="b">
        <v>1</v>
      </c>
      <c r="G41" s="2"/>
      <c r="H41" s="2"/>
      <c r="I41" s="2"/>
      <c r="J41" s="2"/>
      <c r="K41" s="2" t="s">
        <v>635</v>
      </c>
      <c r="L41" s="2" t="s">
        <v>636</v>
      </c>
      <c r="M41" s="2"/>
      <c r="N41" s="2" t="s">
        <v>637</v>
      </c>
      <c r="O41" s="2" t="s">
        <v>639</v>
      </c>
      <c r="P41" s="10" t="b">
        <v>0</v>
      </c>
      <c r="Q41" s="2"/>
      <c r="R41" s="2"/>
      <c r="S41" s="8">
        <v>104.0</v>
      </c>
      <c r="T41" s="8">
        <v>110.0</v>
      </c>
      <c r="U41" s="8">
        <v>2.35235379015659</v>
      </c>
      <c r="V41" s="8">
        <v>46.7616735460005</v>
      </c>
      <c r="W41" s="8">
        <v>0.106197277075642</v>
      </c>
      <c r="X41" s="8">
        <v>1.87018537521362</v>
      </c>
      <c r="Y41" s="8">
        <v>8.99657837260853</v>
      </c>
      <c r="Z41" s="8">
        <v>0.1875</v>
      </c>
      <c r="AA41" s="8">
        <v>0.106197277075642</v>
      </c>
      <c r="AB41" s="8">
        <v>0.300254215219666</v>
      </c>
      <c r="AC41" s="11">
        <v>2.55907671089516E-5</v>
      </c>
      <c r="AD41" s="8">
        <v>1.87018537521362</v>
      </c>
      <c r="AE41" s="8">
        <v>0.00149608653737232</v>
      </c>
      <c r="AF41" s="8">
        <v>0.0122973471879959</v>
      </c>
      <c r="AG41" s="8">
        <v>0.435624808073044</v>
      </c>
      <c r="AH41" s="8">
        <v>0.686506202816963</v>
      </c>
      <c r="AI41" s="8">
        <v>1.40121313214302</v>
      </c>
      <c r="AJ41" s="8">
        <v>8.99657837260853</v>
      </c>
      <c r="AK41" s="8">
        <v>3.87336259046192</v>
      </c>
      <c r="AL41" s="8">
        <v>0.1875</v>
      </c>
      <c r="AM41" s="8">
        <v>14.546875</v>
      </c>
      <c r="AN41" s="8">
        <v>9.72727298736572</v>
      </c>
      <c r="AO41" s="8">
        <v>1.3890625</v>
      </c>
      <c r="AP41" s="8">
        <v>1.75696125030517</v>
      </c>
      <c r="AQ41" s="8">
        <v>7.23259973526001</v>
      </c>
      <c r="AR41" s="8">
        <v>10.0</v>
      </c>
      <c r="AS41" s="8">
        <v>3.0</v>
      </c>
      <c r="AT41" s="8">
        <v>1.0</v>
      </c>
      <c r="AU41" s="8">
        <v>0.0</v>
      </c>
      <c r="AV41" s="8">
        <v>0.0909090909090909</v>
      </c>
      <c r="AW41" s="8">
        <v>0.0272727272727272</v>
      </c>
      <c r="AX41" s="8">
        <v>0.00909090909090909</v>
      </c>
      <c r="AY41" s="8">
        <v>0.0</v>
      </c>
      <c r="AZ41" s="8">
        <v>0.0</v>
      </c>
      <c r="BA41" s="8">
        <v>1.0</v>
      </c>
      <c r="BB41" s="8">
        <v>1.0</v>
      </c>
      <c r="BC41" s="8">
        <v>4.0</v>
      </c>
      <c r="BD41" s="8">
        <v>0.0</v>
      </c>
      <c r="BE41" s="8">
        <v>0.00909090909090909</v>
      </c>
      <c r="BF41" s="8">
        <v>0.00909090909090909</v>
      </c>
      <c r="BG41" s="8">
        <v>0.0363636363636363</v>
      </c>
      <c r="BH41" s="8">
        <v>11.0</v>
      </c>
      <c r="BI41" s="8">
        <v>30.0</v>
      </c>
      <c r="BJ41" s="2"/>
      <c r="BK41" s="8">
        <v>21.0</v>
      </c>
      <c r="BL41" s="8">
        <v>21.0</v>
      </c>
      <c r="BM41" s="2" t="s">
        <v>643</v>
      </c>
      <c r="BN41" s="2" t="s">
        <v>644</v>
      </c>
      <c r="BO41" s="8">
        <v>72.0</v>
      </c>
      <c r="BP41" s="8">
        <v>445.0</v>
      </c>
      <c r="BQ41" s="8">
        <v>313.0</v>
      </c>
      <c r="BR41" s="8">
        <v>299.0</v>
      </c>
      <c r="BS41" s="8">
        <v>13.0</v>
      </c>
      <c r="BT41" s="8">
        <v>15.0</v>
      </c>
      <c r="BU41" s="10" t="b">
        <v>1</v>
      </c>
      <c r="BV41" s="10" t="b">
        <v>0</v>
      </c>
      <c r="BW41" s="10" t="b">
        <v>1</v>
      </c>
      <c r="BX41" s="2" t="s">
        <v>74</v>
      </c>
      <c r="BY41" s="8">
        <v>110.0</v>
      </c>
      <c r="BZ41" s="2"/>
      <c r="CA41" s="2"/>
    </row>
    <row r="42">
      <c r="A42" s="2" t="s">
        <v>645</v>
      </c>
      <c r="B42" s="2" t="s">
        <v>121</v>
      </c>
      <c r="C42" s="8">
        <v>0.0</v>
      </c>
      <c r="D42" s="2" t="s">
        <v>71</v>
      </c>
      <c r="E42" s="2" t="s">
        <v>122</v>
      </c>
      <c r="F42" s="10" t="b">
        <v>1</v>
      </c>
      <c r="G42" s="2"/>
      <c r="H42" s="2"/>
      <c r="I42" s="2"/>
      <c r="J42" s="2"/>
      <c r="K42" s="2" t="s">
        <v>646</v>
      </c>
      <c r="L42" s="2" t="s">
        <v>648</v>
      </c>
      <c r="M42" s="2"/>
      <c r="N42" s="2" t="s">
        <v>652</v>
      </c>
      <c r="O42" s="2" t="s">
        <v>653</v>
      </c>
      <c r="P42" s="10" t="b">
        <v>0</v>
      </c>
      <c r="Q42" s="2"/>
      <c r="R42" s="2"/>
      <c r="S42" s="8">
        <v>100.0</v>
      </c>
      <c r="T42" s="8">
        <v>138.0</v>
      </c>
      <c r="U42" s="8">
        <v>2.35579282174701</v>
      </c>
      <c r="V42" s="8">
        <v>58.5790052189995</v>
      </c>
      <c r="W42" s="8">
        <v>0.11320350278318</v>
      </c>
      <c r="X42" s="8">
        <v>1.2935152053833</v>
      </c>
      <c r="Y42" s="8">
        <v>8.25941347730332</v>
      </c>
      <c r="Z42" s="8">
        <v>0.0710220336914062</v>
      </c>
      <c r="AA42" s="8">
        <v>0.11320350278318</v>
      </c>
      <c r="AB42" s="8">
        <v>0.256383872143983</v>
      </c>
      <c r="AC42" s="11">
        <v>5.55849965166999E-6</v>
      </c>
      <c r="AD42" s="8">
        <v>1.2935152053833</v>
      </c>
      <c r="AE42" s="8">
        <v>0.00161526456940919</v>
      </c>
      <c r="AF42" s="8">
        <v>0.0407735528424382</v>
      </c>
      <c r="AG42" s="8">
        <v>0.421865254640579</v>
      </c>
      <c r="AH42" s="8">
        <v>0.680392095446587</v>
      </c>
      <c r="AI42" s="8">
        <v>1.19514016270637</v>
      </c>
      <c r="AJ42" s="8">
        <v>8.25941347730332</v>
      </c>
      <c r="AK42" s="8">
        <v>4.06738994851111</v>
      </c>
      <c r="AL42" s="8">
        <v>0.0710220336914062</v>
      </c>
      <c r="AM42" s="8">
        <v>15.5255699157714</v>
      </c>
      <c r="AN42" s="8">
        <v>9.28622150421142</v>
      </c>
      <c r="AO42" s="8">
        <v>1.18991565704345</v>
      </c>
      <c r="AP42" s="8">
        <v>1.80354957580566</v>
      </c>
      <c r="AQ42" s="8">
        <v>5.30042695999145</v>
      </c>
      <c r="AR42" s="8">
        <v>13.0</v>
      </c>
      <c r="AS42" s="8">
        <v>4.0</v>
      </c>
      <c r="AT42" s="8">
        <v>0.0</v>
      </c>
      <c r="AU42" s="8">
        <v>0.0</v>
      </c>
      <c r="AV42" s="8">
        <v>0.0942028985507246</v>
      </c>
      <c r="AW42" s="8">
        <v>0.0289855072463768</v>
      </c>
      <c r="AX42" s="8">
        <v>0.0</v>
      </c>
      <c r="AY42" s="8">
        <v>0.0</v>
      </c>
      <c r="AZ42" s="8">
        <v>1.0</v>
      </c>
      <c r="BA42" s="8">
        <v>3.0</v>
      </c>
      <c r="BB42" s="8">
        <v>3.0</v>
      </c>
      <c r="BC42" s="8">
        <v>5.0</v>
      </c>
      <c r="BD42" s="8">
        <v>0.0072463768115942</v>
      </c>
      <c r="BE42" s="8">
        <v>0.0217391304347826</v>
      </c>
      <c r="BF42" s="8">
        <v>0.0217391304347826</v>
      </c>
      <c r="BG42" s="8">
        <v>0.036231884057971</v>
      </c>
      <c r="BH42" s="8">
        <v>10.0</v>
      </c>
      <c r="BI42" s="2"/>
      <c r="BJ42" s="2"/>
      <c r="BK42" s="8">
        <v>0.0</v>
      </c>
      <c r="BL42" s="8">
        <v>0.0</v>
      </c>
      <c r="BM42" s="2" t="s">
        <v>658</v>
      </c>
      <c r="BN42" s="2" t="s">
        <v>659</v>
      </c>
      <c r="BO42" s="8">
        <v>64.0</v>
      </c>
      <c r="BP42" s="8">
        <v>402.0</v>
      </c>
      <c r="BQ42" s="8">
        <v>427.0</v>
      </c>
      <c r="BR42" s="8">
        <v>413.0</v>
      </c>
      <c r="BS42" s="8">
        <v>13.0</v>
      </c>
      <c r="BT42" s="8">
        <v>15.0</v>
      </c>
      <c r="BU42" s="10" t="b">
        <v>1</v>
      </c>
      <c r="BV42" s="10" t="b">
        <v>0</v>
      </c>
      <c r="BW42" s="10" t="b">
        <v>1</v>
      </c>
      <c r="BX42" s="2" t="s">
        <v>74</v>
      </c>
      <c r="BY42" s="8">
        <v>138.0</v>
      </c>
      <c r="BZ42" s="2"/>
      <c r="CA42" s="2"/>
    </row>
    <row r="43">
      <c r="A43" s="2" t="s">
        <v>664</v>
      </c>
      <c r="B43" s="2" t="s">
        <v>121</v>
      </c>
      <c r="C43" s="8">
        <v>0.0</v>
      </c>
      <c r="D43" s="2" t="s">
        <v>71</v>
      </c>
      <c r="E43" s="2" t="s">
        <v>122</v>
      </c>
      <c r="F43" s="10" t="b">
        <v>1</v>
      </c>
      <c r="G43" s="2"/>
      <c r="H43" s="2"/>
      <c r="I43" s="2"/>
      <c r="J43" s="2"/>
      <c r="K43" s="2" t="s">
        <v>665</v>
      </c>
      <c r="L43" s="2" t="s">
        <v>666</v>
      </c>
      <c r="M43" s="2"/>
      <c r="N43" s="2" t="s">
        <v>667</v>
      </c>
      <c r="O43" s="2" t="s">
        <v>668</v>
      </c>
      <c r="P43" s="10" t="b">
        <v>0</v>
      </c>
      <c r="Q43" s="2"/>
      <c r="R43" s="2"/>
      <c r="S43" s="8">
        <v>180.0</v>
      </c>
      <c r="T43" s="8">
        <v>48.0</v>
      </c>
      <c r="U43" s="8">
        <v>2.34952368117668</v>
      </c>
      <c r="V43" s="8">
        <v>20.4296727820001</v>
      </c>
      <c r="W43" s="8">
        <v>0.178538176167649</v>
      </c>
      <c r="X43" s="8">
        <v>0.974613785743713</v>
      </c>
      <c r="Y43" s="8">
        <v>6.49363791942596</v>
      </c>
      <c r="Z43" s="8">
        <v>0.159090042114257</v>
      </c>
      <c r="AA43" s="8">
        <v>0.178538176167649</v>
      </c>
      <c r="AB43" s="8">
        <v>0.285547784019794</v>
      </c>
      <c r="AC43" s="11">
        <v>3.73267430404666E-5</v>
      </c>
      <c r="AD43" s="8">
        <v>0.974613785743713</v>
      </c>
      <c r="AE43" s="8">
        <v>0.0119171626865863</v>
      </c>
      <c r="AF43" s="8">
        <v>0.233983598649501</v>
      </c>
      <c r="AG43" s="8">
        <v>0.674153059720993</v>
      </c>
      <c r="AH43" s="8">
        <v>0.733343291282653</v>
      </c>
      <c r="AI43" s="8">
        <v>0.93477358341217</v>
      </c>
      <c r="AJ43" s="8">
        <v>6.49363791942596</v>
      </c>
      <c r="AK43" s="8">
        <v>3.80973972915842</v>
      </c>
      <c r="AL43" s="8">
        <v>0.159090042114257</v>
      </c>
      <c r="AM43" s="8">
        <v>13.859375</v>
      </c>
      <c r="AN43" s="8">
        <v>7.02982997894287</v>
      </c>
      <c r="AO43" s="8">
        <v>0.6921875</v>
      </c>
      <c r="AP43" s="8">
        <v>1.10667629241943</v>
      </c>
      <c r="AQ43" s="8">
        <v>2.76029825210571</v>
      </c>
      <c r="AR43" s="8">
        <v>9.0</v>
      </c>
      <c r="AS43" s="8">
        <v>0.0</v>
      </c>
      <c r="AT43" s="8">
        <v>0.0</v>
      </c>
      <c r="AU43" s="8">
        <v>0.0</v>
      </c>
      <c r="AV43" s="8">
        <v>0.1875</v>
      </c>
      <c r="AW43" s="8">
        <v>0.0</v>
      </c>
      <c r="AX43" s="8">
        <v>0.0</v>
      </c>
      <c r="AY43" s="8">
        <v>0.0</v>
      </c>
      <c r="AZ43" s="8">
        <v>0.0</v>
      </c>
      <c r="BA43" s="8">
        <v>1.0</v>
      </c>
      <c r="BB43" s="8">
        <v>1.0</v>
      </c>
      <c r="BC43" s="8">
        <v>5.0</v>
      </c>
      <c r="BD43" s="8">
        <v>0.0</v>
      </c>
      <c r="BE43" s="8">
        <v>0.0208333333333333</v>
      </c>
      <c r="BF43" s="8">
        <v>0.0208333333333333</v>
      </c>
      <c r="BG43" s="8">
        <v>0.104166666666666</v>
      </c>
      <c r="BH43" s="2"/>
      <c r="BI43" s="2"/>
      <c r="BJ43" s="2"/>
      <c r="BK43" s="8">
        <v>23.0</v>
      </c>
      <c r="BL43" s="8">
        <v>23.0</v>
      </c>
      <c r="BM43" s="2" t="s">
        <v>674</v>
      </c>
      <c r="BN43" s="2" t="s">
        <v>675</v>
      </c>
      <c r="BO43" s="8">
        <v>114.0</v>
      </c>
      <c r="BP43" s="8">
        <v>629.0</v>
      </c>
      <c r="BQ43" s="8">
        <v>186.0</v>
      </c>
      <c r="BR43" s="8">
        <v>172.0</v>
      </c>
      <c r="BS43" s="8">
        <v>4.0</v>
      </c>
      <c r="BT43" s="8">
        <v>6.0</v>
      </c>
      <c r="BU43" s="10" t="b">
        <v>1</v>
      </c>
      <c r="BV43" s="10" t="b">
        <v>0</v>
      </c>
      <c r="BW43" s="10" t="b">
        <v>1</v>
      </c>
      <c r="BX43" s="2" t="s">
        <v>74</v>
      </c>
      <c r="BY43" s="8">
        <v>48.0</v>
      </c>
      <c r="BZ43" s="2"/>
      <c r="CA43" s="2"/>
    </row>
    <row r="44">
      <c r="A44" s="2" t="s">
        <v>679</v>
      </c>
      <c r="B44" s="2" t="s">
        <v>121</v>
      </c>
      <c r="C44" s="8">
        <v>0.0</v>
      </c>
      <c r="D44" s="2" t="s">
        <v>71</v>
      </c>
      <c r="E44" s="2" t="s">
        <v>122</v>
      </c>
      <c r="F44" s="10" t="b">
        <v>1</v>
      </c>
      <c r="G44" s="2"/>
      <c r="H44" s="2"/>
      <c r="I44" s="2"/>
      <c r="J44" s="2"/>
      <c r="K44" s="2" t="s">
        <v>680</v>
      </c>
      <c r="L44" s="2" t="s">
        <v>681</v>
      </c>
      <c r="M44" s="2"/>
      <c r="N44" s="2" t="s">
        <v>683</v>
      </c>
      <c r="O44" s="2" t="s">
        <v>684</v>
      </c>
      <c r="P44" s="10" t="b">
        <v>0</v>
      </c>
      <c r="Q44" s="2"/>
      <c r="R44" s="2"/>
      <c r="S44" s="8">
        <v>128.0</v>
      </c>
      <c r="T44" s="8">
        <v>37.0</v>
      </c>
      <c r="U44" s="8">
        <v>2.34323531875253</v>
      </c>
      <c r="V44" s="8">
        <v>15.7901341379993</v>
      </c>
      <c r="W44" s="8">
        <v>0.277330299910367</v>
      </c>
      <c r="X44" s="8">
        <v>1.47883808612823</v>
      </c>
      <c r="Y44" s="8">
        <v>5.88146905641298</v>
      </c>
      <c r="Z44" s="8">
        <v>0.299715042114257</v>
      </c>
      <c r="AA44" s="8">
        <v>0.277330299910367</v>
      </c>
      <c r="AB44" s="8">
        <v>0.399284614052148</v>
      </c>
      <c r="AC44" s="11">
        <v>8.70589137775823E-5</v>
      </c>
      <c r="AD44" s="8">
        <v>1.47883808612823</v>
      </c>
      <c r="AE44" s="8">
        <v>0.0251101572066545</v>
      </c>
      <c r="AF44" s="8">
        <v>0.427814811468124</v>
      </c>
      <c r="AG44" s="8">
        <v>0.862687110900878</v>
      </c>
      <c r="AH44" s="8">
        <v>1.02462527751922</v>
      </c>
      <c r="AI44" s="8">
        <v>1.36074733257293</v>
      </c>
      <c r="AJ44" s="8">
        <v>5.88146905641298</v>
      </c>
      <c r="AK44" s="8">
        <v>3.95672974624077</v>
      </c>
      <c r="AL44" s="8">
        <v>0.299715042114257</v>
      </c>
      <c r="AM44" s="8">
        <v>13.8671875</v>
      </c>
      <c r="AN44" s="8">
        <v>6.66335105895996</v>
      </c>
      <c r="AO44" s="8">
        <v>0.576137542724609</v>
      </c>
      <c r="AP44" s="8">
        <v>1.025</v>
      </c>
      <c r="AQ44" s="8">
        <v>2.03125</v>
      </c>
      <c r="AR44" s="8">
        <v>9.0</v>
      </c>
      <c r="AS44" s="8">
        <v>2.0</v>
      </c>
      <c r="AT44" s="8">
        <v>0.0</v>
      </c>
      <c r="AU44" s="8">
        <v>0.0</v>
      </c>
      <c r="AV44" s="8">
        <v>0.243243243243243</v>
      </c>
      <c r="AW44" s="8">
        <v>0.054054054054054</v>
      </c>
      <c r="AX44" s="8">
        <v>0.0</v>
      </c>
      <c r="AY44" s="8">
        <v>0.0</v>
      </c>
      <c r="AZ44" s="8">
        <v>0.0</v>
      </c>
      <c r="BA44" s="8">
        <v>0.0</v>
      </c>
      <c r="BB44" s="8">
        <v>1.0</v>
      </c>
      <c r="BC44" s="8">
        <v>3.0</v>
      </c>
      <c r="BD44" s="8">
        <v>0.0</v>
      </c>
      <c r="BE44" s="8">
        <v>0.0</v>
      </c>
      <c r="BF44" s="8">
        <v>0.027027027027027</v>
      </c>
      <c r="BG44" s="8">
        <v>0.081081081081081</v>
      </c>
      <c r="BH44" s="8">
        <v>7.0</v>
      </c>
      <c r="BI44" s="2"/>
      <c r="BJ44" s="2"/>
      <c r="BK44" s="2"/>
      <c r="BL44" s="8">
        <v>21.0</v>
      </c>
      <c r="BM44" s="2" t="s">
        <v>690</v>
      </c>
      <c r="BN44" s="2" t="s">
        <v>693</v>
      </c>
      <c r="BO44" s="8">
        <v>83.0</v>
      </c>
      <c r="BP44" s="8">
        <v>493.0</v>
      </c>
      <c r="BQ44" s="8">
        <v>147.0</v>
      </c>
      <c r="BR44" s="8">
        <v>133.0</v>
      </c>
      <c r="BS44" s="8">
        <v>3.0</v>
      </c>
      <c r="BT44" s="8">
        <v>5.0</v>
      </c>
      <c r="BU44" s="10" t="b">
        <v>1</v>
      </c>
      <c r="BV44" s="10" t="b">
        <v>0</v>
      </c>
      <c r="BW44" s="10" t="b">
        <v>1</v>
      </c>
      <c r="BX44" s="2" t="s">
        <v>74</v>
      </c>
      <c r="BY44" s="8">
        <v>37.0</v>
      </c>
      <c r="BZ44" s="2"/>
      <c r="CA44" s="2"/>
    </row>
    <row r="45">
      <c r="A45" s="2" t="s">
        <v>694</v>
      </c>
      <c r="B45" s="2" t="s">
        <v>121</v>
      </c>
      <c r="C45" s="8">
        <v>0.0</v>
      </c>
      <c r="D45" s="2" t="s">
        <v>71</v>
      </c>
      <c r="E45" s="2" t="s">
        <v>122</v>
      </c>
      <c r="F45" s="10" t="b">
        <v>1</v>
      </c>
      <c r="G45" s="2"/>
      <c r="H45" s="2"/>
      <c r="I45" s="2"/>
      <c r="J45" s="2"/>
      <c r="K45" s="2" t="s">
        <v>695</v>
      </c>
      <c r="L45" s="2" t="s">
        <v>696</v>
      </c>
      <c r="M45" s="2"/>
      <c r="N45" s="2" t="s">
        <v>697</v>
      </c>
      <c r="O45" s="2" t="s">
        <v>698</v>
      </c>
      <c r="P45" s="10" t="b">
        <v>0</v>
      </c>
      <c r="Q45" s="2"/>
      <c r="R45" s="2"/>
      <c r="S45" s="8">
        <v>90.0</v>
      </c>
      <c r="T45" s="8">
        <v>80.0</v>
      </c>
      <c r="U45" s="8">
        <v>2.35759113278779</v>
      </c>
      <c r="V45" s="8">
        <v>33.932940656</v>
      </c>
      <c r="W45" s="8">
        <v>0.065891813223925</v>
      </c>
      <c r="X45" s="8">
        <v>1.37256062030792</v>
      </c>
      <c r="Y45" s="8">
        <v>9.88092195987701</v>
      </c>
      <c r="Z45" s="8">
        <v>0.734375</v>
      </c>
      <c r="AA45" s="8">
        <v>0.065891813223925</v>
      </c>
      <c r="AB45" s="8">
        <v>0.209889335170105</v>
      </c>
      <c r="AC45" s="11">
        <v>1.23161489682388E-5</v>
      </c>
      <c r="AD45" s="8">
        <v>1.37256062030792</v>
      </c>
      <c r="AE45" s="8">
        <v>6.77952979458496E-4</v>
      </c>
      <c r="AF45" s="8">
        <v>0.0109393072780221</v>
      </c>
      <c r="AG45" s="8">
        <v>0.182278235256671</v>
      </c>
      <c r="AH45" s="8">
        <v>0.410788494348525</v>
      </c>
      <c r="AI45" s="8">
        <v>0.925238921046253</v>
      </c>
      <c r="AJ45" s="8">
        <v>9.88092195987701</v>
      </c>
      <c r="AK45" s="8">
        <v>3.92582398417451</v>
      </c>
      <c r="AL45" s="8">
        <v>0.734375</v>
      </c>
      <c r="AM45" s="8">
        <v>15.7741479873657</v>
      </c>
      <c r="AN45" s="8">
        <v>11.0816764831542</v>
      </c>
      <c r="AO45" s="8">
        <v>2.15042514801025</v>
      </c>
      <c r="AP45" s="8">
        <v>3.3265625</v>
      </c>
      <c r="AQ45" s="8">
        <v>6.94105052947998</v>
      </c>
      <c r="AR45" s="8">
        <v>3.0</v>
      </c>
      <c r="AS45" s="8">
        <v>1.0</v>
      </c>
      <c r="AT45" s="8">
        <v>0.0</v>
      </c>
      <c r="AU45" s="8">
        <v>0.0</v>
      </c>
      <c r="AV45" s="8">
        <v>0.0375</v>
      </c>
      <c r="AW45" s="8">
        <v>0.0125</v>
      </c>
      <c r="AX45" s="8">
        <v>0.0</v>
      </c>
      <c r="AY45" s="8">
        <v>0.0</v>
      </c>
      <c r="AZ45" s="8">
        <v>0.0</v>
      </c>
      <c r="BA45" s="8">
        <v>0.0</v>
      </c>
      <c r="BB45" s="8">
        <v>0.0</v>
      </c>
      <c r="BC45" s="8">
        <v>1.0</v>
      </c>
      <c r="BD45" s="8">
        <v>0.0</v>
      </c>
      <c r="BE45" s="8">
        <v>0.0</v>
      </c>
      <c r="BF45" s="8">
        <v>0.0</v>
      </c>
      <c r="BG45" s="8">
        <v>0.0125</v>
      </c>
      <c r="BH45" s="8">
        <v>8.0</v>
      </c>
      <c r="BI45" s="2"/>
      <c r="BJ45" s="2"/>
      <c r="BK45" s="2"/>
      <c r="BL45" s="2"/>
      <c r="BM45" s="2" t="s">
        <v>703</v>
      </c>
      <c r="BN45" s="2" t="s">
        <v>704</v>
      </c>
      <c r="BO45" s="8">
        <v>74.0</v>
      </c>
      <c r="BP45" s="8">
        <v>410.0</v>
      </c>
      <c r="BQ45" s="8">
        <v>221.0</v>
      </c>
      <c r="BR45" s="8">
        <v>207.0</v>
      </c>
      <c r="BS45" s="8">
        <v>11.0</v>
      </c>
      <c r="BT45" s="8">
        <v>13.0</v>
      </c>
      <c r="BU45" s="10" t="b">
        <v>1</v>
      </c>
      <c r="BV45" s="10" t="b">
        <v>0</v>
      </c>
      <c r="BW45" s="10" t="b">
        <v>1</v>
      </c>
      <c r="BX45" s="2" t="s">
        <v>74</v>
      </c>
      <c r="BY45" s="8">
        <v>80.0</v>
      </c>
      <c r="BZ45" s="2"/>
      <c r="CA45" s="2"/>
    </row>
    <row r="46">
      <c r="A46" s="2" t="s">
        <v>707</v>
      </c>
      <c r="B46" s="2" t="s">
        <v>121</v>
      </c>
      <c r="C46" s="8">
        <v>0.0</v>
      </c>
      <c r="D46" s="2" t="s">
        <v>71</v>
      </c>
      <c r="E46" s="2" t="s">
        <v>122</v>
      </c>
      <c r="F46" s="10" t="b">
        <v>1</v>
      </c>
      <c r="G46" s="2"/>
      <c r="H46" s="2"/>
      <c r="I46" s="2"/>
      <c r="J46" s="2"/>
      <c r="K46" s="2" t="s">
        <v>710</v>
      </c>
      <c r="L46" s="2" t="s">
        <v>711</v>
      </c>
      <c r="M46" s="2"/>
      <c r="N46" s="2" t="s">
        <v>712</v>
      </c>
      <c r="O46" s="2" t="s">
        <v>713</v>
      </c>
      <c r="P46" s="10" t="b">
        <v>0</v>
      </c>
      <c r="Q46" s="2"/>
      <c r="R46" s="2"/>
      <c r="S46" s="8">
        <v>358.0</v>
      </c>
      <c r="T46" s="8">
        <v>72.0</v>
      </c>
      <c r="U46" s="8">
        <v>2.3210597696242</v>
      </c>
      <c r="V46" s="8">
        <v>31.0203127649992</v>
      </c>
      <c r="W46" s="8">
        <v>0.176240169596301</v>
      </c>
      <c r="X46" s="8">
        <v>1.55893421173095</v>
      </c>
      <c r="Y46" s="8">
        <v>7.66774229208628</v>
      </c>
      <c r="Z46" s="8">
        <v>0.109375</v>
      </c>
      <c r="AA46" s="8">
        <v>0.176240169596301</v>
      </c>
      <c r="AB46" s="8">
        <v>0.332500914268197</v>
      </c>
      <c r="AC46" s="11">
        <v>5.04426770930876E-6</v>
      </c>
      <c r="AD46" s="8">
        <v>1.55893421173095</v>
      </c>
      <c r="AE46" s="8">
        <v>0.00564615032635629</v>
      </c>
      <c r="AF46" s="8">
        <v>0.141729343682527</v>
      </c>
      <c r="AG46" s="8">
        <v>0.681821644306182</v>
      </c>
      <c r="AH46" s="8">
        <v>0.960663643479347</v>
      </c>
      <c r="AI46" s="8">
        <v>1.19548203229904</v>
      </c>
      <c r="AJ46" s="8">
        <v>7.66774229208628</v>
      </c>
      <c r="AK46" s="8">
        <v>4.5646661288268</v>
      </c>
      <c r="AL46" s="8">
        <v>0.109375</v>
      </c>
      <c r="AM46" s="8">
        <v>16.25</v>
      </c>
      <c r="AN46" s="8">
        <v>7.94389247894287</v>
      </c>
      <c r="AO46" s="8">
        <v>0.680469322204589</v>
      </c>
      <c r="AP46" s="8">
        <v>1.30170345306396</v>
      </c>
      <c r="AQ46" s="8">
        <v>3.63884973526</v>
      </c>
      <c r="AR46" s="8">
        <v>11.0</v>
      </c>
      <c r="AS46" s="8">
        <v>3.0</v>
      </c>
      <c r="AT46" s="8">
        <v>1.0</v>
      </c>
      <c r="AU46" s="8">
        <v>0.0</v>
      </c>
      <c r="AV46" s="8">
        <v>0.152777777777777</v>
      </c>
      <c r="AW46" s="8">
        <v>0.0416666666666666</v>
      </c>
      <c r="AX46" s="8">
        <v>0.0138888888888888</v>
      </c>
      <c r="AY46" s="8">
        <v>0.0</v>
      </c>
      <c r="AZ46" s="8">
        <v>0.0</v>
      </c>
      <c r="BA46" s="8">
        <v>2.0</v>
      </c>
      <c r="BB46" s="8">
        <v>3.0</v>
      </c>
      <c r="BC46" s="8">
        <v>6.0</v>
      </c>
      <c r="BD46" s="8">
        <v>0.0</v>
      </c>
      <c r="BE46" s="8">
        <v>0.0277777777777777</v>
      </c>
      <c r="BF46" s="8">
        <v>0.0416666666666666</v>
      </c>
      <c r="BG46" s="8">
        <v>0.0833333333333333</v>
      </c>
      <c r="BH46" s="8">
        <v>11.0</v>
      </c>
      <c r="BI46" s="8">
        <v>11.0</v>
      </c>
      <c r="BJ46" s="2"/>
      <c r="BK46" s="8">
        <v>11.0</v>
      </c>
      <c r="BL46" s="8">
        <v>3.0</v>
      </c>
      <c r="BM46" s="2" t="s">
        <v>719</v>
      </c>
      <c r="BN46" s="2" t="s">
        <v>721</v>
      </c>
      <c r="BO46" s="8">
        <v>106.0</v>
      </c>
      <c r="BP46" s="8">
        <v>747.0</v>
      </c>
      <c r="BQ46" s="8">
        <v>328.0</v>
      </c>
      <c r="BR46" s="8">
        <v>314.0</v>
      </c>
      <c r="BS46" s="8">
        <v>8.0</v>
      </c>
      <c r="BT46" s="8">
        <v>10.0</v>
      </c>
      <c r="BU46" s="10" t="b">
        <v>1</v>
      </c>
      <c r="BV46" s="10" t="b">
        <v>1</v>
      </c>
      <c r="BW46" s="10" t="b">
        <v>1</v>
      </c>
      <c r="BX46" s="2" t="s">
        <v>74</v>
      </c>
      <c r="BY46" s="8">
        <v>72.0</v>
      </c>
      <c r="BZ46" s="2"/>
      <c r="CA46" s="2"/>
    </row>
    <row r="47">
      <c r="A47" s="2" t="s">
        <v>724</v>
      </c>
      <c r="B47" s="2" t="s">
        <v>121</v>
      </c>
      <c r="C47" s="8">
        <v>0.0</v>
      </c>
      <c r="D47" s="2" t="s">
        <v>71</v>
      </c>
      <c r="E47" s="2" t="s">
        <v>122</v>
      </c>
      <c r="F47" s="10" t="b">
        <v>1</v>
      </c>
      <c r="G47" s="2"/>
      <c r="H47" s="2"/>
      <c r="I47" s="2"/>
      <c r="J47" s="2"/>
      <c r="K47" s="2" t="s">
        <v>725</v>
      </c>
      <c r="L47" s="2" t="s">
        <v>726</v>
      </c>
      <c r="M47" s="2"/>
      <c r="N47" s="2" t="s">
        <v>727</v>
      </c>
      <c r="O47" s="2" t="s">
        <v>729</v>
      </c>
      <c r="P47" s="10" t="b">
        <v>0</v>
      </c>
      <c r="Q47" s="2"/>
      <c r="R47" s="2"/>
      <c r="S47" s="8">
        <v>173.0</v>
      </c>
      <c r="T47" s="8">
        <v>37.0</v>
      </c>
      <c r="U47" s="8">
        <v>2.3353736127973</v>
      </c>
      <c r="V47" s="8">
        <v>15.8432893979997</v>
      </c>
      <c r="W47" s="8">
        <v>0.192131160718712</v>
      </c>
      <c r="X47" s="8">
        <v>1.29585814476013</v>
      </c>
      <c r="Y47" s="8">
        <v>6.23067054233035</v>
      </c>
      <c r="Z47" s="8">
        <v>0.390625</v>
      </c>
      <c r="AA47" s="8">
        <v>0.192131160718712</v>
      </c>
      <c r="AB47" s="8">
        <v>0.353282062982109</v>
      </c>
      <c r="AC47" s="8">
        <v>1.22945915791206E-4</v>
      </c>
      <c r="AD47" s="8">
        <v>1.29585814476013</v>
      </c>
      <c r="AE47" s="8">
        <v>0.016703400760889</v>
      </c>
      <c r="AF47" s="8">
        <v>0.189608380198478</v>
      </c>
      <c r="AG47" s="8">
        <v>0.754297649860381</v>
      </c>
      <c r="AH47" s="8">
        <v>1.08989706039428</v>
      </c>
      <c r="AI47" s="8">
        <v>1.24711669921875</v>
      </c>
      <c r="AJ47" s="8">
        <v>6.23067054233035</v>
      </c>
      <c r="AK47" s="8">
        <v>3.35406983791287</v>
      </c>
      <c r="AL47" s="8">
        <v>0.390625</v>
      </c>
      <c r="AM47" s="8">
        <v>13.03125</v>
      </c>
      <c r="AN47" s="8">
        <v>6.57102394104003</v>
      </c>
      <c r="AO47" s="8">
        <v>0.54375</v>
      </c>
      <c r="AP47" s="8">
        <v>1.1625</v>
      </c>
      <c r="AQ47" s="8">
        <v>3.625</v>
      </c>
      <c r="AR47" s="8">
        <v>5.0</v>
      </c>
      <c r="AS47" s="8">
        <v>3.0</v>
      </c>
      <c r="AT47" s="8">
        <v>0.0</v>
      </c>
      <c r="AU47" s="8">
        <v>0.0</v>
      </c>
      <c r="AV47" s="8">
        <v>0.135135135135135</v>
      </c>
      <c r="AW47" s="8">
        <v>0.081081081081081</v>
      </c>
      <c r="AX47" s="8">
        <v>0.0</v>
      </c>
      <c r="AY47" s="8">
        <v>0.0</v>
      </c>
      <c r="AZ47" s="8">
        <v>0.0</v>
      </c>
      <c r="BA47" s="8">
        <v>0.0</v>
      </c>
      <c r="BB47" s="8">
        <v>1.0</v>
      </c>
      <c r="BC47" s="8">
        <v>4.0</v>
      </c>
      <c r="BD47" s="8">
        <v>0.0</v>
      </c>
      <c r="BE47" s="8">
        <v>0.0</v>
      </c>
      <c r="BF47" s="8">
        <v>0.027027027027027</v>
      </c>
      <c r="BG47" s="8">
        <v>0.108108108108108</v>
      </c>
      <c r="BH47" s="8">
        <v>9.0</v>
      </c>
      <c r="BI47" s="2"/>
      <c r="BJ47" s="2"/>
      <c r="BK47" s="2"/>
      <c r="BL47" s="8">
        <v>9.0</v>
      </c>
      <c r="BM47" s="2" t="s">
        <v>737</v>
      </c>
      <c r="BN47" s="2" t="s">
        <v>738</v>
      </c>
      <c r="BO47" s="8">
        <v>94.0</v>
      </c>
      <c r="BP47" s="8">
        <v>575.0</v>
      </c>
      <c r="BQ47" s="8">
        <v>150.0</v>
      </c>
      <c r="BR47" s="8">
        <v>136.0</v>
      </c>
      <c r="BS47" s="8">
        <v>7.0</v>
      </c>
      <c r="BT47" s="8">
        <v>9.0</v>
      </c>
      <c r="BU47" s="10" t="b">
        <v>1</v>
      </c>
      <c r="BV47" s="10" t="b">
        <v>1</v>
      </c>
      <c r="BW47" s="10" t="b">
        <v>1</v>
      </c>
      <c r="BX47" s="2" t="s">
        <v>74</v>
      </c>
      <c r="BY47" s="8">
        <v>37.0</v>
      </c>
      <c r="BZ47" s="2"/>
      <c r="CA47" s="2"/>
    </row>
    <row r="48">
      <c r="A48" s="2" t="s">
        <v>744</v>
      </c>
      <c r="B48" s="2" t="s">
        <v>121</v>
      </c>
      <c r="C48" s="8">
        <v>0.0</v>
      </c>
      <c r="D48" s="2" t="s">
        <v>71</v>
      </c>
      <c r="E48" s="2" t="s">
        <v>122</v>
      </c>
      <c r="F48" s="10" t="b">
        <v>1</v>
      </c>
      <c r="G48" s="2"/>
      <c r="H48" s="2"/>
      <c r="I48" s="2"/>
      <c r="J48" s="2"/>
      <c r="K48" s="2" t="s">
        <v>745</v>
      </c>
      <c r="L48" s="2" t="s">
        <v>746</v>
      </c>
      <c r="M48" s="2"/>
      <c r="N48" s="2" t="s">
        <v>748</v>
      </c>
      <c r="O48" s="2" t="s">
        <v>749</v>
      </c>
      <c r="P48" s="10" t="b">
        <v>0</v>
      </c>
      <c r="Q48" s="2"/>
      <c r="R48" s="2"/>
      <c r="S48" s="8">
        <v>114.0</v>
      </c>
      <c r="T48" s="8">
        <v>35.0</v>
      </c>
      <c r="U48" s="8">
        <v>2.3586765371927</v>
      </c>
      <c r="V48" s="8">
        <v>14.8388299319994</v>
      </c>
      <c r="W48" s="8">
        <v>0.268198614915023</v>
      </c>
      <c r="X48" s="8">
        <v>1.15594625473022</v>
      </c>
      <c r="Y48" s="8">
        <v>5.8386975969587</v>
      </c>
      <c r="Z48" s="8">
        <v>0.09375</v>
      </c>
      <c r="AA48" s="8">
        <v>0.268198614915023</v>
      </c>
      <c r="AB48" s="8">
        <v>0.344523904678988</v>
      </c>
      <c r="AC48" s="11">
        <v>5.91390016779769E-6</v>
      </c>
      <c r="AD48" s="8">
        <v>1.15594625473022</v>
      </c>
      <c r="AE48" s="8">
        <v>0.0378732159733772</v>
      </c>
      <c r="AF48" s="8">
        <v>0.49239607155323</v>
      </c>
      <c r="AG48" s="8">
        <v>0.796070349216461</v>
      </c>
      <c r="AH48" s="8">
        <v>0.958328229188918</v>
      </c>
      <c r="AI48" s="8">
        <v>1.10526836395263</v>
      </c>
      <c r="AJ48" s="8">
        <v>5.8386975969587</v>
      </c>
      <c r="AK48" s="8">
        <v>4.29875162657673</v>
      </c>
      <c r="AL48" s="8">
        <v>0.09375</v>
      </c>
      <c r="AM48" s="8">
        <v>16.5703125</v>
      </c>
      <c r="AN48" s="8">
        <v>5.78835296630859</v>
      </c>
      <c r="AO48" s="8">
        <v>0.896875</v>
      </c>
      <c r="AP48" s="8">
        <v>1.178125</v>
      </c>
      <c r="AQ48" s="8">
        <v>2.09446048736572</v>
      </c>
      <c r="AR48" s="8">
        <v>9.0</v>
      </c>
      <c r="AS48" s="8">
        <v>2.0</v>
      </c>
      <c r="AT48" s="8">
        <v>0.0</v>
      </c>
      <c r="AU48" s="8">
        <v>0.0</v>
      </c>
      <c r="AV48" s="8">
        <v>0.257142857142857</v>
      </c>
      <c r="AW48" s="8">
        <v>0.0571428571428571</v>
      </c>
      <c r="AX48" s="8">
        <v>0.0</v>
      </c>
      <c r="AY48" s="8">
        <v>0.0</v>
      </c>
      <c r="AZ48" s="8">
        <v>1.0</v>
      </c>
      <c r="BA48" s="8">
        <v>1.0</v>
      </c>
      <c r="BB48" s="8">
        <v>1.0</v>
      </c>
      <c r="BC48" s="8">
        <v>3.0</v>
      </c>
      <c r="BD48" s="8">
        <v>0.0285714285714285</v>
      </c>
      <c r="BE48" s="8">
        <v>0.0285714285714285</v>
      </c>
      <c r="BF48" s="8">
        <v>0.0285714285714285</v>
      </c>
      <c r="BG48" s="8">
        <v>0.0857142857142857</v>
      </c>
      <c r="BH48" s="8">
        <v>10.0</v>
      </c>
      <c r="BI48" s="2"/>
      <c r="BJ48" s="2"/>
      <c r="BK48" s="8">
        <v>0.0</v>
      </c>
      <c r="BL48" s="8">
        <v>0.0</v>
      </c>
      <c r="BM48" s="2" t="s">
        <v>757</v>
      </c>
      <c r="BN48" s="2" t="s">
        <v>759</v>
      </c>
      <c r="BO48" s="8">
        <v>125.0</v>
      </c>
      <c r="BP48" s="8">
        <v>505.0</v>
      </c>
      <c r="BQ48" s="8">
        <v>131.0</v>
      </c>
      <c r="BR48" s="8">
        <v>117.0</v>
      </c>
      <c r="BS48" s="8">
        <v>3.0</v>
      </c>
      <c r="BT48" s="8">
        <v>5.0</v>
      </c>
      <c r="BU48" s="10" t="b">
        <v>1</v>
      </c>
      <c r="BV48" s="10" t="b">
        <v>0</v>
      </c>
      <c r="BW48" s="10" t="b">
        <v>1</v>
      </c>
      <c r="BX48" s="2" t="s">
        <v>74</v>
      </c>
      <c r="BY48" s="8">
        <v>35.0</v>
      </c>
      <c r="BZ48" s="2"/>
      <c r="CA48" s="2"/>
    </row>
    <row r="49">
      <c r="A49" s="2" t="s">
        <v>763</v>
      </c>
      <c r="B49" s="2" t="s">
        <v>121</v>
      </c>
      <c r="C49" s="8">
        <v>0.0</v>
      </c>
      <c r="D49" s="2" t="s">
        <v>71</v>
      </c>
      <c r="E49" s="2" t="s">
        <v>122</v>
      </c>
      <c r="F49" s="10" t="b">
        <v>1</v>
      </c>
      <c r="G49" s="2"/>
      <c r="H49" s="2"/>
      <c r="I49" s="2"/>
      <c r="J49" s="2"/>
      <c r="K49" s="2" t="s">
        <v>764</v>
      </c>
      <c r="L49" s="2" t="s">
        <v>765</v>
      </c>
      <c r="M49" s="2"/>
      <c r="N49" s="2" t="s">
        <v>767</v>
      </c>
      <c r="O49" s="2" t="s">
        <v>771</v>
      </c>
      <c r="P49" s="10" t="b">
        <v>0</v>
      </c>
      <c r="Q49" s="2"/>
      <c r="R49" s="2"/>
      <c r="S49" s="8">
        <v>110.0</v>
      </c>
      <c r="T49" s="8">
        <v>97.0</v>
      </c>
      <c r="U49" s="8">
        <v>2.35549829010143</v>
      </c>
      <c r="V49" s="8">
        <v>41.1802464080001</v>
      </c>
      <c r="W49" s="8">
        <v>0.0718776021278723</v>
      </c>
      <c r="X49" s="8">
        <v>1.34801316261291</v>
      </c>
      <c r="Y49" s="8">
        <v>10.1866438167611</v>
      </c>
      <c r="Z49" s="8">
        <v>0.03125</v>
      </c>
      <c r="AA49" s="8">
        <v>0.0718776021278723</v>
      </c>
      <c r="AB49" s="8">
        <v>0.222256844228497</v>
      </c>
      <c r="AC49" s="11">
        <v>2.21218670048983E-6</v>
      </c>
      <c r="AD49" s="8">
        <v>1.34801316261291</v>
      </c>
      <c r="AE49" s="8">
        <v>2.61990557191893E-4</v>
      </c>
      <c r="AF49" s="8">
        <v>0.00316601945087313</v>
      </c>
      <c r="AG49" s="8">
        <v>0.249254134297371</v>
      </c>
      <c r="AH49" s="8">
        <v>0.482137095928191</v>
      </c>
      <c r="AI49" s="8">
        <v>1.18356305122375</v>
      </c>
      <c r="AJ49" s="8">
        <v>10.1866438167611</v>
      </c>
      <c r="AK49" s="8">
        <v>3.99357999344082</v>
      </c>
      <c r="AL49" s="8">
        <v>0.03125</v>
      </c>
      <c r="AM49" s="8">
        <v>16.0937519073486</v>
      </c>
      <c r="AN49" s="8">
        <v>11.3877849578857</v>
      </c>
      <c r="AO49" s="8">
        <v>1.81647796630859</v>
      </c>
      <c r="AP49" s="8">
        <v>3.25142097473144</v>
      </c>
      <c r="AQ49" s="8">
        <v>8.50142097473144</v>
      </c>
      <c r="AR49" s="8">
        <v>5.0</v>
      </c>
      <c r="AS49" s="8">
        <v>2.0</v>
      </c>
      <c r="AT49" s="8">
        <v>0.0</v>
      </c>
      <c r="AU49" s="8">
        <v>0.0</v>
      </c>
      <c r="AV49" s="8">
        <v>0.0515463917525773</v>
      </c>
      <c r="AW49" s="8">
        <v>0.0206185567010309</v>
      </c>
      <c r="AX49" s="8">
        <v>0.0</v>
      </c>
      <c r="AY49" s="8">
        <v>0.0</v>
      </c>
      <c r="AZ49" s="8">
        <v>1.0</v>
      </c>
      <c r="BA49" s="8">
        <v>2.0</v>
      </c>
      <c r="BB49" s="8">
        <v>3.0</v>
      </c>
      <c r="BC49" s="8">
        <v>3.0</v>
      </c>
      <c r="BD49" s="8">
        <v>0.0103092783505154</v>
      </c>
      <c r="BE49" s="8">
        <v>0.0206185567010309</v>
      </c>
      <c r="BF49" s="8">
        <v>0.0309278350515463</v>
      </c>
      <c r="BG49" s="8">
        <v>0.0309278350515463</v>
      </c>
      <c r="BH49" s="8">
        <v>9.0</v>
      </c>
      <c r="BI49" s="2"/>
      <c r="BJ49" s="2"/>
      <c r="BK49" s="8">
        <v>9.0</v>
      </c>
      <c r="BL49" s="8">
        <v>9.0</v>
      </c>
      <c r="BM49" s="2" t="s">
        <v>780</v>
      </c>
      <c r="BN49" s="2" t="s">
        <v>781</v>
      </c>
      <c r="BO49" s="8">
        <v>101.0</v>
      </c>
      <c r="BP49" s="8">
        <v>493.0</v>
      </c>
      <c r="BQ49" s="8">
        <v>266.0</v>
      </c>
      <c r="BR49" s="8">
        <v>252.0</v>
      </c>
      <c r="BS49" s="8">
        <v>10.0</v>
      </c>
      <c r="BT49" s="8">
        <v>12.0</v>
      </c>
      <c r="BU49" s="10" t="b">
        <v>1</v>
      </c>
      <c r="BV49" s="10" t="b">
        <v>0</v>
      </c>
      <c r="BW49" s="10" t="b">
        <v>1</v>
      </c>
      <c r="BX49" s="2" t="s">
        <v>74</v>
      </c>
      <c r="BY49" s="8">
        <v>97.0</v>
      </c>
      <c r="BZ49" s="2"/>
      <c r="CA49" s="2"/>
    </row>
    <row r="50">
      <c r="A50" s="2" t="s">
        <v>784</v>
      </c>
      <c r="B50" s="2" t="s">
        <v>121</v>
      </c>
      <c r="C50" s="8">
        <v>0.0</v>
      </c>
      <c r="D50" s="2" t="s">
        <v>71</v>
      </c>
      <c r="E50" s="2" t="s">
        <v>122</v>
      </c>
      <c r="F50" s="10" t="b">
        <v>1</v>
      </c>
      <c r="G50" s="2"/>
      <c r="H50" s="2"/>
      <c r="I50" s="2"/>
      <c r="J50" s="2"/>
      <c r="K50" s="2" t="s">
        <v>787</v>
      </c>
      <c r="L50" s="2" t="s">
        <v>788</v>
      </c>
      <c r="M50" s="2"/>
      <c r="N50" s="2" t="s">
        <v>789</v>
      </c>
      <c r="O50" s="2" t="s">
        <v>791</v>
      </c>
      <c r="P50" s="10" t="b">
        <v>0</v>
      </c>
      <c r="Q50" s="2"/>
      <c r="R50" s="2"/>
      <c r="S50" s="8">
        <v>138.0</v>
      </c>
      <c r="T50" s="8">
        <v>37.0</v>
      </c>
      <c r="U50" s="8">
        <v>2.34110214891125</v>
      </c>
      <c r="V50" s="8">
        <v>15.8045218220004</v>
      </c>
      <c r="W50" s="8">
        <v>0.255544313537871</v>
      </c>
      <c r="X50" s="8">
        <v>1.86067628860473</v>
      </c>
      <c r="Y50" s="8">
        <v>6.49950112523259</v>
      </c>
      <c r="Z50" s="8">
        <v>0.375</v>
      </c>
      <c r="AA50" s="8">
        <v>0.255544313537871</v>
      </c>
      <c r="AB50" s="8">
        <v>0.43711884938587</v>
      </c>
      <c r="AC50" s="11">
        <v>2.60914589489402E-6</v>
      </c>
      <c r="AD50" s="8">
        <v>1.86067628860473</v>
      </c>
      <c r="AE50" s="8">
        <v>0.0194663610309362</v>
      </c>
      <c r="AF50" s="8">
        <v>0.347967892885208</v>
      </c>
      <c r="AG50" s="8">
        <v>0.785775566101074</v>
      </c>
      <c r="AH50" s="8">
        <v>1.20448868274688</v>
      </c>
      <c r="AI50" s="8">
        <v>1.65442261219024</v>
      </c>
      <c r="AJ50" s="8">
        <v>6.49950112523259</v>
      </c>
      <c r="AK50" s="8">
        <v>4.56929856227147</v>
      </c>
      <c r="AL50" s="8">
        <v>0.375</v>
      </c>
      <c r="AM50" s="8">
        <v>16.3849430084228</v>
      </c>
      <c r="AN50" s="8">
        <v>5.99005699157714</v>
      </c>
      <c r="AO50" s="8">
        <v>0.553125</v>
      </c>
      <c r="AP50" s="8">
        <v>1.03778457641601</v>
      </c>
      <c r="AQ50" s="8">
        <v>2.08380699157714</v>
      </c>
      <c r="AR50" s="8">
        <v>8.0</v>
      </c>
      <c r="AS50" s="8">
        <v>3.0</v>
      </c>
      <c r="AT50" s="8">
        <v>1.0</v>
      </c>
      <c r="AU50" s="8">
        <v>0.0</v>
      </c>
      <c r="AV50" s="8">
        <v>0.216216216216216</v>
      </c>
      <c r="AW50" s="8">
        <v>0.081081081081081</v>
      </c>
      <c r="AX50" s="8">
        <v>0.027027027027027</v>
      </c>
      <c r="AY50" s="8">
        <v>0.0</v>
      </c>
      <c r="AZ50" s="8">
        <v>0.0</v>
      </c>
      <c r="BA50" s="8">
        <v>0.0</v>
      </c>
      <c r="BB50" s="8">
        <v>2.0</v>
      </c>
      <c r="BC50" s="8">
        <v>3.0</v>
      </c>
      <c r="BD50" s="8">
        <v>0.0</v>
      </c>
      <c r="BE50" s="8">
        <v>0.0</v>
      </c>
      <c r="BF50" s="8">
        <v>0.054054054054054</v>
      </c>
      <c r="BG50" s="8">
        <v>0.081081081081081</v>
      </c>
      <c r="BH50" s="8">
        <v>13.0</v>
      </c>
      <c r="BI50" s="8">
        <v>13.0</v>
      </c>
      <c r="BJ50" s="2"/>
      <c r="BK50" s="2"/>
      <c r="BL50" s="8">
        <v>0.0</v>
      </c>
      <c r="BM50" s="2" t="s">
        <v>800</v>
      </c>
      <c r="BN50" s="2" t="s">
        <v>802</v>
      </c>
      <c r="BO50" s="8">
        <v>83.0</v>
      </c>
      <c r="BP50" s="8">
        <v>476.0</v>
      </c>
      <c r="BQ50" s="8">
        <v>118.0</v>
      </c>
      <c r="BR50" s="8">
        <v>104.0</v>
      </c>
      <c r="BS50" s="8">
        <v>3.0</v>
      </c>
      <c r="BT50" s="8">
        <v>5.0</v>
      </c>
      <c r="BU50" s="10" t="b">
        <v>1</v>
      </c>
      <c r="BV50" s="10" t="b">
        <v>0</v>
      </c>
      <c r="BW50" s="10" t="b">
        <v>1</v>
      </c>
      <c r="BX50" s="2" t="s">
        <v>74</v>
      </c>
      <c r="BY50" s="8">
        <v>37.0</v>
      </c>
      <c r="BZ50" s="2"/>
      <c r="CA50" s="2"/>
    </row>
    <row r="51">
      <c r="A51" s="2" t="s">
        <v>805</v>
      </c>
      <c r="B51" s="2" t="s">
        <v>121</v>
      </c>
      <c r="C51" s="8">
        <v>0.0</v>
      </c>
      <c r="D51" s="2" t="s">
        <v>71</v>
      </c>
      <c r="E51" s="2" t="s">
        <v>122</v>
      </c>
      <c r="F51" s="10" t="b">
        <v>1</v>
      </c>
      <c r="G51" s="2"/>
      <c r="H51" s="2"/>
      <c r="I51" s="2"/>
      <c r="J51" s="2"/>
      <c r="K51" s="2" t="s">
        <v>807</v>
      </c>
      <c r="L51" s="2" t="s">
        <v>811</v>
      </c>
      <c r="M51" s="2"/>
      <c r="N51" s="2" t="s">
        <v>812</v>
      </c>
      <c r="O51" s="2" t="s">
        <v>813</v>
      </c>
      <c r="P51" s="10" t="b">
        <v>0</v>
      </c>
      <c r="Q51" s="2"/>
      <c r="R51" s="2"/>
      <c r="S51" s="8">
        <v>101.0</v>
      </c>
      <c r="T51" s="8">
        <v>28.0</v>
      </c>
      <c r="U51" s="8">
        <v>2.35640518000495</v>
      </c>
      <c r="V51" s="8">
        <v>11.8825065559994</v>
      </c>
      <c r="W51" s="8">
        <v>0.178363668477751</v>
      </c>
      <c r="X51" s="8">
        <v>1.08596277236938</v>
      </c>
      <c r="Y51" s="8">
        <v>7.00317079680306</v>
      </c>
      <c r="Z51" s="8">
        <v>1.15198707580566</v>
      </c>
      <c r="AA51" s="8">
        <v>0.178363668477751</v>
      </c>
      <c r="AB51" s="8">
        <v>0.281408328261388</v>
      </c>
      <c r="AC51" s="11">
        <v>1.66262670973083E-5</v>
      </c>
      <c r="AD51" s="8">
        <v>1.08596277236938</v>
      </c>
      <c r="AE51" s="8">
        <v>0.0115269687958061</v>
      </c>
      <c r="AF51" s="8">
        <v>0.256123028695583</v>
      </c>
      <c r="AG51" s="8">
        <v>0.613834178447723</v>
      </c>
      <c r="AH51" s="8">
        <v>0.666616895794868</v>
      </c>
      <c r="AI51" s="8">
        <v>0.979922921061516</v>
      </c>
      <c r="AJ51" s="8">
        <v>7.00317079680306</v>
      </c>
      <c r="AK51" s="8">
        <v>4.40568651589036</v>
      </c>
      <c r="AL51" s="8">
        <v>1.15198707580566</v>
      </c>
      <c r="AM51" s="8">
        <v>14.8551130294799</v>
      </c>
      <c r="AN51" s="8">
        <v>7.54403495788574</v>
      </c>
      <c r="AO51" s="8">
        <v>1.23515625</v>
      </c>
      <c r="AP51" s="8">
        <v>1.2984375</v>
      </c>
      <c r="AQ51" s="8">
        <v>3.16015625</v>
      </c>
      <c r="AR51" s="8">
        <v>4.0</v>
      </c>
      <c r="AS51" s="8">
        <v>1.0</v>
      </c>
      <c r="AT51" s="8">
        <v>0.0</v>
      </c>
      <c r="AU51" s="8">
        <v>0.0</v>
      </c>
      <c r="AV51" s="8">
        <v>0.142857142857142</v>
      </c>
      <c r="AW51" s="8">
        <v>0.0357142857142857</v>
      </c>
      <c r="AX51" s="8">
        <v>0.0</v>
      </c>
      <c r="AY51" s="8">
        <v>0.0</v>
      </c>
      <c r="AZ51" s="8">
        <v>0.0</v>
      </c>
      <c r="BA51" s="8">
        <v>0.0</v>
      </c>
      <c r="BB51" s="8">
        <v>0.0</v>
      </c>
      <c r="BC51" s="8">
        <v>0.0</v>
      </c>
      <c r="BD51" s="8">
        <v>0.0</v>
      </c>
      <c r="BE51" s="8">
        <v>0.0</v>
      </c>
      <c r="BF51" s="8">
        <v>0.0</v>
      </c>
      <c r="BG51" s="8">
        <v>0.0</v>
      </c>
      <c r="BH51" s="8">
        <v>14.0</v>
      </c>
      <c r="BI51" s="2"/>
      <c r="BJ51" s="2"/>
      <c r="BK51" s="2"/>
      <c r="BL51" s="2"/>
      <c r="BM51" s="2" t="s">
        <v>824</v>
      </c>
      <c r="BN51" s="2" t="s">
        <v>825</v>
      </c>
      <c r="BO51" s="8">
        <v>69.0</v>
      </c>
      <c r="BP51" s="8">
        <v>523.0</v>
      </c>
      <c r="BQ51" s="8">
        <v>106.0</v>
      </c>
      <c r="BR51" s="8">
        <v>92.0</v>
      </c>
      <c r="BS51" s="8">
        <v>2.0</v>
      </c>
      <c r="BT51" s="8">
        <v>4.0</v>
      </c>
      <c r="BU51" s="10" t="b">
        <v>1</v>
      </c>
      <c r="BV51" s="10" t="b">
        <v>0</v>
      </c>
      <c r="BW51" s="10" t="b">
        <v>1</v>
      </c>
      <c r="BX51" s="2" t="s">
        <v>74</v>
      </c>
      <c r="BY51" s="8">
        <v>28.0</v>
      </c>
      <c r="BZ51" s="2"/>
      <c r="CA51" s="2"/>
    </row>
    <row r="52">
      <c r="A52" s="2" t="s">
        <v>828</v>
      </c>
      <c r="B52" s="2" t="s">
        <v>121</v>
      </c>
      <c r="C52" s="8">
        <v>0.0</v>
      </c>
      <c r="D52" s="2" t="s">
        <v>71</v>
      </c>
      <c r="E52" s="2" t="s">
        <v>122</v>
      </c>
      <c r="F52" s="10" t="b">
        <v>1</v>
      </c>
      <c r="G52" s="2"/>
      <c r="H52" s="2"/>
      <c r="I52" s="2"/>
      <c r="J52" s="2"/>
      <c r="K52" s="2" t="s">
        <v>831</v>
      </c>
      <c r="L52" s="2" t="s">
        <v>832</v>
      </c>
      <c r="M52" s="2"/>
      <c r="N52" s="2" t="s">
        <v>833</v>
      </c>
      <c r="O52" s="2" t="s">
        <v>835</v>
      </c>
      <c r="P52" s="10" t="b">
        <v>0</v>
      </c>
      <c r="Q52" s="2"/>
      <c r="R52" s="2"/>
      <c r="S52" s="8">
        <v>104.0</v>
      </c>
      <c r="T52" s="8">
        <v>80.0</v>
      </c>
      <c r="U52" s="8">
        <v>2.36476840008983</v>
      </c>
      <c r="V52" s="8">
        <v>33.8299513800002</v>
      </c>
      <c r="W52" s="8">
        <v>0.0749632332849877</v>
      </c>
      <c r="X52" s="8">
        <v>0.778287529945373</v>
      </c>
      <c r="Y52" s="8">
        <v>9.06250052452087</v>
      </c>
      <c r="Z52" s="8">
        <v>0.21875</v>
      </c>
      <c r="AA52" s="8">
        <v>0.0749632332849877</v>
      </c>
      <c r="AB52" s="8">
        <v>0.18306678663225</v>
      </c>
      <c r="AC52" s="11">
        <v>5.80194239319098E-7</v>
      </c>
      <c r="AD52" s="8">
        <v>0.778287529945373</v>
      </c>
      <c r="AE52" s="8">
        <v>9.30644484469667E-4</v>
      </c>
      <c r="AF52" s="8">
        <v>0.0301835723221302</v>
      </c>
      <c r="AG52" s="8">
        <v>0.341426929831505</v>
      </c>
      <c r="AH52" s="8">
        <v>0.502009607851505</v>
      </c>
      <c r="AI52" s="8">
        <v>0.757202613353729</v>
      </c>
      <c r="AJ52" s="8">
        <v>9.06250052452087</v>
      </c>
      <c r="AK52" s="8">
        <v>4.18294606944755</v>
      </c>
      <c r="AL52" s="8">
        <v>0.21875</v>
      </c>
      <c r="AM52" s="8">
        <v>18.3167648315429</v>
      </c>
      <c r="AN52" s="8">
        <v>9.70099449157714</v>
      </c>
      <c r="AO52" s="8">
        <v>1.56484375</v>
      </c>
      <c r="AP52" s="8">
        <v>2.45795574188232</v>
      </c>
      <c r="AQ52" s="8">
        <v>5.81622982025146</v>
      </c>
      <c r="AR52" s="8">
        <v>4.0</v>
      </c>
      <c r="AS52" s="8">
        <v>0.0</v>
      </c>
      <c r="AT52" s="8">
        <v>0.0</v>
      </c>
      <c r="AU52" s="8">
        <v>0.0</v>
      </c>
      <c r="AV52" s="8">
        <v>0.05</v>
      </c>
      <c r="AW52" s="8">
        <v>0.0</v>
      </c>
      <c r="AX52" s="8">
        <v>0.0</v>
      </c>
      <c r="AY52" s="8">
        <v>0.0</v>
      </c>
      <c r="AZ52" s="8">
        <v>0.0</v>
      </c>
      <c r="BA52" s="8">
        <v>1.0</v>
      </c>
      <c r="BB52" s="8">
        <v>1.0</v>
      </c>
      <c r="BC52" s="8">
        <v>3.0</v>
      </c>
      <c r="BD52" s="8">
        <v>0.0</v>
      </c>
      <c r="BE52" s="8">
        <v>0.0125</v>
      </c>
      <c r="BF52" s="8">
        <v>0.0125</v>
      </c>
      <c r="BG52" s="8">
        <v>0.0375</v>
      </c>
      <c r="BH52" s="2"/>
      <c r="BI52" s="2"/>
      <c r="BJ52" s="2"/>
      <c r="BK52" s="8">
        <v>12.0</v>
      </c>
      <c r="BL52" s="8">
        <v>12.0</v>
      </c>
      <c r="BM52" s="2" t="s">
        <v>848</v>
      </c>
      <c r="BN52" s="2" t="s">
        <v>850</v>
      </c>
      <c r="BO52" s="8">
        <v>53.0</v>
      </c>
      <c r="BP52" s="8">
        <v>413.0</v>
      </c>
      <c r="BQ52" s="8">
        <v>196.0</v>
      </c>
      <c r="BR52" s="8">
        <v>182.0</v>
      </c>
      <c r="BS52" s="8">
        <v>6.0</v>
      </c>
      <c r="BT52" s="8">
        <v>8.0</v>
      </c>
      <c r="BU52" s="10" t="b">
        <v>1</v>
      </c>
      <c r="BV52" s="10" t="b">
        <v>0</v>
      </c>
      <c r="BW52" s="10" t="b">
        <v>1</v>
      </c>
      <c r="BX52" s="2" t="s">
        <v>74</v>
      </c>
      <c r="BY52" s="8">
        <v>80.0</v>
      </c>
      <c r="BZ52" s="2"/>
      <c r="CA52" s="2"/>
    </row>
    <row r="53">
      <c r="A53" s="2" t="s">
        <v>854</v>
      </c>
      <c r="B53" s="2" t="s">
        <v>121</v>
      </c>
      <c r="C53" s="8">
        <v>0.0</v>
      </c>
      <c r="D53" s="2" t="s">
        <v>71</v>
      </c>
      <c r="E53" s="2" t="s">
        <v>122</v>
      </c>
      <c r="F53" s="10" t="b">
        <v>1</v>
      </c>
      <c r="G53" s="2"/>
      <c r="H53" s="2"/>
      <c r="I53" s="2"/>
      <c r="J53" s="2"/>
      <c r="K53" s="2" t="s">
        <v>855</v>
      </c>
      <c r="L53" s="2" t="s">
        <v>856</v>
      </c>
      <c r="M53" s="2"/>
      <c r="N53" s="2" t="s">
        <v>858</v>
      </c>
      <c r="O53" s="2" t="s">
        <v>859</v>
      </c>
      <c r="P53" s="10" t="b">
        <v>0</v>
      </c>
      <c r="Q53" s="2"/>
      <c r="R53" s="2"/>
      <c r="S53" s="8">
        <v>201.0</v>
      </c>
      <c r="T53" s="8">
        <v>180.0</v>
      </c>
      <c r="U53" s="8">
        <v>2.33971769463721</v>
      </c>
      <c r="V53" s="8">
        <v>76.9323582979996</v>
      </c>
      <c r="W53" s="8">
        <v>0.0561756044698187</v>
      </c>
      <c r="X53" s="8">
        <v>1.19167411327362</v>
      </c>
      <c r="Y53" s="8">
        <v>8.84209336704678</v>
      </c>
      <c r="Z53" s="8">
        <v>0.0625</v>
      </c>
      <c r="AA53" s="8">
        <v>0.0561756044698187</v>
      </c>
      <c r="AB53" s="8">
        <v>0.177492648487754</v>
      </c>
      <c r="AC53" s="11">
        <v>4.47851052740588E-5</v>
      </c>
      <c r="AD53" s="8">
        <v>1.19167411327362</v>
      </c>
      <c r="AE53" s="8">
        <v>0.00149794964818283</v>
      </c>
      <c r="AF53" s="8">
        <v>0.00877073756419122</v>
      </c>
      <c r="AG53" s="8">
        <v>0.100349434465169</v>
      </c>
      <c r="AH53" s="8">
        <v>0.386297737061977</v>
      </c>
      <c r="AI53" s="8">
        <v>0.862696889042857</v>
      </c>
      <c r="AJ53" s="8">
        <v>8.84209336704678</v>
      </c>
      <c r="AK53" s="8">
        <v>3.12485949365618</v>
      </c>
      <c r="AL53" s="8">
        <v>0.0625</v>
      </c>
      <c r="AM53" s="8">
        <v>13.8068199157714</v>
      </c>
      <c r="AN53" s="8">
        <v>9.52201843261718</v>
      </c>
      <c r="AO53" s="8">
        <v>2.01498584747314</v>
      </c>
      <c r="AP53" s="8">
        <v>4.6421875</v>
      </c>
      <c r="AQ53" s="8">
        <v>7.2439637184143</v>
      </c>
      <c r="AR53" s="8">
        <v>7.0</v>
      </c>
      <c r="AS53" s="8">
        <v>2.0</v>
      </c>
      <c r="AT53" s="8">
        <v>0.0</v>
      </c>
      <c r="AU53" s="8">
        <v>0.0</v>
      </c>
      <c r="AV53" s="8">
        <v>0.0388888888888888</v>
      </c>
      <c r="AW53" s="8">
        <v>0.0111111111111111</v>
      </c>
      <c r="AX53" s="8">
        <v>0.0</v>
      </c>
      <c r="AY53" s="8">
        <v>0.0</v>
      </c>
      <c r="AZ53" s="8">
        <v>1.0</v>
      </c>
      <c r="BA53" s="8">
        <v>1.0</v>
      </c>
      <c r="BB53" s="8">
        <v>2.0</v>
      </c>
      <c r="BC53" s="8">
        <v>5.0</v>
      </c>
      <c r="BD53" s="8">
        <v>0.00555555555555555</v>
      </c>
      <c r="BE53" s="8">
        <v>0.00555555555555555</v>
      </c>
      <c r="BF53" s="8">
        <v>0.0111111111111111</v>
      </c>
      <c r="BG53" s="8">
        <v>0.0277777777777777</v>
      </c>
      <c r="BH53" s="8">
        <v>7.0</v>
      </c>
      <c r="BI53" s="2"/>
      <c r="BJ53" s="2"/>
      <c r="BK53" s="8">
        <v>27.0</v>
      </c>
      <c r="BL53" s="8">
        <v>11.0</v>
      </c>
      <c r="BM53" s="2" t="s">
        <v>871</v>
      </c>
      <c r="BN53" s="2" t="s">
        <v>872</v>
      </c>
      <c r="BO53" s="8">
        <v>74.0</v>
      </c>
      <c r="BP53" s="8">
        <v>813.0</v>
      </c>
      <c r="BQ53" s="8">
        <v>612.0</v>
      </c>
      <c r="BR53" s="8">
        <v>598.0</v>
      </c>
      <c r="BS53" s="8">
        <v>8.0</v>
      </c>
      <c r="BT53" s="8">
        <v>10.0</v>
      </c>
      <c r="BU53" s="10" t="b">
        <v>1</v>
      </c>
      <c r="BV53" s="10" t="b">
        <v>0</v>
      </c>
      <c r="BW53" s="10" t="b">
        <v>1</v>
      </c>
      <c r="BX53" s="2" t="s">
        <v>74</v>
      </c>
      <c r="BY53" s="8">
        <v>180.0</v>
      </c>
      <c r="BZ53" s="2"/>
      <c r="CA53" s="2"/>
    </row>
    <row r="54">
      <c r="A54" s="2" t="s">
        <v>874</v>
      </c>
      <c r="B54" s="2" t="s">
        <v>121</v>
      </c>
      <c r="C54" s="8">
        <v>0.0</v>
      </c>
      <c r="D54" s="2" t="s">
        <v>71</v>
      </c>
      <c r="E54" s="2" t="s">
        <v>122</v>
      </c>
      <c r="F54" s="10" t="b">
        <v>1</v>
      </c>
      <c r="G54" s="2"/>
      <c r="H54" s="2"/>
      <c r="I54" s="2"/>
      <c r="J54" s="2"/>
      <c r="K54" s="2" t="s">
        <v>879</v>
      </c>
      <c r="L54" s="2" t="s">
        <v>880</v>
      </c>
      <c r="M54" s="2"/>
      <c r="N54" s="2" t="s">
        <v>881</v>
      </c>
      <c r="O54" s="2" t="s">
        <v>882</v>
      </c>
      <c r="P54" s="10" t="b">
        <v>0</v>
      </c>
      <c r="Q54" s="2"/>
      <c r="R54" s="2"/>
      <c r="S54" s="8">
        <v>91.0</v>
      </c>
      <c r="T54" s="8">
        <v>15.0</v>
      </c>
      <c r="U54" s="8">
        <v>2.34444293820759</v>
      </c>
      <c r="V54" s="8">
        <v>6.39810837599998</v>
      </c>
      <c r="W54" s="8">
        <v>0.158111445301134</v>
      </c>
      <c r="X54" s="8">
        <v>0.848223090171814</v>
      </c>
      <c r="Y54" s="8">
        <v>6.19559682210286</v>
      </c>
      <c r="Z54" s="8">
        <v>0.546875</v>
      </c>
      <c r="AA54" s="8">
        <v>0.158111445301134</v>
      </c>
      <c r="AB54" s="8">
        <v>0.233752938929599</v>
      </c>
      <c r="AC54" s="8">
        <v>3.94023809349164E-4</v>
      </c>
      <c r="AD54" s="8">
        <v>0.848223090171814</v>
      </c>
      <c r="AE54" s="8">
        <v>0.0501896515488624</v>
      </c>
      <c r="AF54" s="8">
        <v>0.207923769950866</v>
      </c>
      <c r="AG54" s="8">
        <v>0.390190476179122</v>
      </c>
      <c r="AH54" s="8">
        <v>0.544388052821158</v>
      </c>
      <c r="AI54" s="8">
        <v>0.787456082701682</v>
      </c>
      <c r="AJ54" s="8">
        <v>6.19559682210286</v>
      </c>
      <c r="AK54" s="8">
        <v>3.6710817942428</v>
      </c>
      <c r="AL54" s="8">
        <v>0.546875</v>
      </c>
      <c r="AM54" s="8">
        <v>11.7237224578857</v>
      </c>
      <c r="AN54" s="8">
        <v>4.8366470336914</v>
      </c>
      <c r="AO54" s="8">
        <v>1.5421875</v>
      </c>
      <c r="AP54" s="8">
        <v>2.38125</v>
      </c>
      <c r="AQ54" s="8">
        <v>3.4296875</v>
      </c>
      <c r="AR54" s="8">
        <v>1.0</v>
      </c>
      <c r="AS54" s="8">
        <v>0.0</v>
      </c>
      <c r="AT54" s="8">
        <v>0.0</v>
      </c>
      <c r="AU54" s="8">
        <v>0.0</v>
      </c>
      <c r="AV54" s="8">
        <v>0.0666666666666666</v>
      </c>
      <c r="AW54" s="8">
        <v>0.0</v>
      </c>
      <c r="AX54" s="8">
        <v>0.0</v>
      </c>
      <c r="AY54" s="8">
        <v>0.0</v>
      </c>
      <c r="AZ54" s="8">
        <v>0.0</v>
      </c>
      <c r="BA54" s="8">
        <v>0.0</v>
      </c>
      <c r="BB54" s="8">
        <v>0.0</v>
      </c>
      <c r="BC54" s="8">
        <v>1.0</v>
      </c>
      <c r="BD54" s="8">
        <v>0.0</v>
      </c>
      <c r="BE54" s="8">
        <v>0.0</v>
      </c>
      <c r="BF54" s="8">
        <v>0.0</v>
      </c>
      <c r="BG54" s="8">
        <v>0.0666666666666666</v>
      </c>
      <c r="BH54" s="2"/>
      <c r="BI54" s="2"/>
      <c r="BJ54" s="2"/>
      <c r="BK54" s="2"/>
      <c r="BL54" s="2"/>
      <c r="BM54" s="2" t="s">
        <v>891</v>
      </c>
      <c r="BN54" s="2" t="s">
        <v>892</v>
      </c>
      <c r="BO54" s="8">
        <v>65.0</v>
      </c>
      <c r="BP54" s="8">
        <v>436.0</v>
      </c>
      <c r="BQ54" s="8">
        <v>56.0</v>
      </c>
      <c r="BR54" s="8">
        <v>42.0</v>
      </c>
      <c r="BS54" s="8">
        <v>2.0</v>
      </c>
      <c r="BT54" s="8">
        <v>4.0</v>
      </c>
      <c r="BU54" s="10" t="b">
        <v>1</v>
      </c>
      <c r="BV54" s="10" t="b">
        <v>0</v>
      </c>
      <c r="BW54" s="10" t="b">
        <v>1</v>
      </c>
      <c r="BX54" s="2" t="s">
        <v>74</v>
      </c>
      <c r="BY54" s="8">
        <v>15.0</v>
      </c>
      <c r="BZ54" s="2"/>
      <c r="CA54" s="2"/>
    </row>
    <row r="55">
      <c r="A55" s="2" t="s">
        <v>897</v>
      </c>
      <c r="B55" s="2" t="s">
        <v>121</v>
      </c>
      <c r="C55" s="8">
        <v>0.0</v>
      </c>
      <c r="D55" s="2" t="s">
        <v>71</v>
      </c>
      <c r="E55" s="2" t="s">
        <v>122</v>
      </c>
      <c r="F55" s="10" t="b">
        <v>0</v>
      </c>
      <c r="G55" s="2" t="s">
        <v>198</v>
      </c>
      <c r="H55" s="2" t="s">
        <v>899</v>
      </c>
      <c r="I55" s="2" t="s">
        <v>900</v>
      </c>
      <c r="J55" s="2"/>
      <c r="K55" s="2" t="s">
        <v>903</v>
      </c>
      <c r="L55" s="2" t="s">
        <v>905</v>
      </c>
      <c r="M55" s="2"/>
      <c r="N55" s="2" t="s">
        <v>906</v>
      </c>
      <c r="O55" s="2" t="s">
        <v>906</v>
      </c>
      <c r="P55" s="10" t="b">
        <v>0</v>
      </c>
      <c r="Q55" s="2"/>
      <c r="R55" s="2"/>
      <c r="S55" s="8">
        <v>173.0</v>
      </c>
      <c r="T55" s="8">
        <v>16.0</v>
      </c>
      <c r="U55" s="8">
        <v>2.32403989954342</v>
      </c>
      <c r="V55" s="8">
        <v>6.88456338600008</v>
      </c>
      <c r="W55" s="8">
        <v>0.407957357694613</v>
      </c>
      <c r="X55" s="8">
        <v>1.96741724014282</v>
      </c>
      <c r="Y55" s="8">
        <v>4.45383518934249</v>
      </c>
      <c r="Z55" s="8">
        <v>0.15625</v>
      </c>
      <c r="AA55" s="8">
        <v>0.407957357694613</v>
      </c>
      <c r="AB55" s="8">
        <v>0.516984619836671</v>
      </c>
      <c r="AC55" s="8">
        <v>2.13596358662471E-4</v>
      </c>
      <c r="AD55" s="8">
        <v>1.96741724014282</v>
      </c>
      <c r="AE55" s="8">
        <v>0.285190716385841</v>
      </c>
      <c r="AF55" s="8">
        <v>0.580380961298942</v>
      </c>
      <c r="AG55" s="8">
        <v>0.835600733757019</v>
      </c>
      <c r="AH55" s="8">
        <v>1.13342735171318</v>
      </c>
      <c r="AI55" s="8">
        <v>1.80061926245689</v>
      </c>
      <c r="AJ55" s="8">
        <v>4.45383518934249</v>
      </c>
      <c r="AK55" s="8">
        <v>3.72254947307989</v>
      </c>
      <c r="AL55" s="8">
        <v>0.15625</v>
      </c>
      <c r="AM55" s="8">
        <v>11.359375</v>
      </c>
      <c r="AN55" s="8">
        <v>2.59161949157714</v>
      </c>
      <c r="AO55" s="8">
        <v>0.390625</v>
      </c>
      <c r="AP55" s="8">
        <v>0.6875</v>
      </c>
      <c r="AQ55" s="8">
        <v>1.79048299789428</v>
      </c>
      <c r="AR55" s="8">
        <v>5.0</v>
      </c>
      <c r="AS55" s="8">
        <v>1.0</v>
      </c>
      <c r="AT55" s="8">
        <v>1.0</v>
      </c>
      <c r="AU55" s="8">
        <v>0.0</v>
      </c>
      <c r="AV55" s="8">
        <v>0.3125</v>
      </c>
      <c r="AW55" s="8">
        <v>0.0625</v>
      </c>
      <c r="AX55" s="8">
        <v>0.0625</v>
      </c>
      <c r="AY55" s="8">
        <v>0.0</v>
      </c>
      <c r="AZ55" s="8">
        <v>0.0</v>
      </c>
      <c r="BA55" s="8">
        <v>1.0</v>
      </c>
      <c r="BB55" s="8">
        <v>2.0</v>
      </c>
      <c r="BC55" s="8">
        <v>3.0</v>
      </c>
      <c r="BD55" s="8">
        <v>0.0</v>
      </c>
      <c r="BE55" s="8">
        <v>0.0625</v>
      </c>
      <c r="BF55" s="8">
        <v>0.125</v>
      </c>
      <c r="BG55" s="8">
        <v>0.1875</v>
      </c>
      <c r="BH55" s="8">
        <v>3.0</v>
      </c>
      <c r="BI55" s="8">
        <v>3.0</v>
      </c>
      <c r="BJ55" s="2"/>
      <c r="BK55" s="8">
        <v>0.0</v>
      </c>
      <c r="BL55" s="8">
        <v>0.0</v>
      </c>
      <c r="BM55" s="2" t="s">
        <v>916</v>
      </c>
      <c r="BN55" s="2" t="s">
        <v>918</v>
      </c>
      <c r="BO55" s="8">
        <v>62.0</v>
      </c>
      <c r="BP55" s="8">
        <v>502.0</v>
      </c>
      <c r="BQ55" s="8">
        <v>52.0</v>
      </c>
      <c r="BR55" s="8">
        <v>52.0</v>
      </c>
      <c r="BS55" s="8">
        <v>2.0</v>
      </c>
      <c r="BT55" s="8">
        <v>2.0</v>
      </c>
      <c r="BU55" s="10" t="b">
        <v>1</v>
      </c>
      <c r="BV55" s="10" t="b">
        <v>0</v>
      </c>
      <c r="BW55" s="10" t="b">
        <v>0</v>
      </c>
      <c r="BX55" s="2" t="s">
        <v>919</v>
      </c>
      <c r="BY55" s="8">
        <v>16.0</v>
      </c>
      <c r="BZ55" s="2"/>
      <c r="CA55" s="2"/>
    </row>
    <row r="56">
      <c r="A56" s="2" t="s">
        <v>920</v>
      </c>
      <c r="B56" s="2" t="s">
        <v>121</v>
      </c>
      <c r="C56" s="8">
        <v>0.0</v>
      </c>
      <c r="D56" s="2" t="s">
        <v>71</v>
      </c>
      <c r="E56" s="2" t="s">
        <v>122</v>
      </c>
      <c r="F56" s="10" t="b">
        <v>1</v>
      </c>
      <c r="G56" s="2"/>
      <c r="H56" s="2"/>
      <c r="I56" s="2"/>
      <c r="J56" s="2"/>
      <c r="K56" s="2" t="s">
        <v>925</v>
      </c>
      <c r="L56" s="2" t="s">
        <v>928</v>
      </c>
      <c r="M56" s="2"/>
      <c r="N56" s="2" t="s">
        <v>929</v>
      </c>
      <c r="O56" s="2" t="s">
        <v>930</v>
      </c>
      <c r="P56" s="10" t="b">
        <v>0</v>
      </c>
      <c r="Q56" s="2"/>
      <c r="R56" s="2"/>
      <c r="S56" s="8">
        <v>499.0</v>
      </c>
      <c r="T56" s="8">
        <v>499.0</v>
      </c>
      <c r="U56" s="8">
        <v>2.31225892580336</v>
      </c>
      <c r="V56" s="8">
        <v>215.806281221999</v>
      </c>
      <c r="W56" s="8">
        <v>0.0242191265285345</v>
      </c>
      <c r="X56" s="8">
        <v>1.2111347913742</v>
      </c>
      <c r="Y56" s="8">
        <v>11.8360248309576</v>
      </c>
      <c r="Z56" s="8">
        <v>0.328125</v>
      </c>
      <c r="AA56" s="8">
        <v>0.0242191265285345</v>
      </c>
      <c r="AB56" s="8">
        <v>0.127574409062867</v>
      </c>
      <c r="AC56" s="11">
        <v>3.56354826180904E-6</v>
      </c>
      <c r="AD56" s="8">
        <v>1.2111347913742</v>
      </c>
      <c r="AE56" s="11">
        <v>9.93266730802133E-5</v>
      </c>
      <c r="AF56" s="8">
        <v>3.71327376342378E-4</v>
      </c>
      <c r="AG56" s="8">
        <v>0.00392640866339205</v>
      </c>
      <c r="AH56" s="8">
        <v>0.0513384182006117</v>
      </c>
      <c r="AI56" s="8">
        <v>0.801463915109634</v>
      </c>
      <c r="AJ56" s="8">
        <v>11.8360248309576</v>
      </c>
      <c r="AK56" s="8">
        <v>2.95587690089891</v>
      </c>
      <c r="AL56" s="8">
        <v>0.328125</v>
      </c>
      <c r="AM56" s="8">
        <v>16.5767059326171</v>
      </c>
      <c r="AN56" s="8">
        <v>12.5099430084228</v>
      </c>
      <c r="AO56" s="8">
        <v>5.26392154693603</v>
      </c>
      <c r="AP56" s="8">
        <v>8.34105186462402</v>
      </c>
      <c r="AQ56" s="8">
        <v>11.0124292373657</v>
      </c>
      <c r="AR56" s="8">
        <v>11.0</v>
      </c>
      <c r="AS56" s="8">
        <v>3.0</v>
      </c>
      <c r="AT56" s="8">
        <v>0.0</v>
      </c>
      <c r="AU56" s="8">
        <v>0.0</v>
      </c>
      <c r="AV56" s="8">
        <v>0.0220440881763527</v>
      </c>
      <c r="AW56" s="8">
        <v>0.00601202404809619</v>
      </c>
      <c r="AX56" s="8">
        <v>0.0</v>
      </c>
      <c r="AY56" s="8">
        <v>0.0</v>
      </c>
      <c r="AZ56" s="8">
        <v>0.0</v>
      </c>
      <c r="BA56" s="8">
        <v>0.0</v>
      </c>
      <c r="BB56" s="8">
        <v>5.0</v>
      </c>
      <c r="BC56" s="8">
        <v>5.0</v>
      </c>
      <c r="BD56" s="8">
        <v>0.0</v>
      </c>
      <c r="BE56" s="8">
        <v>0.0</v>
      </c>
      <c r="BF56" s="8">
        <v>0.0100200400801603</v>
      </c>
      <c r="BG56" s="8">
        <v>0.0100200400801603</v>
      </c>
      <c r="BH56" s="8">
        <v>7.0</v>
      </c>
      <c r="BI56" s="2"/>
      <c r="BJ56" s="2"/>
      <c r="BK56" s="2"/>
      <c r="BL56" s="8">
        <v>7.0</v>
      </c>
      <c r="BM56" s="2" t="s">
        <v>943</v>
      </c>
      <c r="BN56" s="2" t="s">
        <v>944</v>
      </c>
      <c r="BO56" s="8">
        <v>64.0</v>
      </c>
      <c r="BP56" s="8">
        <v>854.0</v>
      </c>
      <c r="BQ56" s="8">
        <v>737.0</v>
      </c>
      <c r="BR56" s="8">
        <v>723.0</v>
      </c>
      <c r="BS56" s="8">
        <v>11.0</v>
      </c>
      <c r="BT56" s="8">
        <v>13.0</v>
      </c>
      <c r="BU56" s="10" t="b">
        <v>1</v>
      </c>
      <c r="BV56" s="10" t="b">
        <v>0</v>
      </c>
      <c r="BW56" s="10" t="b">
        <v>1</v>
      </c>
      <c r="BX56" s="2" t="s">
        <v>74</v>
      </c>
      <c r="BY56" s="8">
        <v>499.0</v>
      </c>
      <c r="BZ56" s="2"/>
      <c r="CA56" s="2"/>
    </row>
    <row r="57">
      <c r="A57" s="2" t="s">
        <v>946</v>
      </c>
      <c r="B57" s="2" t="s">
        <v>121</v>
      </c>
      <c r="C57" s="8">
        <v>0.0</v>
      </c>
      <c r="D57" s="2" t="s">
        <v>71</v>
      </c>
      <c r="E57" s="2" t="s">
        <v>122</v>
      </c>
      <c r="F57" s="10" t="b">
        <v>1</v>
      </c>
      <c r="G57" s="2"/>
      <c r="H57" s="2"/>
      <c r="I57" s="2"/>
      <c r="J57" s="2"/>
      <c r="K57" s="2" t="s">
        <v>950</v>
      </c>
      <c r="L57" s="2" t="s">
        <v>951</v>
      </c>
      <c r="M57" s="2"/>
      <c r="N57" s="2" t="s">
        <v>952</v>
      </c>
      <c r="O57" s="2" t="s">
        <v>954</v>
      </c>
      <c r="P57" s="10" t="b">
        <v>0</v>
      </c>
      <c r="Q57" s="2"/>
      <c r="R57" s="2"/>
      <c r="S57" s="8">
        <v>124.0</v>
      </c>
      <c r="T57" s="8">
        <v>64.0</v>
      </c>
      <c r="U57" s="8">
        <v>2.35256342657209</v>
      </c>
      <c r="V57" s="8">
        <v>27.2043674899996</v>
      </c>
      <c r="W57" s="8">
        <v>0.254005512332696</v>
      </c>
      <c r="X57" s="8">
        <v>2.18547534942626</v>
      </c>
      <c r="Y57" s="8">
        <v>7.11729867756366</v>
      </c>
      <c r="Z57" s="8">
        <v>0.21875</v>
      </c>
      <c r="AA57" s="8">
        <v>0.254005512332696</v>
      </c>
      <c r="AB57" s="8">
        <v>0.496996998351851</v>
      </c>
      <c r="AC57" s="11">
        <v>1.92964107554871E-5</v>
      </c>
      <c r="AD57" s="8">
        <v>2.18547534942626</v>
      </c>
      <c r="AE57" s="8">
        <v>0.0104001429863274</v>
      </c>
      <c r="AF57" s="8">
        <v>0.231006648391485</v>
      </c>
      <c r="AG57" s="8">
        <v>0.782907581329345</v>
      </c>
      <c r="AH57" s="8">
        <v>1.41116839647292</v>
      </c>
      <c r="AI57" s="8">
        <v>2.17036185264587</v>
      </c>
      <c r="AJ57" s="8">
        <v>7.11729867756366</v>
      </c>
      <c r="AK57" s="8">
        <v>4.26308973409913</v>
      </c>
      <c r="AL57" s="8">
        <v>0.21875</v>
      </c>
      <c r="AM57" s="8">
        <v>15.8451700210571</v>
      </c>
      <c r="AN57" s="8">
        <v>7.35262775421142</v>
      </c>
      <c r="AO57" s="8">
        <v>0.659588146209716</v>
      </c>
      <c r="AP57" s="8">
        <v>1.2140625</v>
      </c>
      <c r="AQ57" s="8">
        <v>3.36754274368286</v>
      </c>
      <c r="AR57" s="8">
        <v>13.0</v>
      </c>
      <c r="AS57" s="8">
        <v>4.0</v>
      </c>
      <c r="AT57" s="8">
        <v>4.0</v>
      </c>
      <c r="AU57" s="8">
        <v>2.0</v>
      </c>
      <c r="AV57" s="8">
        <v>0.203125</v>
      </c>
      <c r="AW57" s="8">
        <v>0.0625</v>
      </c>
      <c r="AX57" s="8">
        <v>0.0625</v>
      </c>
      <c r="AY57" s="8">
        <v>0.03125</v>
      </c>
      <c r="AZ57" s="8">
        <v>0.0</v>
      </c>
      <c r="BA57" s="8">
        <v>1.0</v>
      </c>
      <c r="BB57" s="8">
        <v>3.0</v>
      </c>
      <c r="BC57" s="8">
        <v>6.0</v>
      </c>
      <c r="BD57" s="8">
        <v>0.0</v>
      </c>
      <c r="BE57" s="8">
        <v>0.015625</v>
      </c>
      <c r="BF57" s="8">
        <v>0.046875</v>
      </c>
      <c r="BG57" s="8">
        <v>0.09375</v>
      </c>
      <c r="BH57" s="8">
        <v>8.0</v>
      </c>
      <c r="BI57" s="8">
        <v>8.0</v>
      </c>
      <c r="BJ57" s="8">
        <v>10.0</v>
      </c>
      <c r="BK57" s="8">
        <v>11.0</v>
      </c>
      <c r="BL57" s="8">
        <v>8.0</v>
      </c>
      <c r="BM57" s="2" t="s">
        <v>962</v>
      </c>
      <c r="BN57" s="2" t="s">
        <v>964</v>
      </c>
      <c r="BO57" s="8">
        <v>128.0</v>
      </c>
      <c r="BP57" s="8">
        <v>507.0</v>
      </c>
      <c r="BQ57" s="8">
        <v>199.0</v>
      </c>
      <c r="BR57" s="8">
        <v>185.0</v>
      </c>
      <c r="BS57" s="8">
        <v>7.0</v>
      </c>
      <c r="BT57" s="8">
        <v>9.0</v>
      </c>
      <c r="BU57" s="10" t="b">
        <v>1</v>
      </c>
      <c r="BV57" s="10" t="b">
        <v>0</v>
      </c>
      <c r="BW57" s="10" t="b">
        <v>1</v>
      </c>
      <c r="BX57" s="2" t="s">
        <v>74</v>
      </c>
      <c r="BY57" s="8">
        <v>64.0</v>
      </c>
      <c r="BZ57" s="2"/>
      <c r="CA57" s="2"/>
    </row>
    <row r="58">
      <c r="A58" s="2" t="s">
        <v>969</v>
      </c>
      <c r="B58" s="2" t="s">
        <v>121</v>
      </c>
      <c r="C58" s="8">
        <v>0.0</v>
      </c>
      <c r="D58" s="2" t="s">
        <v>71</v>
      </c>
      <c r="E58" s="2" t="s">
        <v>122</v>
      </c>
      <c r="F58" s="10" t="b">
        <v>1</v>
      </c>
      <c r="G58" s="2"/>
      <c r="H58" s="2"/>
      <c r="I58" s="2"/>
      <c r="J58" s="2"/>
      <c r="K58" s="2" t="s">
        <v>970</v>
      </c>
      <c r="L58" s="2" t="s">
        <v>972</v>
      </c>
      <c r="M58" s="2"/>
      <c r="N58" s="2" t="s">
        <v>975</v>
      </c>
      <c r="O58" s="2" t="s">
        <v>976</v>
      </c>
      <c r="P58" s="10" t="b">
        <v>0</v>
      </c>
      <c r="Q58" s="2"/>
      <c r="R58" s="2"/>
      <c r="S58" s="8">
        <v>262.0</v>
      </c>
      <c r="T58" s="8">
        <v>40.0</v>
      </c>
      <c r="U58" s="8">
        <v>2.3210472170605</v>
      </c>
      <c r="V58" s="8">
        <v>17.2336002929996</v>
      </c>
      <c r="W58" s="8">
        <v>0.286386196030798</v>
      </c>
      <c r="X58" s="8">
        <v>1.47802901268005</v>
      </c>
      <c r="Y58" s="8">
        <v>5.410387301445</v>
      </c>
      <c r="Z58" s="8">
        <v>0.15625</v>
      </c>
      <c r="AA58" s="8">
        <v>0.286386196030798</v>
      </c>
      <c r="AB58" s="8">
        <v>0.42066062677387</v>
      </c>
      <c r="AC58" s="8">
        <v>4.7780483146198E-4</v>
      </c>
      <c r="AD58" s="8">
        <v>1.47802901268005</v>
      </c>
      <c r="AE58" s="8">
        <v>0.0491987653076648</v>
      </c>
      <c r="AF58" s="8">
        <v>0.40846461802721</v>
      </c>
      <c r="AG58" s="8">
        <v>0.870697647333145</v>
      </c>
      <c r="AH58" s="8">
        <v>1.22670149803161</v>
      </c>
      <c r="AI58" s="8">
        <v>1.47489180445671</v>
      </c>
      <c r="AJ58" s="8">
        <v>5.410387301445</v>
      </c>
      <c r="AK58" s="8">
        <v>3.34558453303872</v>
      </c>
      <c r="AL58" s="8">
        <v>0.15625</v>
      </c>
      <c r="AM58" s="8">
        <v>11.3863639831542</v>
      </c>
      <c r="AN58" s="8">
        <v>5.8125</v>
      </c>
      <c r="AO58" s="8">
        <v>0.585795402526855</v>
      </c>
      <c r="AP58" s="8">
        <v>1.20625</v>
      </c>
      <c r="AQ58" s="8">
        <v>2.45951700210571</v>
      </c>
      <c r="AR58" s="8">
        <v>10.0</v>
      </c>
      <c r="AS58" s="8">
        <v>3.0</v>
      </c>
      <c r="AT58" s="8">
        <v>0.0</v>
      </c>
      <c r="AU58" s="8">
        <v>0.0</v>
      </c>
      <c r="AV58" s="8">
        <v>0.25</v>
      </c>
      <c r="AW58" s="8">
        <v>0.075</v>
      </c>
      <c r="AX58" s="8">
        <v>0.0</v>
      </c>
      <c r="AY58" s="8">
        <v>0.0</v>
      </c>
      <c r="AZ58" s="8">
        <v>0.0</v>
      </c>
      <c r="BA58" s="8">
        <v>1.0</v>
      </c>
      <c r="BB58" s="8">
        <v>2.0</v>
      </c>
      <c r="BC58" s="8">
        <v>3.0</v>
      </c>
      <c r="BD58" s="8">
        <v>0.0</v>
      </c>
      <c r="BE58" s="8">
        <v>0.025</v>
      </c>
      <c r="BF58" s="8">
        <v>0.05</v>
      </c>
      <c r="BG58" s="8">
        <v>0.075</v>
      </c>
      <c r="BH58" s="8">
        <v>8.0</v>
      </c>
      <c r="BI58" s="2"/>
      <c r="BJ58" s="2"/>
      <c r="BK58" s="8">
        <v>8.0</v>
      </c>
      <c r="BL58" s="8">
        <v>8.0</v>
      </c>
      <c r="BM58" s="2" t="s">
        <v>985</v>
      </c>
      <c r="BN58" s="2" t="s">
        <v>986</v>
      </c>
      <c r="BO58" s="8">
        <v>67.0</v>
      </c>
      <c r="BP58" s="8">
        <v>663.0</v>
      </c>
      <c r="BQ58" s="8">
        <v>183.0</v>
      </c>
      <c r="BR58" s="8">
        <v>169.0</v>
      </c>
      <c r="BS58" s="8">
        <v>3.0</v>
      </c>
      <c r="BT58" s="8">
        <v>5.0</v>
      </c>
      <c r="BU58" s="10" t="b">
        <v>1</v>
      </c>
      <c r="BV58" s="10" t="b">
        <v>0</v>
      </c>
      <c r="BW58" s="10" t="b">
        <v>1</v>
      </c>
      <c r="BX58" s="2" t="s">
        <v>74</v>
      </c>
      <c r="BY58" s="8">
        <v>40.0</v>
      </c>
      <c r="BZ58" s="2"/>
      <c r="CA58" s="2"/>
    </row>
    <row r="59">
      <c r="A59" s="2" t="s">
        <v>988</v>
      </c>
      <c r="B59" s="2" t="s">
        <v>121</v>
      </c>
      <c r="C59" s="8">
        <v>0.0</v>
      </c>
      <c r="D59" s="2" t="s">
        <v>71</v>
      </c>
      <c r="E59" s="2" t="s">
        <v>122</v>
      </c>
      <c r="F59" s="10" t="b">
        <v>1</v>
      </c>
      <c r="G59" s="2"/>
      <c r="H59" s="2"/>
      <c r="I59" s="2"/>
      <c r="J59" s="2"/>
      <c r="K59" s="2" t="s">
        <v>992</v>
      </c>
      <c r="L59" s="2" t="s">
        <v>993</v>
      </c>
      <c r="M59" s="2"/>
      <c r="N59" s="2" t="s">
        <v>994</v>
      </c>
      <c r="O59" s="2" t="s">
        <v>996</v>
      </c>
      <c r="P59" s="10" t="b">
        <v>0</v>
      </c>
      <c r="Q59" s="2"/>
      <c r="R59" s="2"/>
      <c r="S59" s="8">
        <v>87.0</v>
      </c>
      <c r="T59" s="8">
        <v>99.0</v>
      </c>
      <c r="U59" s="8">
        <v>2.36503727481513</v>
      </c>
      <c r="V59" s="8">
        <v>41.8598053629993</v>
      </c>
      <c r="W59" s="8">
        <v>0.156997146949319</v>
      </c>
      <c r="X59" s="8">
        <v>1.82425165176391</v>
      </c>
      <c r="Y59" s="8">
        <v>8.11460511371342</v>
      </c>
      <c r="Z59" s="8">
        <v>0.4375</v>
      </c>
      <c r="AA59" s="8">
        <v>0.156997146949319</v>
      </c>
      <c r="AB59" s="8">
        <v>0.328611399108221</v>
      </c>
      <c r="AC59" s="11">
        <v>1.51678614201955E-6</v>
      </c>
      <c r="AD59" s="8">
        <v>1.82425165176391</v>
      </c>
      <c r="AE59" s="8">
        <v>0.00293475668877363</v>
      </c>
      <c r="AF59" s="8">
        <v>0.127452753484249</v>
      </c>
      <c r="AG59" s="8">
        <v>0.674933207035064</v>
      </c>
      <c r="AH59" s="8">
        <v>0.822589302062988</v>
      </c>
      <c r="AI59" s="8">
        <v>1.43211428880691</v>
      </c>
      <c r="AJ59" s="8">
        <v>8.11460511371342</v>
      </c>
      <c r="AK59" s="8">
        <v>4.42572499327119</v>
      </c>
      <c r="AL59" s="8">
        <v>0.4375</v>
      </c>
      <c r="AM59" s="8">
        <v>18.2244319915771</v>
      </c>
      <c r="AN59" s="8">
        <v>9.09943199157714</v>
      </c>
      <c r="AO59" s="8">
        <v>0.949431037902832</v>
      </c>
      <c r="AP59" s="8">
        <v>1.903125</v>
      </c>
      <c r="AQ59" s="8">
        <v>3.71377849578857</v>
      </c>
      <c r="AR59" s="8">
        <v>12.0</v>
      </c>
      <c r="AS59" s="8">
        <v>4.0</v>
      </c>
      <c r="AT59" s="8">
        <v>1.0</v>
      </c>
      <c r="AU59" s="8">
        <v>0.0</v>
      </c>
      <c r="AV59" s="8">
        <v>0.121212121212121</v>
      </c>
      <c r="AW59" s="8">
        <v>0.0404040404040404</v>
      </c>
      <c r="AX59" s="8">
        <v>0.0101010101010101</v>
      </c>
      <c r="AY59" s="8">
        <v>0.0</v>
      </c>
      <c r="AZ59" s="8">
        <v>0.0</v>
      </c>
      <c r="BA59" s="8">
        <v>0.0</v>
      </c>
      <c r="BB59" s="8">
        <v>1.0</v>
      </c>
      <c r="BC59" s="8">
        <v>6.0</v>
      </c>
      <c r="BD59" s="8">
        <v>0.0</v>
      </c>
      <c r="BE59" s="8">
        <v>0.0</v>
      </c>
      <c r="BF59" s="8">
        <v>0.0101010101010101</v>
      </c>
      <c r="BG59" s="8">
        <v>0.0606060606060606</v>
      </c>
      <c r="BH59" s="8">
        <v>6.0</v>
      </c>
      <c r="BI59" s="8">
        <v>6.0</v>
      </c>
      <c r="BJ59" s="2"/>
      <c r="BK59" s="2"/>
      <c r="BL59" s="8">
        <v>9.0</v>
      </c>
      <c r="BM59" s="2" t="s">
        <v>1004</v>
      </c>
      <c r="BN59" s="2" t="s">
        <v>1005</v>
      </c>
      <c r="BO59" s="8">
        <v>67.0</v>
      </c>
      <c r="BP59" s="8">
        <v>438.0</v>
      </c>
      <c r="BQ59" s="8">
        <v>383.0</v>
      </c>
      <c r="BR59" s="8">
        <v>369.0</v>
      </c>
      <c r="BS59" s="8">
        <v>14.0</v>
      </c>
      <c r="BT59" s="8">
        <v>16.0</v>
      </c>
      <c r="BU59" s="10" t="b">
        <v>1</v>
      </c>
      <c r="BV59" s="10" t="b">
        <v>0</v>
      </c>
      <c r="BW59" s="10" t="b">
        <v>1</v>
      </c>
      <c r="BX59" s="2" t="s">
        <v>74</v>
      </c>
      <c r="BY59" s="8">
        <v>99.0</v>
      </c>
      <c r="BZ59" s="2"/>
      <c r="CA59" s="2"/>
    </row>
    <row r="60">
      <c r="A60" s="2" t="s">
        <v>1010</v>
      </c>
      <c r="B60" s="2" t="s">
        <v>121</v>
      </c>
      <c r="C60" s="8">
        <v>0.0</v>
      </c>
      <c r="D60" s="2" t="s">
        <v>71</v>
      </c>
      <c r="E60" s="2" t="s">
        <v>122</v>
      </c>
      <c r="F60" s="10" t="b">
        <v>1</v>
      </c>
      <c r="G60" s="2"/>
      <c r="H60" s="2"/>
      <c r="I60" s="2"/>
      <c r="J60" s="2"/>
      <c r="K60" s="2" t="s">
        <v>1011</v>
      </c>
      <c r="L60" s="2" t="s">
        <v>1012</v>
      </c>
      <c r="M60" s="2"/>
      <c r="N60" s="2" t="s">
        <v>1014</v>
      </c>
      <c r="O60" s="2" t="s">
        <v>1015</v>
      </c>
      <c r="P60" s="10" t="b">
        <v>0</v>
      </c>
      <c r="Q60" s="2"/>
      <c r="R60" s="2"/>
      <c r="S60" s="8">
        <v>95.0</v>
      </c>
      <c r="T60" s="8">
        <v>83.0</v>
      </c>
      <c r="U60" s="8">
        <v>2.3540929502981</v>
      </c>
      <c r="V60" s="8">
        <v>35.2577411989996</v>
      </c>
      <c r="W60" s="8">
        <v>0.192558021865401</v>
      </c>
      <c r="X60" s="8">
        <v>1.77961575984954</v>
      </c>
      <c r="Y60" s="8">
        <v>6.77621882794851</v>
      </c>
      <c r="Z60" s="8">
        <v>0.0653419494628906</v>
      </c>
      <c r="AA60" s="8">
        <v>0.192558021865401</v>
      </c>
      <c r="AB60" s="8">
        <v>0.377487496931261</v>
      </c>
      <c r="AC60" s="8">
        <v>1.02498837804887E-4</v>
      </c>
      <c r="AD60" s="8">
        <v>1.77961575984954</v>
      </c>
      <c r="AE60" s="8">
        <v>0.010820941068232</v>
      </c>
      <c r="AF60" s="8">
        <v>0.180750243365764</v>
      </c>
      <c r="AG60" s="8">
        <v>0.658883738517761</v>
      </c>
      <c r="AH60" s="8">
        <v>1.10060111284255</v>
      </c>
      <c r="AI60" s="8">
        <v>1.7232939171791</v>
      </c>
      <c r="AJ60" s="8">
        <v>6.77621882794851</v>
      </c>
      <c r="AK60" s="8">
        <v>3.68428900008022</v>
      </c>
      <c r="AL60" s="8">
        <v>0.0653419494628906</v>
      </c>
      <c r="AM60" s="8">
        <v>13.1427574157714</v>
      </c>
      <c r="AN60" s="8">
        <v>7.09375</v>
      </c>
      <c r="AO60" s="8">
        <v>0.805965805053711</v>
      </c>
      <c r="AP60" s="8">
        <v>1.68664779663085</v>
      </c>
      <c r="AQ60" s="8">
        <v>3.31392002105712</v>
      </c>
      <c r="AR60" s="8">
        <v>12.0</v>
      </c>
      <c r="AS60" s="8">
        <v>6.0</v>
      </c>
      <c r="AT60" s="8">
        <v>2.0</v>
      </c>
      <c r="AU60" s="8">
        <v>0.0</v>
      </c>
      <c r="AV60" s="8">
        <v>0.144578313253012</v>
      </c>
      <c r="AW60" s="8">
        <v>0.072289156626506</v>
      </c>
      <c r="AX60" s="8">
        <v>0.0240963855421686</v>
      </c>
      <c r="AY60" s="8">
        <v>0.0</v>
      </c>
      <c r="AZ60" s="8">
        <v>1.0</v>
      </c>
      <c r="BA60" s="8">
        <v>2.0</v>
      </c>
      <c r="BB60" s="8">
        <v>4.0</v>
      </c>
      <c r="BC60" s="8">
        <v>5.0</v>
      </c>
      <c r="BD60" s="8">
        <v>0.0120481927710843</v>
      </c>
      <c r="BE60" s="8">
        <v>0.0240963855421686</v>
      </c>
      <c r="BF60" s="8">
        <v>0.0481927710843373</v>
      </c>
      <c r="BG60" s="8">
        <v>0.0602409638554216</v>
      </c>
      <c r="BH60" s="8">
        <v>7.0</v>
      </c>
      <c r="BI60" s="8">
        <v>7.0</v>
      </c>
      <c r="BJ60" s="2"/>
      <c r="BK60" s="8">
        <v>11.0</v>
      </c>
      <c r="BL60" s="8">
        <v>11.0</v>
      </c>
      <c r="BM60" s="2" t="s">
        <v>1024</v>
      </c>
      <c r="BN60" s="2" t="s">
        <v>1025</v>
      </c>
      <c r="BO60" s="8">
        <v>78.0</v>
      </c>
      <c r="BP60" s="8">
        <v>444.0</v>
      </c>
      <c r="BQ60" s="8">
        <v>279.0</v>
      </c>
      <c r="BR60" s="8">
        <v>265.0</v>
      </c>
      <c r="BS60" s="8">
        <v>9.0</v>
      </c>
      <c r="BT60" s="8">
        <v>11.0</v>
      </c>
      <c r="BU60" s="10" t="b">
        <v>1</v>
      </c>
      <c r="BV60" s="10" t="b">
        <v>0</v>
      </c>
      <c r="BW60" s="10" t="b">
        <v>1</v>
      </c>
      <c r="BX60" s="2" t="s">
        <v>74</v>
      </c>
      <c r="BY60" s="8">
        <v>83.0</v>
      </c>
      <c r="BZ60" s="2"/>
      <c r="CA60" s="2"/>
    </row>
    <row r="61">
      <c r="A61" s="2" t="s">
        <v>1027</v>
      </c>
      <c r="B61" s="2" t="s">
        <v>121</v>
      </c>
      <c r="C61" s="8">
        <v>0.0</v>
      </c>
      <c r="D61" s="2" t="s">
        <v>71</v>
      </c>
      <c r="E61" s="2" t="s">
        <v>122</v>
      </c>
      <c r="F61" s="10" t="b">
        <v>1</v>
      </c>
      <c r="G61" s="2"/>
      <c r="H61" s="2"/>
      <c r="I61" s="2"/>
      <c r="J61" s="2"/>
      <c r="K61" s="2" t="s">
        <v>1031</v>
      </c>
      <c r="L61" s="2" t="s">
        <v>1032</v>
      </c>
      <c r="M61" s="2"/>
      <c r="N61" s="2" t="s">
        <v>1033</v>
      </c>
      <c r="O61" s="2" t="s">
        <v>1034</v>
      </c>
      <c r="P61" s="10" t="b">
        <v>0</v>
      </c>
      <c r="Q61" s="2"/>
      <c r="R61" s="2"/>
      <c r="S61" s="8">
        <v>106.0</v>
      </c>
      <c r="T61" s="8">
        <v>107.0</v>
      </c>
      <c r="U61" s="8">
        <v>2.35214539827736</v>
      </c>
      <c r="V61" s="8">
        <v>45.4903851090002</v>
      </c>
      <c r="W61" s="8">
        <v>0.0983251113708983</v>
      </c>
      <c r="X61" s="8">
        <v>0.996890902519226</v>
      </c>
      <c r="Y61" s="8">
        <v>9.51056753140743</v>
      </c>
      <c r="Z61" s="8">
        <v>0.125</v>
      </c>
      <c r="AA61" s="8">
        <v>0.0983251113708983</v>
      </c>
      <c r="AB61" s="8">
        <v>0.22509086868142</v>
      </c>
      <c r="AC61" s="11">
        <v>8.9651184680406E-6</v>
      </c>
      <c r="AD61" s="8">
        <v>0.996890902519226</v>
      </c>
      <c r="AE61" s="8">
        <v>6.28493668045848E-4</v>
      </c>
      <c r="AF61" s="8">
        <v>0.0248819701373577</v>
      </c>
      <c r="AG61" s="8">
        <v>0.410922765731811</v>
      </c>
      <c r="AH61" s="8">
        <v>0.638661313056945</v>
      </c>
      <c r="AI61" s="8">
        <v>0.97038324356079</v>
      </c>
      <c r="AJ61" s="8">
        <v>9.51056753140743</v>
      </c>
      <c r="AK61" s="8">
        <v>4.61824187370121</v>
      </c>
      <c r="AL61" s="8">
        <v>0.125</v>
      </c>
      <c r="AM61" s="8">
        <v>16.1150588989257</v>
      </c>
      <c r="AN61" s="8">
        <v>10.8721599578857</v>
      </c>
      <c r="AO61" s="8">
        <v>0.942045402526855</v>
      </c>
      <c r="AP61" s="8">
        <v>2.25681762695312</v>
      </c>
      <c r="AQ61" s="8">
        <v>5.7819595336914</v>
      </c>
      <c r="AR61" s="8">
        <v>8.0</v>
      </c>
      <c r="AS61" s="8">
        <v>0.0</v>
      </c>
      <c r="AT61" s="8">
        <v>0.0</v>
      </c>
      <c r="AU61" s="8">
        <v>0.0</v>
      </c>
      <c r="AV61" s="8">
        <v>0.0747663551401869</v>
      </c>
      <c r="AW61" s="8">
        <v>0.0</v>
      </c>
      <c r="AX61" s="8">
        <v>0.0</v>
      </c>
      <c r="AY61" s="8">
        <v>0.0</v>
      </c>
      <c r="AZ61" s="8">
        <v>0.0</v>
      </c>
      <c r="BA61" s="8">
        <v>3.0</v>
      </c>
      <c r="BB61" s="8">
        <v>4.0</v>
      </c>
      <c r="BC61" s="8">
        <v>6.0</v>
      </c>
      <c r="BD61" s="8">
        <v>0.0</v>
      </c>
      <c r="BE61" s="8">
        <v>0.02803738317757</v>
      </c>
      <c r="BF61" s="8">
        <v>0.0373831775700934</v>
      </c>
      <c r="BG61" s="8">
        <v>0.0560747663551401</v>
      </c>
      <c r="BH61" s="2"/>
      <c r="BI61" s="2"/>
      <c r="BJ61" s="2"/>
      <c r="BK61" s="8">
        <v>0.0</v>
      </c>
      <c r="BL61" s="8">
        <v>0.0</v>
      </c>
      <c r="BM61" s="2" t="s">
        <v>1043</v>
      </c>
      <c r="BN61" s="2" t="s">
        <v>1044</v>
      </c>
      <c r="BO61" s="8">
        <v>85.0</v>
      </c>
      <c r="BP61" s="8">
        <v>452.0</v>
      </c>
      <c r="BQ61" s="8">
        <v>300.0</v>
      </c>
      <c r="BR61" s="8">
        <v>286.0</v>
      </c>
      <c r="BS61" s="8">
        <v>9.0</v>
      </c>
      <c r="BT61" s="8">
        <v>11.0</v>
      </c>
      <c r="BU61" s="10" t="b">
        <v>1</v>
      </c>
      <c r="BV61" s="10" t="b">
        <v>0</v>
      </c>
      <c r="BW61" s="10" t="b">
        <v>1</v>
      </c>
      <c r="BX61" s="2" t="s">
        <v>74</v>
      </c>
      <c r="BY61" s="8">
        <v>107.0</v>
      </c>
      <c r="BZ61" s="2"/>
      <c r="CA61" s="2"/>
    </row>
    <row r="62">
      <c r="A62" s="2" t="s">
        <v>1045</v>
      </c>
      <c r="B62" s="2" t="s">
        <v>121</v>
      </c>
      <c r="C62" s="8">
        <v>0.0</v>
      </c>
      <c r="D62" s="2" t="s">
        <v>71</v>
      </c>
      <c r="E62" s="2" t="s">
        <v>122</v>
      </c>
      <c r="F62" s="10" t="b">
        <v>0</v>
      </c>
      <c r="G62" s="2" t="s">
        <v>198</v>
      </c>
      <c r="H62" s="2" t="s">
        <v>247</v>
      </c>
      <c r="I62" s="2" t="s">
        <v>1048</v>
      </c>
      <c r="J62" s="2"/>
      <c r="K62" s="2" t="s">
        <v>1050</v>
      </c>
      <c r="L62" s="2" t="s">
        <v>1052</v>
      </c>
      <c r="M62" s="2"/>
      <c r="N62" s="2" t="s">
        <v>1053</v>
      </c>
      <c r="O62" s="2" t="s">
        <v>1054</v>
      </c>
      <c r="P62" s="10" t="b">
        <v>0</v>
      </c>
      <c r="Q62" s="2"/>
      <c r="R62" s="2"/>
      <c r="S62" s="8">
        <v>312.0</v>
      </c>
      <c r="T62" s="8">
        <v>39.0</v>
      </c>
      <c r="U62" s="8">
        <v>2.29945959509161</v>
      </c>
      <c r="V62" s="8">
        <v>16.960506757</v>
      </c>
      <c r="W62" s="8">
        <v>0.236854702166918</v>
      </c>
      <c r="X62" s="8">
        <v>1.76570320129394</v>
      </c>
      <c r="Y62" s="8">
        <v>6.5589126195663</v>
      </c>
      <c r="Z62" s="8">
        <v>0.09375</v>
      </c>
      <c r="AA62" s="8">
        <v>0.236854702166918</v>
      </c>
      <c r="AB62" s="8">
        <v>0.437178990083833</v>
      </c>
      <c r="AC62" s="11">
        <v>4.20365468016825E-5</v>
      </c>
      <c r="AD62" s="8">
        <v>1.76570320129394</v>
      </c>
      <c r="AE62" s="8">
        <v>0.0117705473676323</v>
      </c>
      <c r="AF62" s="8">
        <v>0.287628337740898</v>
      </c>
      <c r="AG62" s="8">
        <v>0.794671177864075</v>
      </c>
      <c r="AH62" s="8">
        <v>1.20910177230835</v>
      </c>
      <c r="AI62" s="8">
        <v>1.65206520795822</v>
      </c>
      <c r="AJ62" s="8">
        <v>6.5589126195663</v>
      </c>
      <c r="AK62" s="8">
        <v>3.96823851335353</v>
      </c>
      <c r="AL62" s="8">
        <v>0.09375</v>
      </c>
      <c r="AM62" s="8">
        <v>13.1150569915771</v>
      </c>
      <c r="AN62" s="8">
        <v>6.828125</v>
      </c>
      <c r="AO62" s="8">
        <v>0.709375</v>
      </c>
      <c r="AP62" s="8">
        <v>1.053125</v>
      </c>
      <c r="AQ62" s="8">
        <v>3.0390625</v>
      </c>
      <c r="AR62" s="8">
        <v>6.0</v>
      </c>
      <c r="AS62" s="8">
        <v>4.0</v>
      </c>
      <c r="AT62" s="8">
        <v>1.0</v>
      </c>
      <c r="AU62" s="8">
        <v>0.0</v>
      </c>
      <c r="AV62" s="8">
        <v>0.153846153846153</v>
      </c>
      <c r="AW62" s="8">
        <v>0.102564102564102</v>
      </c>
      <c r="AX62" s="8">
        <v>0.0256410256410256</v>
      </c>
      <c r="AY62" s="8">
        <v>0.0</v>
      </c>
      <c r="AZ62" s="8">
        <v>1.0</v>
      </c>
      <c r="BA62" s="8">
        <v>2.0</v>
      </c>
      <c r="BB62" s="8">
        <v>2.0</v>
      </c>
      <c r="BC62" s="8">
        <v>4.0</v>
      </c>
      <c r="BD62" s="8">
        <v>0.0256410256410256</v>
      </c>
      <c r="BE62" s="8">
        <v>0.0512820512820512</v>
      </c>
      <c r="BF62" s="8">
        <v>0.0512820512820512</v>
      </c>
      <c r="BG62" s="8">
        <v>0.102564102564102</v>
      </c>
      <c r="BH62" s="8">
        <v>7.0</v>
      </c>
      <c r="BI62" s="8">
        <v>13.0</v>
      </c>
      <c r="BJ62" s="2"/>
      <c r="BK62" s="8">
        <v>7.0</v>
      </c>
      <c r="BL62" s="8">
        <v>7.0</v>
      </c>
      <c r="BM62" s="2" t="s">
        <v>1061</v>
      </c>
      <c r="BN62" s="2" t="s">
        <v>1064</v>
      </c>
      <c r="BO62" s="8">
        <v>91.0</v>
      </c>
      <c r="BP62" s="8">
        <v>765.0</v>
      </c>
      <c r="BQ62" s="8">
        <v>139.0</v>
      </c>
      <c r="BR62" s="8">
        <v>125.0</v>
      </c>
      <c r="BS62" s="8">
        <v>2.0</v>
      </c>
      <c r="BT62" s="8">
        <v>4.0</v>
      </c>
      <c r="BU62" s="10" t="b">
        <v>1</v>
      </c>
      <c r="BV62" s="10" t="b">
        <v>0</v>
      </c>
      <c r="BW62" s="10" t="b">
        <v>1</v>
      </c>
      <c r="BX62" s="2" t="s">
        <v>1065</v>
      </c>
      <c r="BY62" s="8">
        <v>39.0</v>
      </c>
      <c r="BZ62" s="2"/>
      <c r="CA62" s="2"/>
    </row>
    <row r="63">
      <c r="A63" s="2" t="s">
        <v>1066</v>
      </c>
      <c r="B63" s="2" t="s">
        <v>121</v>
      </c>
      <c r="C63" s="8">
        <v>0.0</v>
      </c>
      <c r="D63" s="2" t="s">
        <v>71</v>
      </c>
      <c r="E63" s="2" t="s">
        <v>122</v>
      </c>
      <c r="F63" s="10" t="b">
        <v>1</v>
      </c>
      <c r="G63" s="2"/>
      <c r="H63" s="2"/>
      <c r="I63" s="2"/>
      <c r="J63" s="2"/>
      <c r="K63" s="2" t="s">
        <v>1070</v>
      </c>
      <c r="L63" s="2" t="s">
        <v>1072</v>
      </c>
      <c r="M63" s="2"/>
      <c r="N63" s="2" t="s">
        <v>1073</v>
      </c>
      <c r="O63" s="2" t="s">
        <v>1073</v>
      </c>
      <c r="P63" s="10" t="b">
        <v>0</v>
      </c>
      <c r="Q63" s="2"/>
      <c r="R63" s="2"/>
      <c r="S63" s="8">
        <v>112.0</v>
      </c>
      <c r="T63" s="8">
        <v>12.0</v>
      </c>
      <c r="U63" s="8">
        <v>2.3336493961308</v>
      </c>
      <c r="V63" s="8">
        <v>5.1421606089998</v>
      </c>
      <c r="W63" s="8">
        <v>0.346665911426195</v>
      </c>
      <c r="X63" s="8">
        <v>0.890908658504486</v>
      </c>
      <c r="Y63" s="8">
        <v>5.68116736412048</v>
      </c>
      <c r="Z63" s="8">
        <v>0.015625</v>
      </c>
      <c r="AA63" s="8">
        <v>0.346665911426195</v>
      </c>
      <c r="AB63" s="8">
        <v>0.4053768606687</v>
      </c>
      <c r="AC63" s="8">
        <v>2.35660307225771E-4</v>
      </c>
      <c r="AD63" s="8">
        <v>0.890908658504486</v>
      </c>
      <c r="AE63" s="8">
        <v>0.0746336728334426</v>
      </c>
      <c r="AF63" s="8">
        <v>0.747505202889442</v>
      </c>
      <c r="AG63" s="8">
        <v>0.866658878326416</v>
      </c>
      <c r="AH63" s="8">
        <v>0.880034652352333</v>
      </c>
      <c r="AI63" s="8">
        <v>0.888733857274055</v>
      </c>
      <c r="AJ63" s="8">
        <v>5.68116736412048</v>
      </c>
      <c r="AK63" s="8">
        <v>4.60842319409214</v>
      </c>
      <c r="AL63" s="8">
        <v>0.015625</v>
      </c>
      <c r="AM63" s="8">
        <v>12.046875</v>
      </c>
      <c r="AN63" s="8">
        <v>5.06498622894287</v>
      </c>
      <c r="AO63" s="8">
        <v>0.4109375</v>
      </c>
      <c r="AP63" s="8">
        <v>0.7453125</v>
      </c>
      <c r="AQ63" s="8">
        <v>1.5234375</v>
      </c>
      <c r="AR63" s="8">
        <v>5.0</v>
      </c>
      <c r="AS63" s="8">
        <v>0.0</v>
      </c>
      <c r="AT63" s="8">
        <v>0.0</v>
      </c>
      <c r="AU63" s="8">
        <v>0.0</v>
      </c>
      <c r="AV63" s="8">
        <v>0.416666666666666</v>
      </c>
      <c r="AW63" s="8">
        <v>0.0</v>
      </c>
      <c r="AX63" s="8">
        <v>0.0</v>
      </c>
      <c r="AY63" s="8">
        <v>0.0</v>
      </c>
      <c r="AZ63" s="8">
        <v>1.0</v>
      </c>
      <c r="BA63" s="8">
        <v>1.0</v>
      </c>
      <c r="BB63" s="8">
        <v>1.0</v>
      </c>
      <c r="BC63" s="8">
        <v>3.0</v>
      </c>
      <c r="BD63" s="8">
        <v>0.0833333333333333</v>
      </c>
      <c r="BE63" s="8">
        <v>0.0833333333333333</v>
      </c>
      <c r="BF63" s="8">
        <v>0.0833333333333333</v>
      </c>
      <c r="BG63" s="8">
        <v>0.25</v>
      </c>
      <c r="BH63" s="2"/>
      <c r="BI63" s="2"/>
      <c r="BJ63" s="2"/>
      <c r="BK63" s="8">
        <v>0.0</v>
      </c>
      <c r="BL63" s="8">
        <v>0.0</v>
      </c>
      <c r="BM63" s="2" t="s">
        <v>1079</v>
      </c>
      <c r="BN63" s="2" t="s">
        <v>1080</v>
      </c>
      <c r="BO63" s="8">
        <v>87.0</v>
      </c>
      <c r="BP63" s="8">
        <v>564.0</v>
      </c>
      <c r="BQ63" s="8">
        <v>42.0</v>
      </c>
      <c r="BR63" s="8">
        <v>42.0</v>
      </c>
      <c r="BS63" s="8">
        <v>1.0</v>
      </c>
      <c r="BT63" s="8">
        <v>1.0</v>
      </c>
      <c r="BU63" s="10" t="b">
        <v>1</v>
      </c>
      <c r="BV63" s="10" t="b">
        <v>0</v>
      </c>
      <c r="BW63" s="10" t="b">
        <v>0</v>
      </c>
      <c r="BX63" s="2" t="s">
        <v>74</v>
      </c>
      <c r="BY63" s="8">
        <v>12.0</v>
      </c>
      <c r="BZ63" s="2"/>
      <c r="CA63" s="2"/>
    </row>
    <row r="64">
      <c r="A64" s="2" t="s">
        <v>1084</v>
      </c>
      <c r="B64" s="2" t="s">
        <v>121</v>
      </c>
      <c r="C64" s="8">
        <v>0.0</v>
      </c>
      <c r="D64" s="2" t="s">
        <v>71</v>
      </c>
      <c r="E64" s="2" t="s">
        <v>122</v>
      </c>
      <c r="F64" s="10" t="b">
        <v>1</v>
      </c>
      <c r="G64" s="2"/>
      <c r="H64" s="2"/>
      <c r="I64" s="2"/>
      <c r="J64" s="2"/>
      <c r="K64" s="2" t="s">
        <v>1086</v>
      </c>
      <c r="L64" s="2" t="s">
        <v>1088</v>
      </c>
      <c r="M64" s="2"/>
      <c r="N64" s="2" t="s">
        <v>1091</v>
      </c>
      <c r="O64" s="2" t="s">
        <v>1092</v>
      </c>
      <c r="P64" s="10" t="b">
        <v>0</v>
      </c>
      <c r="Q64" s="2"/>
      <c r="R64" s="2"/>
      <c r="S64" s="8">
        <v>129.0</v>
      </c>
      <c r="T64" s="8">
        <v>116.0</v>
      </c>
      <c r="U64" s="8">
        <v>2.35231094627612</v>
      </c>
      <c r="V64" s="8">
        <v>49.3132084360004</v>
      </c>
      <c r="W64" s="8">
        <v>0.130399460409848</v>
      </c>
      <c r="X64" s="8">
        <v>1.71791052818298</v>
      </c>
      <c r="Y64" s="8">
        <v>8.48613856578695</v>
      </c>
      <c r="Z64" s="8">
        <v>0.0724430084228515</v>
      </c>
      <c r="AA64" s="8">
        <v>0.130399460409848</v>
      </c>
      <c r="AB64" s="8">
        <v>0.301535659669994</v>
      </c>
      <c r="AC64" s="11">
        <v>2.29442412091884E-6</v>
      </c>
      <c r="AD64" s="8">
        <v>1.71791052818298</v>
      </c>
      <c r="AE64" s="8">
        <v>0.00203695078380405</v>
      </c>
      <c r="AF64" s="8">
        <v>0.0551876798272132</v>
      </c>
      <c r="AG64" s="8">
        <v>0.457691773772239</v>
      </c>
      <c r="AH64" s="8">
        <v>0.727443546056747</v>
      </c>
      <c r="AI64" s="8">
        <v>1.48088474869727</v>
      </c>
      <c r="AJ64" s="8">
        <v>8.48613856578695</v>
      </c>
      <c r="AK64" s="8">
        <v>4.37143399899613</v>
      </c>
      <c r="AL64" s="8">
        <v>0.0724430084228515</v>
      </c>
      <c r="AM64" s="8">
        <v>16.8607959747314</v>
      </c>
      <c r="AN64" s="8">
        <v>9.43750047683715</v>
      </c>
      <c r="AO64" s="8">
        <v>1.01171875</v>
      </c>
      <c r="AP64" s="8">
        <v>1.96306800842285</v>
      </c>
      <c r="AQ64" s="8">
        <v>4.93359375</v>
      </c>
      <c r="AR64" s="8">
        <v>11.0</v>
      </c>
      <c r="AS64" s="8">
        <v>3.0</v>
      </c>
      <c r="AT64" s="8">
        <v>2.0</v>
      </c>
      <c r="AU64" s="8">
        <v>0.0</v>
      </c>
      <c r="AV64" s="8">
        <v>0.0948275862068965</v>
      </c>
      <c r="AW64" s="8">
        <v>0.0258620689655172</v>
      </c>
      <c r="AX64" s="8">
        <v>0.0172413793103448</v>
      </c>
      <c r="AY64" s="8">
        <v>0.0</v>
      </c>
      <c r="AZ64" s="8">
        <v>1.0</v>
      </c>
      <c r="BA64" s="8">
        <v>3.0</v>
      </c>
      <c r="BB64" s="8">
        <v>5.0</v>
      </c>
      <c r="BC64" s="8">
        <v>6.0</v>
      </c>
      <c r="BD64" s="8">
        <v>0.00862068965517241</v>
      </c>
      <c r="BE64" s="8">
        <v>0.0258620689655172</v>
      </c>
      <c r="BF64" s="8">
        <v>0.043103448275862</v>
      </c>
      <c r="BG64" s="8">
        <v>0.0517241379310344</v>
      </c>
      <c r="BH64" s="8">
        <v>8.0</v>
      </c>
      <c r="BI64" s="8">
        <v>8.0</v>
      </c>
      <c r="BJ64" s="2"/>
      <c r="BK64" s="8">
        <v>31.0</v>
      </c>
      <c r="BL64" s="8">
        <v>5.0</v>
      </c>
      <c r="BM64" s="2" t="s">
        <v>1098</v>
      </c>
      <c r="BN64" s="2" t="s">
        <v>1099</v>
      </c>
      <c r="BO64" s="8">
        <v>85.0</v>
      </c>
      <c r="BP64" s="8">
        <v>462.0</v>
      </c>
      <c r="BQ64" s="8">
        <v>397.0</v>
      </c>
      <c r="BR64" s="8">
        <v>383.0</v>
      </c>
      <c r="BS64" s="8">
        <v>13.0</v>
      </c>
      <c r="BT64" s="8">
        <v>15.0</v>
      </c>
      <c r="BU64" s="10" t="b">
        <v>1</v>
      </c>
      <c r="BV64" s="10" t="b">
        <v>0</v>
      </c>
      <c r="BW64" s="10" t="b">
        <v>1</v>
      </c>
      <c r="BX64" s="2" t="s">
        <v>74</v>
      </c>
      <c r="BY64" s="8">
        <v>116.0</v>
      </c>
      <c r="BZ64" s="2"/>
      <c r="CA64" s="2"/>
    </row>
    <row r="65">
      <c r="A65" s="2" t="s">
        <v>1105</v>
      </c>
      <c r="B65" s="2" t="s">
        <v>121</v>
      </c>
      <c r="C65" s="8">
        <v>0.0</v>
      </c>
      <c r="D65" s="2" t="s">
        <v>71</v>
      </c>
      <c r="E65" s="2" t="s">
        <v>122</v>
      </c>
      <c r="F65" s="10" t="b">
        <v>1</v>
      </c>
      <c r="G65" s="2"/>
      <c r="H65" s="2"/>
      <c r="I65" s="2"/>
      <c r="J65" s="2"/>
      <c r="K65" s="2" t="s">
        <v>1106</v>
      </c>
      <c r="L65" s="2" t="s">
        <v>1107</v>
      </c>
      <c r="M65" s="2"/>
      <c r="N65" s="2" t="s">
        <v>1108</v>
      </c>
      <c r="O65" s="2" t="s">
        <v>1109</v>
      </c>
      <c r="P65" s="10" t="b">
        <v>0</v>
      </c>
      <c r="Q65" s="2"/>
      <c r="R65" s="2"/>
      <c r="S65" s="8">
        <v>164.0</v>
      </c>
      <c r="T65" s="8">
        <v>48.0</v>
      </c>
      <c r="U65" s="8">
        <v>2.34642783969085</v>
      </c>
      <c r="V65" s="8">
        <v>20.456627384</v>
      </c>
      <c r="W65" s="8">
        <v>0.224221167451711</v>
      </c>
      <c r="X65" s="8">
        <v>0.932435393333435</v>
      </c>
      <c r="Y65" s="8">
        <v>6.25942548116048</v>
      </c>
      <c r="Z65" s="8">
        <v>0.078125</v>
      </c>
      <c r="AA65" s="8">
        <v>0.224221167451711</v>
      </c>
      <c r="AB65" s="8">
        <v>0.321360920873982</v>
      </c>
      <c r="AC65" s="11">
        <v>1.92811057786457E-5</v>
      </c>
      <c r="AD65" s="8">
        <v>0.932435393333435</v>
      </c>
      <c r="AE65" s="8">
        <v>0.0209308071061968</v>
      </c>
      <c r="AF65" s="8">
        <v>0.567381098866462</v>
      </c>
      <c r="AG65" s="8">
        <v>0.721856433153152</v>
      </c>
      <c r="AH65" s="8">
        <v>0.882067471742629</v>
      </c>
      <c r="AI65" s="8">
        <v>0.925383046865463</v>
      </c>
      <c r="AJ65" s="8">
        <v>6.25942548116048</v>
      </c>
      <c r="AK65" s="8">
        <v>4.18371807886738</v>
      </c>
      <c r="AL65" s="8">
        <v>0.078125</v>
      </c>
      <c r="AM65" s="8">
        <v>14.6015625</v>
      </c>
      <c r="AN65" s="8">
        <v>6.5553970336914</v>
      </c>
      <c r="AO65" s="8">
        <v>0.499077606201171</v>
      </c>
      <c r="AP65" s="8">
        <v>0.974858093261718</v>
      </c>
      <c r="AQ65" s="8">
        <v>2.06321048736572</v>
      </c>
      <c r="AR65" s="8">
        <v>13.0</v>
      </c>
      <c r="AS65" s="8">
        <v>0.0</v>
      </c>
      <c r="AT65" s="8">
        <v>0.0</v>
      </c>
      <c r="AU65" s="8">
        <v>0.0</v>
      </c>
      <c r="AV65" s="8">
        <v>0.270833333333333</v>
      </c>
      <c r="AW65" s="8">
        <v>0.0</v>
      </c>
      <c r="AX65" s="8">
        <v>0.0</v>
      </c>
      <c r="AY65" s="8">
        <v>0.0</v>
      </c>
      <c r="AZ65" s="8">
        <v>1.0</v>
      </c>
      <c r="BA65" s="8">
        <v>2.0</v>
      </c>
      <c r="BB65" s="8">
        <v>3.0</v>
      </c>
      <c r="BC65" s="8">
        <v>6.0</v>
      </c>
      <c r="BD65" s="8">
        <v>0.0208333333333333</v>
      </c>
      <c r="BE65" s="8">
        <v>0.0416666666666666</v>
      </c>
      <c r="BF65" s="8">
        <v>0.0625</v>
      </c>
      <c r="BG65" s="8">
        <v>0.125</v>
      </c>
      <c r="BH65" s="2"/>
      <c r="BI65" s="2"/>
      <c r="BJ65" s="2"/>
      <c r="BK65" s="8">
        <v>19.0</v>
      </c>
      <c r="BL65" s="8">
        <v>19.0</v>
      </c>
      <c r="BM65" s="2" t="s">
        <v>1116</v>
      </c>
      <c r="BN65" s="2" t="s">
        <v>1117</v>
      </c>
      <c r="BO65" s="8">
        <v>109.0</v>
      </c>
      <c r="BP65" s="8">
        <v>564.0</v>
      </c>
      <c r="BQ65" s="8">
        <v>185.0</v>
      </c>
      <c r="BR65" s="8">
        <v>171.0</v>
      </c>
      <c r="BS65" s="8">
        <v>4.0</v>
      </c>
      <c r="BT65" s="8">
        <v>6.0</v>
      </c>
      <c r="BU65" s="10" t="b">
        <v>1</v>
      </c>
      <c r="BV65" s="10" t="b">
        <v>0</v>
      </c>
      <c r="BW65" s="10" t="b">
        <v>1</v>
      </c>
      <c r="BX65" s="2" t="s">
        <v>74</v>
      </c>
      <c r="BY65" s="8">
        <v>48.0</v>
      </c>
      <c r="BZ65" s="2"/>
      <c r="CA65" s="2"/>
    </row>
    <row r="66">
      <c r="A66" s="2" t="s">
        <v>1121</v>
      </c>
      <c r="B66" s="2" t="s">
        <v>121</v>
      </c>
      <c r="C66" s="8">
        <v>0.0</v>
      </c>
      <c r="D66" s="2" t="s">
        <v>71</v>
      </c>
      <c r="E66" s="2" t="s">
        <v>122</v>
      </c>
      <c r="F66" s="10" t="b">
        <v>0</v>
      </c>
      <c r="G66" s="2" t="s">
        <v>198</v>
      </c>
      <c r="H66" s="2" t="s">
        <v>247</v>
      </c>
      <c r="I66" s="2" t="s">
        <v>1122</v>
      </c>
      <c r="J66" s="2"/>
      <c r="K66" s="2" t="s">
        <v>1123</v>
      </c>
      <c r="L66" s="2" t="s">
        <v>1124</v>
      </c>
      <c r="M66" s="2"/>
      <c r="N66" s="2" t="s">
        <v>1125</v>
      </c>
      <c r="O66" s="2" t="s">
        <v>1126</v>
      </c>
      <c r="P66" s="10" t="b">
        <v>0</v>
      </c>
      <c r="Q66" s="2"/>
      <c r="R66" s="2"/>
      <c r="S66" s="8">
        <v>104.0</v>
      </c>
      <c r="T66" s="8">
        <v>151.0</v>
      </c>
      <c r="U66" s="8">
        <v>2.35532035729661</v>
      </c>
      <c r="V66" s="8">
        <v>64.1101748780001</v>
      </c>
      <c r="W66" s="8">
        <v>0.131473892676161</v>
      </c>
      <c r="X66" s="8">
        <v>1.68509471416473</v>
      </c>
      <c r="Y66" s="8">
        <v>9.1599661972349</v>
      </c>
      <c r="Z66" s="8">
        <v>0.0767059326171875</v>
      </c>
      <c r="AA66" s="8">
        <v>0.131473892676161</v>
      </c>
      <c r="AB66" s="8">
        <v>0.314222910820897</v>
      </c>
      <c r="AC66" s="11">
        <v>6.24236554358503E-6</v>
      </c>
      <c r="AD66" s="8">
        <v>1.68509471416473</v>
      </c>
      <c r="AE66" s="8">
        <v>6.08536996878683E-4</v>
      </c>
      <c r="AF66" s="8">
        <v>0.0311851510778069</v>
      </c>
      <c r="AG66" s="8">
        <v>0.624286890029907</v>
      </c>
      <c r="AH66" s="8">
        <v>0.762228488922119</v>
      </c>
      <c r="AI66" s="8">
        <v>1.44575065374374</v>
      </c>
      <c r="AJ66" s="8">
        <v>9.1599661972349</v>
      </c>
      <c r="AK66" s="8">
        <v>4.41819949278859</v>
      </c>
      <c r="AL66" s="8">
        <v>0.0767059326171875</v>
      </c>
      <c r="AM66" s="8">
        <v>15.359375</v>
      </c>
      <c r="AN66" s="8">
        <v>10.85227394104</v>
      </c>
      <c r="AO66" s="8">
        <v>0.724431991577148</v>
      </c>
      <c r="AP66" s="8">
        <v>1.6605110168457</v>
      </c>
      <c r="AQ66" s="8">
        <v>5.95880699157714</v>
      </c>
      <c r="AR66" s="8">
        <v>18.0</v>
      </c>
      <c r="AS66" s="8">
        <v>5.0</v>
      </c>
      <c r="AT66" s="8">
        <v>2.0</v>
      </c>
      <c r="AU66" s="8">
        <v>0.0</v>
      </c>
      <c r="AV66" s="8">
        <v>0.119205298013245</v>
      </c>
      <c r="AW66" s="8">
        <v>0.0331125827814569</v>
      </c>
      <c r="AX66" s="8">
        <v>0.0132450331125827</v>
      </c>
      <c r="AY66" s="8">
        <v>0.0</v>
      </c>
      <c r="AZ66" s="8">
        <v>2.0</v>
      </c>
      <c r="BA66" s="8">
        <v>4.0</v>
      </c>
      <c r="BB66" s="8">
        <v>6.0</v>
      </c>
      <c r="BC66" s="8">
        <v>11.0</v>
      </c>
      <c r="BD66" s="8">
        <v>0.0132450331125827</v>
      </c>
      <c r="BE66" s="8">
        <v>0.0264900662251655</v>
      </c>
      <c r="BF66" s="8">
        <v>0.0397350993377483</v>
      </c>
      <c r="BG66" s="8">
        <v>0.0728476821192053</v>
      </c>
      <c r="BH66" s="8">
        <v>8.0</v>
      </c>
      <c r="BI66" s="8">
        <v>8.0</v>
      </c>
      <c r="BJ66" s="2"/>
      <c r="BK66" s="8">
        <v>16.0</v>
      </c>
      <c r="BL66" s="8">
        <v>8.0</v>
      </c>
      <c r="BM66" s="2" t="s">
        <v>1131</v>
      </c>
      <c r="BN66" s="2" t="s">
        <v>1132</v>
      </c>
      <c r="BO66" s="8">
        <v>74.0</v>
      </c>
      <c r="BP66" s="8">
        <v>453.0</v>
      </c>
      <c r="BQ66" s="8">
        <v>469.0</v>
      </c>
      <c r="BR66" s="8">
        <v>455.0</v>
      </c>
      <c r="BS66" s="8">
        <v>15.0</v>
      </c>
      <c r="BT66" s="8">
        <v>17.0</v>
      </c>
      <c r="BU66" s="10" t="b">
        <v>1</v>
      </c>
      <c r="BV66" s="10" t="b">
        <v>0</v>
      </c>
      <c r="BW66" s="10" t="b">
        <v>1</v>
      </c>
      <c r="BX66" s="2" t="s">
        <v>1133</v>
      </c>
      <c r="BY66" s="8">
        <v>151.0</v>
      </c>
      <c r="BZ66" s="2"/>
      <c r="CA66" s="2"/>
    </row>
    <row r="67">
      <c r="A67" s="2" t="s">
        <v>1135</v>
      </c>
      <c r="B67" s="2" t="s">
        <v>121</v>
      </c>
      <c r="C67" s="8">
        <v>0.0</v>
      </c>
      <c r="D67" s="2" t="s">
        <v>71</v>
      </c>
      <c r="E67" s="2" t="s">
        <v>122</v>
      </c>
      <c r="F67" s="10" t="b">
        <v>0</v>
      </c>
      <c r="G67" s="2" t="s">
        <v>198</v>
      </c>
      <c r="H67" s="2" t="s">
        <v>247</v>
      </c>
      <c r="I67" s="2" t="s">
        <v>1137</v>
      </c>
      <c r="J67" s="2"/>
      <c r="K67" s="2" t="s">
        <v>1139</v>
      </c>
      <c r="L67" s="2" t="s">
        <v>1141</v>
      </c>
      <c r="M67" s="2"/>
      <c r="N67" s="2" t="s">
        <v>1142</v>
      </c>
      <c r="O67" s="2" t="s">
        <v>1142</v>
      </c>
      <c r="P67" s="10" t="b">
        <v>0</v>
      </c>
      <c r="Q67" s="2"/>
      <c r="R67" s="2"/>
      <c r="S67" s="8">
        <v>183.0</v>
      </c>
      <c r="T67" s="8">
        <v>193.0</v>
      </c>
      <c r="U67" s="8">
        <v>2.34928553880891</v>
      </c>
      <c r="V67" s="8">
        <v>82.1526361149999</v>
      </c>
      <c r="W67" s="8">
        <v>0.0999618084877021</v>
      </c>
      <c r="X67" s="8">
        <v>1.77491199970245</v>
      </c>
      <c r="Y67" s="8">
        <v>9.88749010945848</v>
      </c>
      <c r="Z67" s="8">
        <v>0.03125</v>
      </c>
      <c r="AA67" s="8">
        <v>0.0999618084877021</v>
      </c>
      <c r="AB67" s="8">
        <v>0.28656549041718</v>
      </c>
      <c r="AC67" s="11">
        <v>5.40107339475071E-6</v>
      </c>
      <c r="AD67" s="8">
        <v>1.77491199970245</v>
      </c>
      <c r="AE67" s="8">
        <v>4.93020634166896E-4</v>
      </c>
      <c r="AF67" s="8">
        <v>0.00733359903097152</v>
      </c>
      <c r="AG67" s="8">
        <v>0.313429009914398</v>
      </c>
      <c r="AH67" s="8">
        <v>0.83722150325775</v>
      </c>
      <c r="AI67" s="8">
        <v>1.26408133506774</v>
      </c>
      <c r="AJ67" s="8">
        <v>9.88749010945848</v>
      </c>
      <c r="AK67" s="8">
        <v>4.2430029894223</v>
      </c>
      <c r="AL67" s="8">
        <v>0.03125</v>
      </c>
      <c r="AM67" s="8">
        <v>16.4914779663085</v>
      </c>
      <c r="AN67" s="8">
        <v>11.0014209747314</v>
      </c>
      <c r="AO67" s="8">
        <v>0.552840042114257</v>
      </c>
      <c r="AP67" s="8">
        <v>2.79318237304687</v>
      </c>
      <c r="AQ67" s="8">
        <v>8.19389343261718</v>
      </c>
      <c r="AR67" s="8">
        <v>17.0</v>
      </c>
      <c r="AS67" s="8">
        <v>5.0</v>
      </c>
      <c r="AT67" s="8">
        <v>1.0</v>
      </c>
      <c r="AU67" s="8">
        <v>0.0</v>
      </c>
      <c r="AV67" s="8">
        <v>0.0880829015544041</v>
      </c>
      <c r="AW67" s="8">
        <v>0.0259067357512953</v>
      </c>
      <c r="AX67" s="8">
        <v>0.00518134715025906</v>
      </c>
      <c r="AY67" s="8">
        <v>0.0</v>
      </c>
      <c r="AZ67" s="8">
        <v>3.0</v>
      </c>
      <c r="BA67" s="8">
        <v>5.0</v>
      </c>
      <c r="BB67" s="8">
        <v>8.0</v>
      </c>
      <c r="BC67" s="8">
        <v>13.0</v>
      </c>
      <c r="BD67" s="8">
        <v>0.0155440414507772</v>
      </c>
      <c r="BE67" s="8">
        <v>0.0259067357512953</v>
      </c>
      <c r="BF67" s="8">
        <v>0.0414507772020725</v>
      </c>
      <c r="BG67" s="8">
        <v>0.0673575129533678</v>
      </c>
      <c r="BH67" s="8">
        <v>3.0</v>
      </c>
      <c r="BI67" s="8">
        <v>46.0</v>
      </c>
      <c r="BJ67" s="2"/>
      <c r="BK67" s="8">
        <v>0.0</v>
      </c>
      <c r="BL67" s="8">
        <v>0.0</v>
      </c>
      <c r="BM67" s="2" t="s">
        <v>1147</v>
      </c>
      <c r="BN67" s="2" t="s">
        <v>1148</v>
      </c>
      <c r="BO67" s="8">
        <v>54.0</v>
      </c>
      <c r="BP67" s="8">
        <v>547.0</v>
      </c>
      <c r="BQ67" s="8">
        <v>491.0</v>
      </c>
      <c r="BR67" s="8">
        <v>491.0</v>
      </c>
      <c r="BS67" s="8">
        <v>14.0</v>
      </c>
      <c r="BT67" s="8">
        <v>14.0</v>
      </c>
      <c r="BU67" s="10" t="b">
        <v>1</v>
      </c>
      <c r="BV67" s="10" t="b">
        <v>1</v>
      </c>
      <c r="BW67" s="10" t="b">
        <v>0</v>
      </c>
      <c r="BX67" s="2" t="s">
        <v>1149</v>
      </c>
      <c r="BY67" s="8">
        <v>193.0</v>
      </c>
      <c r="BZ67" s="2"/>
      <c r="CA67" s="2"/>
    </row>
    <row r="68">
      <c r="A68" s="2" t="s">
        <v>1150</v>
      </c>
      <c r="B68" s="2" t="s">
        <v>121</v>
      </c>
      <c r="C68" s="8">
        <v>0.0</v>
      </c>
      <c r="D68" s="2" t="s">
        <v>71</v>
      </c>
      <c r="E68" s="2" t="s">
        <v>122</v>
      </c>
      <c r="F68" s="10" t="b">
        <v>1</v>
      </c>
      <c r="G68" s="2"/>
      <c r="H68" s="2"/>
      <c r="I68" s="2"/>
      <c r="J68" s="2"/>
      <c r="K68" s="2" t="s">
        <v>1151</v>
      </c>
      <c r="L68" s="2" t="s">
        <v>1152</v>
      </c>
      <c r="M68" s="2"/>
      <c r="N68" s="2" t="s">
        <v>1154</v>
      </c>
      <c r="O68" s="2" t="s">
        <v>1155</v>
      </c>
      <c r="P68" s="10" t="b">
        <v>0</v>
      </c>
      <c r="Q68" s="2"/>
      <c r="R68" s="2"/>
      <c r="S68" s="8">
        <v>133.0</v>
      </c>
      <c r="T68" s="8">
        <v>88.0</v>
      </c>
      <c r="U68" s="8">
        <v>2.35143541939601</v>
      </c>
      <c r="V68" s="8">
        <v>37.4239493349996</v>
      </c>
      <c r="W68" s="8">
        <v>0.125640910397547</v>
      </c>
      <c r="X68" s="8">
        <v>1.51721835136413</v>
      </c>
      <c r="Y68" s="8">
        <v>8.38228031721982</v>
      </c>
      <c r="Z68" s="8">
        <v>0.177556991577148</v>
      </c>
      <c r="AA68" s="8">
        <v>0.125640910397547</v>
      </c>
      <c r="AB68" s="8">
        <v>0.29534250660088</v>
      </c>
      <c r="AC68" s="11">
        <v>4.3966606426693E-6</v>
      </c>
      <c r="AD68" s="8">
        <v>1.51721835136413</v>
      </c>
      <c r="AE68" s="8">
        <v>0.00195130088832229</v>
      </c>
      <c r="AF68" s="8">
        <v>0.0690092965960502</v>
      </c>
      <c r="AG68" s="8">
        <v>0.36803311407566</v>
      </c>
      <c r="AH68" s="8">
        <v>0.784866699576377</v>
      </c>
      <c r="AI68" s="8">
        <v>1.48966225862503</v>
      </c>
      <c r="AJ68" s="8">
        <v>8.38228031721982</v>
      </c>
      <c r="AK68" s="8">
        <v>4.18395755427005</v>
      </c>
      <c r="AL68" s="8">
        <v>0.177556991577148</v>
      </c>
      <c r="AM68" s="8">
        <v>16.359375</v>
      </c>
      <c r="AN68" s="8">
        <v>9.37571096420288</v>
      </c>
      <c r="AO68" s="8">
        <v>1.33203125</v>
      </c>
      <c r="AP68" s="8">
        <v>2.378977394104</v>
      </c>
      <c r="AQ68" s="8">
        <v>4.82421875</v>
      </c>
      <c r="AR68" s="8">
        <v>8.0</v>
      </c>
      <c r="AS68" s="8">
        <v>2.0</v>
      </c>
      <c r="AT68" s="8">
        <v>1.0</v>
      </c>
      <c r="AU68" s="8">
        <v>0.0</v>
      </c>
      <c r="AV68" s="8">
        <v>0.0909090909090909</v>
      </c>
      <c r="AW68" s="8">
        <v>0.0227272727272727</v>
      </c>
      <c r="AX68" s="8">
        <v>0.0113636363636363</v>
      </c>
      <c r="AY68" s="8">
        <v>0.0</v>
      </c>
      <c r="AZ68" s="8">
        <v>0.0</v>
      </c>
      <c r="BA68" s="8">
        <v>1.0</v>
      </c>
      <c r="BB68" s="8">
        <v>3.0</v>
      </c>
      <c r="BC68" s="8">
        <v>3.0</v>
      </c>
      <c r="BD68" s="8">
        <v>0.0</v>
      </c>
      <c r="BE68" s="8">
        <v>0.0113636363636363</v>
      </c>
      <c r="BF68" s="8">
        <v>0.034090909090909</v>
      </c>
      <c r="BG68" s="8">
        <v>0.034090909090909</v>
      </c>
      <c r="BH68" s="8">
        <v>6.0</v>
      </c>
      <c r="BI68" s="8">
        <v>6.0</v>
      </c>
      <c r="BJ68" s="2"/>
      <c r="BK68" s="8">
        <v>85.0</v>
      </c>
      <c r="BL68" s="8">
        <v>6.0</v>
      </c>
      <c r="BM68" s="2" t="s">
        <v>1160</v>
      </c>
      <c r="BN68" s="2" t="s">
        <v>1161</v>
      </c>
      <c r="BO68" s="8">
        <v>135.0</v>
      </c>
      <c r="BP68" s="8">
        <v>514.0</v>
      </c>
      <c r="BQ68" s="8">
        <v>359.0</v>
      </c>
      <c r="BR68" s="8">
        <v>345.0</v>
      </c>
      <c r="BS68" s="8">
        <v>16.0</v>
      </c>
      <c r="BT68" s="8">
        <v>18.0</v>
      </c>
      <c r="BU68" s="10" t="b">
        <v>1</v>
      </c>
      <c r="BV68" s="10" t="b">
        <v>0</v>
      </c>
      <c r="BW68" s="10" t="b">
        <v>1</v>
      </c>
      <c r="BX68" s="2" t="s">
        <v>74</v>
      </c>
      <c r="BY68" s="8">
        <v>88.0</v>
      </c>
      <c r="BZ68" s="2"/>
      <c r="CA68" s="2"/>
    </row>
    <row r="69">
      <c r="A69" s="2" t="s">
        <v>1163</v>
      </c>
      <c r="B69" s="2" t="s">
        <v>121</v>
      </c>
      <c r="C69" s="8">
        <v>0.0</v>
      </c>
      <c r="D69" s="2" t="s">
        <v>71</v>
      </c>
      <c r="E69" s="2" t="s">
        <v>122</v>
      </c>
      <c r="F69" s="10" t="b">
        <v>1</v>
      </c>
      <c r="G69" s="2"/>
      <c r="H69" s="2"/>
      <c r="I69" s="2"/>
      <c r="J69" s="2"/>
      <c r="K69" s="2" t="s">
        <v>1165</v>
      </c>
      <c r="L69" s="2" t="s">
        <v>1167</v>
      </c>
      <c r="M69" s="2"/>
      <c r="N69" s="2" t="s">
        <v>1169</v>
      </c>
      <c r="O69" s="2" t="s">
        <v>1170</v>
      </c>
      <c r="P69" s="10" t="b">
        <v>0</v>
      </c>
      <c r="Q69" s="2"/>
      <c r="R69" s="2"/>
      <c r="S69" s="8">
        <v>102.0</v>
      </c>
      <c r="T69" s="8">
        <v>77.0</v>
      </c>
      <c r="U69" s="8">
        <v>2.37323228472964</v>
      </c>
      <c r="V69" s="8">
        <v>32.4452016330005</v>
      </c>
      <c r="W69" s="8">
        <v>0.296384236297771</v>
      </c>
      <c r="X69" s="8">
        <v>2.91960215568542</v>
      </c>
      <c r="Y69" s="8">
        <v>5.55693832001128</v>
      </c>
      <c r="Z69" s="8">
        <v>0.046875</v>
      </c>
      <c r="AA69" s="8">
        <v>0.296384236297771</v>
      </c>
      <c r="AB69" s="8">
        <v>0.505121016148318</v>
      </c>
      <c r="AC69" s="8">
        <v>1.05442362837493E-4</v>
      </c>
      <c r="AD69" s="8">
        <v>2.91960215568542</v>
      </c>
      <c r="AE69" s="8">
        <v>0.042088758200407</v>
      </c>
      <c r="AF69" s="8">
        <v>0.390366286039352</v>
      </c>
      <c r="AG69" s="8">
        <v>0.897469925880432</v>
      </c>
      <c r="AH69" s="8">
        <v>1.207151222229</v>
      </c>
      <c r="AI69" s="8">
        <v>1.97684210777282</v>
      </c>
      <c r="AJ69" s="8">
        <v>5.55693832001128</v>
      </c>
      <c r="AK69" s="8">
        <v>3.50942117741321</v>
      </c>
      <c r="AL69" s="8">
        <v>0.046875</v>
      </c>
      <c r="AM69" s="8">
        <v>12.2230110168457</v>
      </c>
      <c r="AN69" s="8">
        <v>5.03267097473144</v>
      </c>
      <c r="AO69" s="8">
        <v>0.244318389892578</v>
      </c>
      <c r="AP69" s="8">
        <v>0.71335220336914</v>
      </c>
      <c r="AQ69" s="8">
        <v>3.07102394104003</v>
      </c>
      <c r="AR69" s="8">
        <v>18.0</v>
      </c>
      <c r="AS69" s="8">
        <v>6.0</v>
      </c>
      <c r="AT69" s="8">
        <v>3.0</v>
      </c>
      <c r="AU69" s="8">
        <v>1.0</v>
      </c>
      <c r="AV69" s="8">
        <v>0.233766233766233</v>
      </c>
      <c r="AW69" s="8">
        <v>0.0779220779220779</v>
      </c>
      <c r="AX69" s="8">
        <v>0.0389610389610389</v>
      </c>
      <c r="AY69" s="8">
        <v>0.0129870129870129</v>
      </c>
      <c r="AZ69" s="8">
        <v>1.0</v>
      </c>
      <c r="BA69" s="8">
        <v>4.0</v>
      </c>
      <c r="BB69" s="8">
        <v>6.0</v>
      </c>
      <c r="BC69" s="8">
        <v>11.0</v>
      </c>
      <c r="BD69" s="8">
        <v>0.0129870129870129</v>
      </c>
      <c r="BE69" s="8">
        <v>0.0519480519480519</v>
      </c>
      <c r="BF69" s="8">
        <v>0.0779220779220779</v>
      </c>
      <c r="BG69" s="8">
        <v>0.142857142857142</v>
      </c>
      <c r="BH69" s="8">
        <v>5.0</v>
      </c>
      <c r="BI69" s="8">
        <v>5.0</v>
      </c>
      <c r="BJ69" s="8">
        <v>13.0</v>
      </c>
      <c r="BK69" s="8">
        <v>6.0</v>
      </c>
      <c r="BL69" s="8">
        <v>6.0</v>
      </c>
      <c r="BM69" s="2" t="s">
        <v>1174</v>
      </c>
      <c r="BN69" s="2" t="s">
        <v>1176</v>
      </c>
      <c r="BO69" s="8">
        <v>80.0</v>
      </c>
      <c r="BP69" s="8">
        <v>415.0</v>
      </c>
      <c r="BQ69" s="8">
        <v>186.0</v>
      </c>
      <c r="BR69" s="8">
        <v>172.0</v>
      </c>
      <c r="BS69" s="8">
        <v>8.0</v>
      </c>
      <c r="BT69" s="8">
        <v>10.0</v>
      </c>
      <c r="BU69" s="10" t="b">
        <v>1</v>
      </c>
      <c r="BV69" s="10" t="b">
        <v>0</v>
      </c>
      <c r="BW69" s="10" t="b">
        <v>1</v>
      </c>
      <c r="BX69" s="2" t="s">
        <v>74</v>
      </c>
      <c r="BY69" s="8">
        <v>77.0</v>
      </c>
      <c r="BZ69" s="2"/>
      <c r="CA69" s="2"/>
    </row>
    <row r="70">
      <c r="A70" s="2" t="s">
        <v>1178</v>
      </c>
      <c r="B70" s="2" t="s">
        <v>121</v>
      </c>
      <c r="C70" s="8">
        <v>0.0</v>
      </c>
      <c r="D70" s="2" t="s">
        <v>71</v>
      </c>
      <c r="E70" s="2" t="s">
        <v>122</v>
      </c>
      <c r="F70" s="10" t="b">
        <v>1</v>
      </c>
      <c r="G70" s="2"/>
      <c r="H70" s="2"/>
      <c r="I70" s="2"/>
      <c r="J70" s="2"/>
      <c r="K70" s="2" t="s">
        <v>1179</v>
      </c>
      <c r="L70" s="2" t="s">
        <v>1180</v>
      </c>
      <c r="M70" s="2"/>
      <c r="N70" s="2" t="s">
        <v>1181</v>
      </c>
      <c r="O70" s="2" t="s">
        <v>1181</v>
      </c>
      <c r="P70" s="10" t="b">
        <v>0</v>
      </c>
      <c r="Q70" s="2"/>
      <c r="R70" s="2"/>
      <c r="S70" s="8">
        <v>90.0</v>
      </c>
      <c r="T70" s="8">
        <v>63.0</v>
      </c>
      <c r="U70" s="8">
        <v>2.36483422410544</v>
      </c>
      <c r="V70" s="8">
        <v>26.6403451700007</v>
      </c>
      <c r="W70" s="8">
        <v>0.0634026801534356</v>
      </c>
      <c r="X70" s="8">
        <v>0.835242092609405</v>
      </c>
      <c r="Y70" s="8">
        <v>10.1594859531947</v>
      </c>
      <c r="Z70" s="8">
        <v>0.0752830505371093</v>
      </c>
      <c r="AA70" s="8">
        <v>0.0634026801534356</v>
      </c>
      <c r="AB70" s="8">
        <v>0.179647261851106</v>
      </c>
      <c r="AC70" s="11">
        <v>2.18968261833651E-6</v>
      </c>
      <c r="AD70" s="8">
        <v>0.835242092609405</v>
      </c>
      <c r="AE70" s="8">
        <v>3.76730633433908E-4</v>
      </c>
      <c r="AF70" s="8">
        <v>0.00323404651135206</v>
      </c>
      <c r="AG70" s="8">
        <v>0.185612255334854</v>
      </c>
      <c r="AH70" s="8">
        <v>0.424162390828132</v>
      </c>
      <c r="AI70" s="8">
        <v>0.804119321107864</v>
      </c>
      <c r="AJ70" s="8">
        <v>10.1594859531947</v>
      </c>
      <c r="AK70" s="8">
        <v>4.00159619781741</v>
      </c>
      <c r="AL70" s="8">
        <v>0.0752830505371093</v>
      </c>
      <c r="AM70" s="8">
        <v>17.5284099578857</v>
      </c>
      <c r="AN70" s="8">
        <v>11.3877849578857</v>
      </c>
      <c r="AO70" s="8">
        <v>1.82727260589599</v>
      </c>
      <c r="AP70" s="8">
        <v>3.29090881347656</v>
      </c>
      <c r="AQ70" s="8">
        <v>8.64595222473144</v>
      </c>
      <c r="AR70" s="8">
        <v>3.0</v>
      </c>
      <c r="AS70" s="8">
        <v>0.0</v>
      </c>
      <c r="AT70" s="8">
        <v>0.0</v>
      </c>
      <c r="AU70" s="8">
        <v>0.0</v>
      </c>
      <c r="AV70" s="8">
        <v>0.0476190476190476</v>
      </c>
      <c r="AW70" s="8">
        <v>0.0</v>
      </c>
      <c r="AX70" s="8">
        <v>0.0</v>
      </c>
      <c r="AY70" s="8">
        <v>0.0</v>
      </c>
      <c r="AZ70" s="8">
        <v>1.0</v>
      </c>
      <c r="BA70" s="8">
        <v>1.0</v>
      </c>
      <c r="BB70" s="8">
        <v>2.0</v>
      </c>
      <c r="BC70" s="8">
        <v>3.0</v>
      </c>
      <c r="BD70" s="8">
        <v>0.0158730158730158</v>
      </c>
      <c r="BE70" s="8">
        <v>0.0158730158730158</v>
      </c>
      <c r="BF70" s="8">
        <v>0.0317460317460317</v>
      </c>
      <c r="BG70" s="8">
        <v>0.0476190476190476</v>
      </c>
      <c r="BH70" s="2"/>
      <c r="BI70" s="2"/>
      <c r="BJ70" s="2"/>
      <c r="BK70" s="8">
        <v>12.0</v>
      </c>
      <c r="BL70" s="8">
        <v>0.0</v>
      </c>
      <c r="BM70" s="2" t="s">
        <v>1187</v>
      </c>
      <c r="BN70" s="2" t="s">
        <v>1188</v>
      </c>
      <c r="BO70" s="8">
        <v>42.0</v>
      </c>
      <c r="BP70" s="8">
        <v>398.0</v>
      </c>
      <c r="BQ70" s="8">
        <v>154.0</v>
      </c>
      <c r="BR70" s="8">
        <v>154.0</v>
      </c>
      <c r="BS70" s="8">
        <v>7.0</v>
      </c>
      <c r="BT70" s="8">
        <v>7.0</v>
      </c>
      <c r="BU70" s="10" t="b">
        <v>1</v>
      </c>
      <c r="BV70" s="10" t="b">
        <v>0</v>
      </c>
      <c r="BW70" s="10" t="b">
        <v>0</v>
      </c>
      <c r="BX70" s="2" t="s">
        <v>74</v>
      </c>
      <c r="BY70" s="8">
        <v>63.0</v>
      </c>
      <c r="BZ70" s="2"/>
      <c r="CA70" s="2"/>
    </row>
    <row r="71">
      <c r="A71" s="2" t="s">
        <v>1190</v>
      </c>
      <c r="B71" s="2" t="s">
        <v>121</v>
      </c>
      <c r="C71" s="8">
        <v>0.0</v>
      </c>
      <c r="D71" s="2" t="s">
        <v>71</v>
      </c>
      <c r="E71" s="2" t="s">
        <v>122</v>
      </c>
      <c r="F71" s="10" t="b">
        <v>1</v>
      </c>
      <c r="G71" s="2"/>
      <c r="H71" s="2"/>
      <c r="I71" s="2"/>
      <c r="J71" s="2"/>
      <c r="K71" s="2" t="s">
        <v>1191</v>
      </c>
      <c r="L71" s="2" t="s">
        <v>1192</v>
      </c>
      <c r="M71" s="2"/>
      <c r="N71" s="2" t="s">
        <v>1193</v>
      </c>
      <c r="O71" s="2" t="s">
        <v>1194</v>
      </c>
      <c r="P71" s="10" t="b">
        <v>0</v>
      </c>
      <c r="Q71" s="2"/>
      <c r="R71" s="2"/>
      <c r="S71" s="8">
        <v>113.0</v>
      </c>
      <c r="T71" s="8">
        <v>57.0</v>
      </c>
      <c r="U71" s="8">
        <v>2.35349319862263</v>
      </c>
      <c r="V71" s="8">
        <v>24.2193179200003</v>
      </c>
      <c r="W71" s="8">
        <v>0.247397083756926</v>
      </c>
      <c r="X71" s="8">
        <v>1.68361556529998</v>
      </c>
      <c r="Y71" s="8">
        <v>6.32454917305394</v>
      </c>
      <c r="Z71" s="8">
        <v>0.15625</v>
      </c>
      <c r="AA71" s="8">
        <v>0.247397083756926</v>
      </c>
      <c r="AB71" s="8">
        <v>0.398459142213324</v>
      </c>
      <c r="AC71" s="11">
        <v>6.27140525466529E-6</v>
      </c>
      <c r="AD71" s="8">
        <v>1.68361556529998</v>
      </c>
      <c r="AE71" s="8">
        <v>0.0292569976300001</v>
      </c>
      <c r="AF71" s="8">
        <v>0.286905169486999</v>
      </c>
      <c r="AG71" s="8">
        <v>0.872188222408294</v>
      </c>
      <c r="AH71" s="8">
        <v>1.05070190429687</v>
      </c>
      <c r="AI71" s="8">
        <v>1.35838655948638</v>
      </c>
      <c r="AJ71" s="8">
        <v>6.32454917305394</v>
      </c>
      <c r="AK71" s="8">
        <v>4.15928735863565</v>
      </c>
      <c r="AL71" s="8">
        <v>0.15625</v>
      </c>
      <c r="AM71" s="8">
        <v>15.78125</v>
      </c>
      <c r="AN71" s="8">
        <v>6.28125</v>
      </c>
      <c r="AO71" s="8">
        <v>0.47073860168457</v>
      </c>
      <c r="AP71" s="8">
        <v>0.581818389892578</v>
      </c>
      <c r="AQ71" s="8">
        <v>2.77840995788574</v>
      </c>
      <c r="AR71" s="8">
        <v>13.0</v>
      </c>
      <c r="AS71" s="8">
        <v>4.0</v>
      </c>
      <c r="AT71" s="8">
        <v>1.0</v>
      </c>
      <c r="AU71" s="8">
        <v>0.0</v>
      </c>
      <c r="AV71" s="8">
        <v>0.228070175438596</v>
      </c>
      <c r="AW71" s="8">
        <v>0.0701754385964912</v>
      </c>
      <c r="AX71" s="8">
        <v>0.0175438596491228</v>
      </c>
      <c r="AY71" s="8">
        <v>0.0</v>
      </c>
      <c r="AZ71" s="8">
        <v>0.0</v>
      </c>
      <c r="BA71" s="8">
        <v>1.0</v>
      </c>
      <c r="BB71" s="8">
        <v>4.0</v>
      </c>
      <c r="BC71" s="8">
        <v>8.0</v>
      </c>
      <c r="BD71" s="8">
        <v>0.0</v>
      </c>
      <c r="BE71" s="8">
        <v>0.0175438596491228</v>
      </c>
      <c r="BF71" s="8">
        <v>0.0701754385964912</v>
      </c>
      <c r="BG71" s="8">
        <v>0.140350877192982</v>
      </c>
      <c r="BH71" s="8">
        <v>9.0</v>
      </c>
      <c r="BI71" s="8">
        <v>23.0</v>
      </c>
      <c r="BJ71" s="2"/>
      <c r="BK71" s="8">
        <v>9.0</v>
      </c>
      <c r="BL71" s="8">
        <v>0.0</v>
      </c>
      <c r="BM71" s="2" t="s">
        <v>1199</v>
      </c>
      <c r="BN71" s="2" t="s">
        <v>1200</v>
      </c>
      <c r="BO71" s="8">
        <v>92.0</v>
      </c>
      <c r="BP71" s="8">
        <v>563.0</v>
      </c>
      <c r="BQ71" s="8">
        <v>222.0</v>
      </c>
      <c r="BR71" s="8">
        <v>208.0</v>
      </c>
      <c r="BS71" s="8">
        <v>5.0</v>
      </c>
      <c r="BT71" s="8">
        <v>7.0</v>
      </c>
      <c r="BU71" s="10" t="b">
        <v>1</v>
      </c>
      <c r="BV71" s="10" t="b">
        <v>0</v>
      </c>
      <c r="BW71" s="10" t="b">
        <v>1</v>
      </c>
      <c r="BX71" s="2" t="s">
        <v>74</v>
      </c>
      <c r="BY71" s="8">
        <v>57.0</v>
      </c>
      <c r="BZ71" s="2"/>
      <c r="CA71" s="2"/>
    </row>
    <row r="72">
      <c r="A72" s="2" t="s">
        <v>1203</v>
      </c>
      <c r="B72" s="2" t="s">
        <v>121</v>
      </c>
      <c r="C72" s="8">
        <v>0.0</v>
      </c>
      <c r="D72" s="2" t="s">
        <v>71</v>
      </c>
      <c r="E72" s="2" t="s">
        <v>122</v>
      </c>
      <c r="F72" s="10" t="b">
        <v>1</v>
      </c>
      <c r="G72" s="2"/>
      <c r="H72" s="2"/>
      <c r="I72" s="2"/>
      <c r="J72" s="2"/>
      <c r="K72" s="2" t="s">
        <v>1207</v>
      </c>
      <c r="L72" s="2" t="s">
        <v>1208</v>
      </c>
      <c r="M72" s="2"/>
      <c r="N72" s="2" t="s">
        <v>1209</v>
      </c>
      <c r="O72" s="2" t="s">
        <v>1210</v>
      </c>
      <c r="P72" s="10" t="b">
        <v>0</v>
      </c>
      <c r="Q72" s="2"/>
      <c r="R72" s="2"/>
      <c r="S72" s="8">
        <v>188.0</v>
      </c>
      <c r="T72" s="8">
        <v>188.0</v>
      </c>
      <c r="U72" s="8">
        <v>2.34435712872808</v>
      </c>
      <c r="V72" s="8">
        <v>80.1925601250004</v>
      </c>
      <c r="W72" s="8">
        <v>0.105664401479814</v>
      </c>
      <c r="X72" s="8">
        <v>2.15036725997924</v>
      </c>
      <c r="Y72" s="8">
        <v>9.95784767130588</v>
      </c>
      <c r="Z72" s="8">
        <v>0.171875</v>
      </c>
      <c r="AA72" s="8">
        <v>0.105664401479814</v>
      </c>
      <c r="AB72" s="8">
        <v>0.298412479434459</v>
      </c>
      <c r="AC72" s="11">
        <v>6.04621163802221E-7</v>
      </c>
      <c r="AD72" s="8">
        <v>2.15036725997924</v>
      </c>
      <c r="AE72" s="8">
        <v>3.46149288816377E-4</v>
      </c>
      <c r="AF72" s="8">
        <v>0.00812327559106052</v>
      </c>
      <c r="AG72" s="8">
        <v>0.468875008821487</v>
      </c>
      <c r="AH72" s="8">
        <v>0.691687399148941</v>
      </c>
      <c r="AI72" s="8">
        <v>1.56830477237701</v>
      </c>
      <c r="AJ72" s="8">
        <v>9.95784767130588</v>
      </c>
      <c r="AK72" s="8">
        <v>4.43861249618666</v>
      </c>
      <c r="AL72" s="8">
        <v>0.171875</v>
      </c>
      <c r="AM72" s="8">
        <v>18.4375</v>
      </c>
      <c r="AN72" s="8">
        <v>11.2482252120971</v>
      </c>
      <c r="AO72" s="8">
        <v>0.921377277374267</v>
      </c>
      <c r="AP72" s="8">
        <v>2.28366527557373</v>
      </c>
      <c r="AQ72" s="8">
        <v>7.33522701263427</v>
      </c>
      <c r="AR72" s="8">
        <v>18.0</v>
      </c>
      <c r="AS72" s="8">
        <v>4.0</v>
      </c>
      <c r="AT72" s="8">
        <v>3.0</v>
      </c>
      <c r="AU72" s="8">
        <v>1.0</v>
      </c>
      <c r="AV72" s="8">
        <v>0.0957446808510638</v>
      </c>
      <c r="AW72" s="8">
        <v>0.0212765957446808</v>
      </c>
      <c r="AX72" s="8">
        <v>0.0159574468085106</v>
      </c>
      <c r="AY72" s="8">
        <v>0.00531914893617021</v>
      </c>
      <c r="AZ72" s="8">
        <v>0.0</v>
      </c>
      <c r="BA72" s="8">
        <v>1.0</v>
      </c>
      <c r="BB72" s="8">
        <v>4.0</v>
      </c>
      <c r="BC72" s="8">
        <v>10.0</v>
      </c>
      <c r="BD72" s="8">
        <v>0.0</v>
      </c>
      <c r="BE72" s="8">
        <v>0.00531914893617021</v>
      </c>
      <c r="BF72" s="8">
        <v>0.0212765957446808</v>
      </c>
      <c r="BG72" s="8">
        <v>0.0531914893617021</v>
      </c>
      <c r="BH72" s="8">
        <v>7.0</v>
      </c>
      <c r="BI72" s="8">
        <v>7.0</v>
      </c>
      <c r="BJ72" s="8">
        <v>7.0</v>
      </c>
      <c r="BK72" s="8">
        <v>62.0</v>
      </c>
      <c r="BL72" s="8">
        <v>31.0</v>
      </c>
      <c r="BM72" s="2" t="s">
        <v>1215</v>
      </c>
      <c r="BN72" s="2" t="s">
        <v>1216</v>
      </c>
      <c r="BO72" s="8">
        <v>67.0</v>
      </c>
      <c r="BP72" s="8">
        <v>561.0</v>
      </c>
      <c r="BQ72" s="8">
        <v>758.0</v>
      </c>
      <c r="BR72" s="8">
        <v>744.0</v>
      </c>
      <c r="BS72" s="8">
        <v>27.0</v>
      </c>
      <c r="BT72" s="8">
        <v>29.0</v>
      </c>
      <c r="BU72" s="10" t="b">
        <v>1</v>
      </c>
      <c r="BV72" s="10" t="b">
        <v>0</v>
      </c>
      <c r="BW72" s="10" t="b">
        <v>1</v>
      </c>
      <c r="BX72" s="2" t="s">
        <v>74</v>
      </c>
      <c r="BY72" s="8">
        <v>188.0</v>
      </c>
      <c r="BZ72" s="2"/>
      <c r="CA72" s="2"/>
    </row>
    <row r="73">
      <c r="A73" s="2" t="s">
        <v>1217</v>
      </c>
      <c r="B73" s="2" t="s">
        <v>121</v>
      </c>
      <c r="C73" s="8">
        <v>0.0</v>
      </c>
      <c r="D73" s="2" t="s">
        <v>71</v>
      </c>
      <c r="E73" s="2" t="s">
        <v>122</v>
      </c>
      <c r="F73" s="10" t="b">
        <v>1</v>
      </c>
      <c r="G73" s="2"/>
      <c r="H73" s="2"/>
      <c r="I73" s="2"/>
      <c r="J73" s="2"/>
      <c r="K73" s="2" t="s">
        <v>1219</v>
      </c>
      <c r="L73" s="2" t="s">
        <v>1220</v>
      </c>
      <c r="M73" s="2"/>
      <c r="N73" s="2" t="s">
        <v>1222</v>
      </c>
      <c r="O73" s="2" t="s">
        <v>1225</v>
      </c>
      <c r="P73" s="10" t="b">
        <v>0</v>
      </c>
      <c r="Q73" s="2"/>
      <c r="R73" s="2"/>
      <c r="S73" s="8">
        <v>199.0</v>
      </c>
      <c r="T73" s="8">
        <v>253.0</v>
      </c>
      <c r="U73" s="8">
        <v>2.33591482179087</v>
      </c>
      <c r="V73" s="8">
        <v>108.308743811999</v>
      </c>
      <c r="W73" s="8">
        <v>0.101897246464484</v>
      </c>
      <c r="X73" s="8">
        <v>2.19369459152221</v>
      </c>
      <c r="Y73" s="8">
        <v>10.1533589645807</v>
      </c>
      <c r="Z73" s="8">
        <v>0.0639190673828125</v>
      </c>
      <c r="AA73" s="8">
        <v>0.101897246464484</v>
      </c>
      <c r="AB73" s="8">
        <v>0.307818487766458</v>
      </c>
      <c r="AC73" s="11">
        <v>1.69695329077512E-6</v>
      </c>
      <c r="AD73" s="8">
        <v>2.19369459152221</v>
      </c>
      <c r="AE73" s="8">
        <v>2.01630726223811E-4</v>
      </c>
      <c r="AF73" s="8">
        <v>0.00727843074128031</v>
      </c>
      <c r="AG73" s="8">
        <v>0.31759557723999</v>
      </c>
      <c r="AH73" s="8">
        <v>0.696080720424651</v>
      </c>
      <c r="AI73" s="8">
        <v>1.58279019355773</v>
      </c>
      <c r="AJ73" s="8">
        <v>10.1533589645807</v>
      </c>
      <c r="AK73" s="8">
        <v>4.31781941787122</v>
      </c>
      <c r="AL73" s="8">
        <v>0.0639190673828125</v>
      </c>
      <c r="AM73" s="8">
        <v>17.34375</v>
      </c>
      <c r="AN73" s="8">
        <v>11.8607959747314</v>
      </c>
      <c r="AO73" s="8">
        <v>0.853125</v>
      </c>
      <c r="AP73" s="8">
        <v>3.08693084716796</v>
      </c>
      <c r="AQ73" s="8">
        <v>7.59090995788574</v>
      </c>
      <c r="AR73" s="8">
        <v>21.0</v>
      </c>
      <c r="AS73" s="8">
        <v>7.0</v>
      </c>
      <c r="AT73" s="8">
        <v>3.0</v>
      </c>
      <c r="AU73" s="8">
        <v>1.0</v>
      </c>
      <c r="AV73" s="8">
        <v>0.0830039525691699</v>
      </c>
      <c r="AW73" s="8">
        <v>0.0276679841897233</v>
      </c>
      <c r="AX73" s="8">
        <v>0.0118577075098814</v>
      </c>
      <c r="AY73" s="8">
        <v>0.00395256916996047</v>
      </c>
      <c r="AZ73" s="8">
        <v>1.0</v>
      </c>
      <c r="BA73" s="8">
        <v>2.0</v>
      </c>
      <c r="BB73" s="8">
        <v>8.0</v>
      </c>
      <c r="BC73" s="8">
        <v>15.0</v>
      </c>
      <c r="BD73" s="8">
        <v>0.00395256916996047</v>
      </c>
      <c r="BE73" s="8">
        <v>0.00790513833992094</v>
      </c>
      <c r="BF73" s="8">
        <v>0.0316205533596837</v>
      </c>
      <c r="BG73" s="8">
        <v>0.0592885375494071</v>
      </c>
      <c r="BH73" s="8">
        <v>7.0</v>
      </c>
      <c r="BI73" s="8">
        <v>10.0</v>
      </c>
      <c r="BJ73" s="8">
        <v>10.0</v>
      </c>
      <c r="BK73" s="8">
        <v>101.0</v>
      </c>
      <c r="BL73" s="8">
        <v>3.0</v>
      </c>
      <c r="BM73" s="2" t="s">
        <v>1230</v>
      </c>
      <c r="BN73" s="2" t="s">
        <v>1231</v>
      </c>
      <c r="BO73" s="8">
        <v>73.0</v>
      </c>
      <c r="BP73" s="8">
        <v>543.0</v>
      </c>
      <c r="BQ73" s="8">
        <v>656.0</v>
      </c>
      <c r="BR73" s="8">
        <v>642.0</v>
      </c>
      <c r="BS73" s="8">
        <v>20.0</v>
      </c>
      <c r="BT73" s="8">
        <v>22.0</v>
      </c>
      <c r="BU73" s="10" t="b">
        <v>1</v>
      </c>
      <c r="BV73" s="10" t="b">
        <v>0</v>
      </c>
      <c r="BW73" s="10" t="b">
        <v>1</v>
      </c>
      <c r="BX73" s="2" t="s">
        <v>74</v>
      </c>
      <c r="BY73" s="8">
        <v>253.0</v>
      </c>
      <c r="BZ73" s="2"/>
      <c r="CA73" s="2"/>
    </row>
    <row r="74">
      <c r="A74" s="2" t="s">
        <v>1232</v>
      </c>
      <c r="B74" s="2" t="s">
        <v>121</v>
      </c>
      <c r="C74" s="8">
        <v>0.0</v>
      </c>
      <c r="D74" s="2" t="s">
        <v>71</v>
      </c>
      <c r="E74" s="2" t="s">
        <v>122</v>
      </c>
      <c r="F74" s="10" t="b">
        <v>1</v>
      </c>
      <c r="G74" s="2"/>
      <c r="H74" s="2"/>
      <c r="I74" s="2"/>
      <c r="J74" s="2"/>
      <c r="K74" s="2" t="s">
        <v>1233</v>
      </c>
      <c r="L74" s="2" t="s">
        <v>1234</v>
      </c>
      <c r="M74" s="2"/>
      <c r="N74" s="2" t="s">
        <v>1235</v>
      </c>
      <c r="O74" s="2" t="s">
        <v>1237</v>
      </c>
      <c r="P74" s="10" t="b">
        <v>0</v>
      </c>
      <c r="Q74" s="2"/>
      <c r="R74" s="2"/>
      <c r="S74" s="8">
        <v>107.0</v>
      </c>
      <c r="T74" s="8">
        <v>161.0</v>
      </c>
      <c r="U74" s="8">
        <v>2.35272931643633</v>
      </c>
      <c r="V74" s="8">
        <v>68.4311615770002</v>
      </c>
      <c r="W74" s="8">
        <v>0.11205505266419</v>
      </c>
      <c r="X74" s="8">
        <v>1.92637157440185</v>
      </c>
      <c r="Y74" s="8">
        <v>9.01150957545878</v>
      </c>
      <c r="Z74" s="8">
        <v>0.109375</v>
      </c>
      <c r="AA74" s="8">
        <v>0.11205505266419</v>
      </c>
      <c r="AB74" s="8">
        <v>0.305291009747734</v>
      </c>
      <c r="AC74" s="11">
        <v>4.21137065131915E-6</v>
      </c>
      <c r="AD74" s="8">
        <v>1.92637157440185</v>
      </c>
      <c r="AE74" s="8">
        <v>0.00138238468207418</v>
      </c>
      <c r="AF74" s="8">
        <v>0.0215840507298707</v>
      </c>
      <c r="AG74" s="8">
        <v>0.380766808986663</v>
      </c>
      <c r="AH74" s="8">
        <v>0.726677060127258</v>
      </c>
      <c r="AI74" s="8">
        <v>1.66123700141906</v>
      </c>
      <c r="AJ74" s="8">
        <v>9.01150957545878</v>
      </c>
      <c r="AK74" s="8">
        <v>4.19530339123032</v>
      </c>
      <c r="AL74" s="8">
        <v>0.109375</v>
      </c>
      <c r="AM74" s="8">
        <v>16.5625</v>
      </c>
      <c r="AN74" s="8">
        <v>9.90198898315429</v>
      </c>
      <c r="AO74" s="8">
        <v>0.971590042114257</v>
      </c>
      <c r="AP74" s="8">
        <v>2.328125</v>
      </c>
      <c r="AQ74" s="8">
        <v>6.2073860168457</v>
      </c>
      <c r="AR74" s="8">
        <v>14.0</v>
      </c>
      <c r="AS74" s="8">
        <v>4.0</v>
      </c>
      <c r="AT74" s="8">
        <v>3.0</v>
      </c>
      <c r="AU74" s="8">
        <v>0.0</v>
      </c>
      <c r="AV74" s="8">
        <v>0.0869565217391304</v>
      </c>
      <c r="AW74" s="8">
        <v>0.0248447204968944</v>
      </c>
      <c r="AX74" s="8">
        <v>0.0186335403726708</v>
      </c>
      <c r="AY74" s="8">
        <v>0.0</v>
      </c>
      <c r="AZ74" s="8">
        <v>0.0</v>
      </c>
      <c r="BA74" s="8">
        <v>2.0</v>
      </c>
      <c r="BB74" s="8">
        <v>3.0</v>
      </c>
      <c r="BC74" s="8">
        <v>9.0</v>
      </c>
      <c r="BD74" s="8">
        <v>0.0</v>
      </c>
      <c r="BE74" s="8">
        <v>0.0124223602484472</v>
      </c>
      <c r="BF74" s="8">
        <v>0.0186335403726708</v>
      </c>
      <c r="BG74" s="8">
        <v>0.0559006211180124</v>
      </c>
      <c r="BH74" s="8">
        <v>12.0</v>
      </c>
      <c r="BI74" s="8">
        <v>12.0</v>
      </c>
      <c r="BJ74" s="2"/>
      <c r="BK74" s="8">
        <v>12.0</v>
      </c>
      <c r="BL74" s="8">
        <v>12.0</v>
      </c>
      <c r="BM74" s="2" t="s">
        <v>1241</v>
      </c>
      <c r="BN74" s="2" t="s">
        <v>1242</v>
      </c>
      <c r="BO74" s="8">
        <v>94.0</v>
      </c>
      <c r="BP74" s="8">
        <v>477.0</v>
      </c>
      <c r="BQ74" s="8">
        <v>624.0</v>
      </c>
      <c r="BR74" s="8">
        <v>610.0</v>
      </c>
      <c r="BS74" s="8">
        <v>22.0</v>
      </c>
      <c r="BT74" s="8">
        <v>24.0</v>
      </c>
      <c r="BU74" s="10" t="b">
        <v>1</v>
      </c>
      <c r="BV74" s="10" t="b">
        <v>0</v>
      </c>
      <c r="BW74" s="10" t="b">
        <v>1</v>
      </c>
      <c r="BX74" s="2" t="s">
        <v>74</v>
      </c>
      <c r="BY74" s="8">
        <v>161.0</v>
      </c>
      <c r="BZ74" s="2"/>
      <c r="CA74" s="2"/>
    </row>
    <row r="75">
      <c r="A75" s="2" t="s">
        <v>1244</v>
      </c>
      <c r="B75" s="2" t="s">
        <v>121</v>
      </c>
      <c r="C75" s="8">
        <v>0.0</v>
      </c>
      <c r="D75" s="2" t="s">
        <v>71</v>
      </c>
      <c r="E75" s="2" t="s">
        <v>122</v>
      </c>
      <c r="F75" s="10" t="b">
        <v>1</v>
      </c>
      <c r="G75" s="2"/>
      <c r="H75" s="2"/>
      <c r="I75" s="2"/>
      <c r="J75" s="2"/>
      <c r="K75" s="2" t="s">
        <v>1247</v>
      </c>
      <c r="L75" s="2" t="s">
        <v>1249</v>
      </c>
      <c r="M75" s="2"/>
      <c r="N75" s="2" t="s">
        <v>1250</v>
      </c>
      <c r="O75" s="2" t="s">
        <v>1251</v>
      </c>
      <c r="P75" s="10" t="b">
        <v>0</v>
      </c>
      <c r="Q75" s="2"/>
      <c r="R75" s="2"/>
      <c r="S75" s="8">
        <v>136.0</v>
      </c>
      <c r="T75" s="8">
        <v>125.0</v>
      </c>
      <c r="U75" s="8">
        <v>2.3500099821026</v>
      </c>
      <c r="V75" s="8">
        <v>53.1912634210002</v>
      </c>
      <c r="W75" s="8">
        <v>0.078261921161742</v>
      </c>
      <c r="X75" s="8">
        <v>1.03261768817901</v>
      </c>
      <c r="Y75" s="8">
        <v>9.88883583831787</v>
      </c>
      <c r="Z75" s="8">
        <v>0.170454025268554</v>
      </c>
      <c r="AA75" s="8">
        <v>0.078261921161742</v>
      </c>
      <c r="AB75" s="8">
        <v>0.211316202921901</v>
      </c>
      <c r="AC75" s="11">
        <v>1.4626515621785E-5</v>
      </c>
      <c r="AD75" s="8">
        <v>1.03261768817901</v>
      </c>
      <c r="AE75" s="8">
        <v>3.37834528181701E-4</v>
      </c>
      <c r="AF75" s="8">
        <v>0.00761107821017503</v>
      </c>
      <c r="AG75" s="8">
        <v>0.269757187366485</v>
      </c>
      <c r="AH75" s="8">
        <v>0.677996730804443</v>
      </c>
      <c r="AI75" s="8">
        <v>0.886652989387512</v>
      </c>
      <c r="AJ75" s="8">
        <v>9.88883583831787</v>
      </c>
      <c r="AK75" s="8">
        <v>3.97802980328911</v>
      </c>
      <c r="AL75" s="8">
        <v>0.170454025268554</v>
      </c>
      <c r="AM75" s="8">
        <v>15.5688934326171</v>
      </c>
      <c r="AN75" s="8">
        <v>11.5767059326171</v>
      </c>
      <c r="AO75" s="8">
        <v>1.79034118652343</v>
      </c>
      <c r="AP75" s="8">
        <v>3.16079635620117</v>
      </c>
      <c r="AQ75" s="8">
        <v>7.37641906738281</v>
      </c>
      <c r="AR75" s="8">
        <v>9.0</v>
      </c>
      <c r="AS75" s="8">
        <v>1.0</v>
      </c>
      <c r="AT75" s="8">
        <v>0.0</v>
      </c>
      <c r="AU75" s="8">
        <v>0.0</v>
      </c>
      <c r="AV75" s="8">
        <v>0.072</v>
      </c>
      <c r="AW75" s="8">
        <v>0.008</v>
      </c>
      <c r="AX75" s="8">
        <v>0.0</v>
      </c>
      <c r="AY75" s="8">
        <v>0.0</v>
      </c>
      <c r="AZ75" s="8">
        <v>0.0</v>
      </c>
      <c r="BA75" s="8">
        <v>1.0</v>
      </c>
      <c r="BB75" s="8">
        <v>3.0</v>
      </c>
      <c r="BC75" s="8">
        <v>4.0</v>
      </c>
      <c r="BD75" s="8">
        <v>0.0</v>
      </c>
      <c r="BE75" s="8">
        <v>0.008</v>
      </c>
      <c r="BF75" s="8">
        <v>0.024</v>
      </c>
      <c r="BG75" s="8">
        <v>0.032</v>
      </c>
      <c r="BH75" s="8">
        <v>13.0</v>
      </c>
      <c r="BI75" s="2"/>
      <c r="BJ75" s="2"/>
      <c r="BK75" s="8">
        <v>30.0</v>
      </c>
      <c r="BL75" s="8">
        <v>0.0</v>
      </c>
      <c r="BM75" s="2" t="s">
        <v>1256</v>
      </c>
      <c r="BN75" s="2" t="s">
        <v>1257</v>
      </c>
      <c r="BO75" s="8">
        <v>48.0</v>
      </c>
      <c r="BP75" s="8">
        <v>512.0</v>
      </c>
      <c r="BQ75" s="8">
        <v>345.0</v>
      </c>
      <c r="BR75" s="8">
        <v>331.0</v>
      </c>
      <c r="BS75" s="8">
        <v>9.0</v>
      </c>
      <c r="BT75" s="8">
        <v>11.0</v>
      </c>
      <c r="BU75" s="10" t="b">
        <v>1</v>
      </c>
      <c r="BV75" s="10" t="b">
        <v>0</v>
      </c>
      <c r="BW75" s="10" t="b">
        <v>1</v>
      </c>
      <c r="BX75" s="2" t="s">
        <v>74</v>
      </c>
      <c r="BY75" s="8">
        <v>125.0</v>
      </c>
      <c r="BZ75" s="2"/>
      <c r="CA75" s="2"/>
    </row>
    <row r="76">
      <c r="A76" s="2" t="s">
        <v>1258</v>
      </c>
      <c r="B76" s="2" t="s">
        <v>121</v>
      </c>
      <c r="C76" s="8">
        <v>0.0</v>
      </c>
      <c r="D76" s="2" t="s">
        <v>71</v>
      </c>
      <c r="E76" s="2" t="s">
        <v>122</v>
      </c>
      <c r="F76" s="10" t="b">
        <v>1</v>
      </c>
      <c r="G76" s="2"/>
      <c r="H76" s="2"/>
      <c r="I76" s="2"/>
      <c r="J76" s="2"/>
      <c r="K76" s="2" t="s">
        <v>1259</v>
      </c>
      <c r="L76" s="2" t="s">
        <v>1261</v>
      </c>
      <c r="M76" s="2"/>
      <c r="N76" s="2" t="s">
        <v>1262</v>
      </c>
      <c r="O76" s="2" t="s">
        <v>1263</v>
      </c>
      <c r="P76" s="10" t="b">
        <v>0</v>
      </c>
      <c r="Q76" s="2"/>
      <c r="R76" s="2"/>
      <c r="S76" s="8">
        <v>190.0</v>
      </c>
      <c r="T76" s="8">
        <v>40.0</v>
      </c>
      <c r="U76" s="8">
        <v>2.32965422933788</v>
      </c>
      <c r="V76" s="8">
        <v>17.1699299819993</v>
      </c>
      <c r="W76" s="8">
        <v>0.244405326929461</v>
      </c>
      <c r="X76" s="8">
        <v>1.37773597240448</v>
      </c>
      <c r="Y76" s="8">
        <v>6.84778096675872</v>
      </c>
      <c r="Z76" s="8">
        <v>0.21875</v>
      </c>
      <c r="AA76" s="8">
        <v>0.244405326929461</v>
      </c>
      <c r="AB76" s="8">
        <v>0.398226623091297</v>
      </c>
      <c r="AC76" s="11">
        <v>4.65501716462313E-6</v>
      </c>
      <c r="AD76" s="8">
        <v>1.37773597240448</v>
      </c>
      <c r="AE76" s="8">
        <v>0.00753470952622592</v>
      </c>
      <c r="AF76" s="8">
        <v>0.352190047502517</v>
      </c>
      <c r="AG76" s="8">
        <v>0.916495501995086</v>
      </c>
      <c r="AH76" s="8">
        <v>1.15120885372161</v>
      </c>
      <c r="AI76" s="8">
        <v>1.35537577986717</v>
      </c>
      <c r="AJ76" s="8">
        <v>6.84778096675872</v>
      </c>
      <c r="AK76" s="8">
        <v>4.50980036128646</v>
      </c>
      <c r="AL76" s="8">
        <v>0.21875</v>
      </c>
      <c r="AM76" s="8">
        <v>16.3039779663085</v>
      </c>
      <c r="AN76" s="8">
        <v>7.4296875</v>
      </c>
      <c r="AO76" s="8">
        <v>0.364133358001709</v>
      </c>
      <c r="AP76" s="8">
        <v>0.6390625</v>
      </c>
      <c r="AQ76" s="8">
        <v>2.51029920578002</v>
      </c>
      <c r="AR76" s="8">
        <v>7.0</v>
      </c>
      <c r="AS76" s="8">
        <v>3.0</v>
      </c>
      <c r="AT76" s="8">
        <v>0.0</v>
      </c>
      <c r="AU76" s="8">
        <v>0.0</v>
      </c>
      <c r="AV76" s="8">
        <v>0.175</v>
      </c>
      <c r="AW76" s="8">
        <v>0.075</v>
      </c>
      <c r="AX76" s="8">
        <v>0.0</v>
      </c>
      <c r="AY76" s="8">
        <v>0.0</v>
      </c>
      <c r="AZ76" s="8">
        <v>0.0</v>
      </c>
      <c r="BA76" s="8">
        <v>1.0</v>
      </c>
      <c r="BB76" s="8">
        <v>3.0</v>
      </c>
      <c r="BC76" s="8">
        <v>6.0</v>
      </c>
      <c r="BD76" s="8">
        <v>0.0</v>
      </c>
      <c r="BE76" s="8">
        <v>0.025</v>
      </c>
      <c r="BF76" s="8">
        <v>0.075</v>
      </c>
      <c r="BG76" s="8">
        <v>0.15</v>
      </c>
      <c r="BH76" s="8">
        <v>9.0</v>
      </c>
      <c r="BI76" s="2"/>
      <c r="BJ76" s="2"/>
      <c r="BK76" s="8">
        <v>27.0</v>
      </c>
      <c r="BL76" s="8">
        <v>13.0</v>
      </c>
      <c r="BM76" s="2" t="s">
        <v>1268</v>
      </c>
      <c r="BN76" s="2" t="s">
        <v>1269</v>
      </c>
      <c r="BO76" s="8">
        <v>89.0</v>
      </c>
      <c r="BP76" s="8">
        <v>551.0</v>
      </c>
      <c r="BQ76" s="8">
        <v>149.0</v>
      </c>
      <c r="BR76" s="8">
        <v>135.0</v>
      </c>
      <c r="BS76" s="8">
        <v>3.0</v>
      </c>
      <c r="BT76" s="8">
        <v>5.0</v>
      </c>
      <c r="BU76" s="10" t="b">
        <v>1</v>
      </c>
      <c r="BV76" s="10" t="b">
        <v>0</v>
      </c>
      <c r="BW76" s="10" t="b">
        <v>1</v>
      </c>
      <c r="BX76" s="2" t="s">
        <v>74</v>
      </c>
      <c r="BY76" s="8">
        <v>40.0</v>
      </c>
      <c r="BZ76" s="2"/>
      <c r="CA76" s="2"/>
    </row>
    <row r="77">
      <c r="A77" s="2" t="s">
        <v>1274</v>
      </c>
      <c r="B77" s="2" t="s">
        <v>121</v>
      </c>
      <c r="C77" s="8">
        <v>0.0</v>
      </c>
      <c r="D77" s="2" t="s">
        <v>71</v>
      </c>
      <c r="E77" s="2" t="s">
        <v>122</v>
      </c>
      <c r="F77" s="10" t="b">
        <v>1</v>
      </c>
      <c r="G77" s="2"/>
      <c r="H77" s="2"/>
      <c r="I77" s="2"/>
      <c r="J77" s="2"/>
      <c r="K77" s="2" t="s">
        <v>1276</v>
      </c>
      <c r="L77" s="2" t="s">
        <v>1277</v>
      </c>
      <c r="M77" s="2"/>
      <c r="N77" s="2" t="s">
        <v>1278</v>
      </c>
      <c r="O77" s="2" t="s">
        <v>1279</v>
      </c>
      <c r="P77" s="10" t="b">
        <v>0</v>
      </c>
      <c r="Q77" s="2"/>
      <c r="R77" s="2"/>
      <c r="S77" s="8">
        <v>94.0</v>
      </c>
      <c r="T77" s="8">
        <v>23.0</v>
      </c>
      <c r="U77" s="8">
        <v>2.34559121110001</v>
      </c>
      <c r="V77" s="8">
        <v>9.80563019300098</v>
      </c>
      <c r="W77" s="8">
        <v>0.168976853428593</v>
      </c>
      <c r="X77" s="8">
        <v>0.846109628677368</v>
      </c>
      <c r="Y77" s="8">
        <v>6.62222095157789</v>
      </c>
      <c r="Z77" s="8">
        <v>0.0</v>
      </c>
      <c r="AA77" s="8">
        <v>0.168976853428593</v>
      </c>
      <c r="AB77" s="8">
        <v>0.285874224639167</v>
      </c>
      <c r="AC77" s="8">
        <v>1.08910149720031E-4</v>
      </c>
      <c r="AD77" s="8">
        <v>0.846109628677368</v>
      </c>
      <c r="AE77" s="8">
        <v>0.00511669693514704</v>
      </c>
      <c r="AF77" s="8">
        <v>0.183578088879585</v>
      </c>
      <c r="AG77" s="8">
        <v>0.688760757446289</v>
      </c>
      <c r="AH77" s="8">
        <v>0.755649369955062</v>
      </c>
      <c r="AI77" s="8">
        <v>0.82757915854454</v>
      </c>
      <c r="AJ77" s="8">
        <v>6.62222095157789</v>
      </c>
      <c r="AK77" s="8">
        <v>3.91763890599194</v>
      </c>
      <c r="AL77" s="8">
        <v>0.0</v>
      </c>
      <c r="AM77" s="8">
        <v>12.2400569915771</v>
      </c>
      <c r="AN77" s="8">
        <v>7.859375</v>
      </c>
      <c r="AO77" s="8">
        <v>0.05625</v>
      </c>
      <c r="AP77" s="8">
        <v>0.490625</v>
      </c>
      <c r="AQ77" s="8">
        <v>3.39417552947998</v>
      </c>
      <c r="AR77" s="8">
        <v>4.0</v>
      </c>
      <c r="AS77" s="8">
        <v>0.0</v>
      </c>
      <c r="AT77" s="8">
        <v>0.0</v>
      </c>
      <c r="AU77" s="8">
        <v>0.0</v>
      </c>
      <c r="AV77" s="8">
        <v>0.17391304347826</v>
      </c>
      <c r="AW77" s="8">
        <v>0.0</v>
      </c>
      <c r="AX77" s="8">
        <v>0.0</v>
      </c>
      <c r="AY77" s="8">
        <v>0.0</v>
      </c>
      <c r="AZ77" s="8">
        <v>2.0</v>
      </c>
      <c r="BA77" s="8">
        <v>2.0</v>
      </c>
      <c r="BB77" s="8">
        <v>3.0</v>
      </c>
      <c r="BC77" s="8">
        <v>3.0</v>
      </c>
      <c r="BD77" s="8">
        <v>0.0869565217391304</v>
      </c>
      <c r="BE77" s="8">
        <v>0.0869565217391304</v>
      </c>
      <c r="BF77" s="8">
        <v>0.130434782608695</v>
      </c>
      <c r="BG77" s="8">
        <v>0.130434782608695</v>
      </c>
      <c r="BH77" s="2"/>
      <c r="BI77" s="2"/>
      <c r="BJ77" s="2"/>
      <c r="BK77" s="8">
        <v>10.0</v>
      </c>
      <c r="BL77" s="8">
        <v>0.0</v>
      </c>
      <c r="BM77" s="2" t="s">
        <v>1285</v>
      </c>
      <c r="BN77" s="2" t="s">
        <v>1286</v>
      </c>
      <c r="BO77" s="8">
        <v>50.0</v>
      </c>
      <c r="BP77" s="8">
        <v>407.0</v>
      </c>
      <c r="BQ77" s="8">
        <v>62.0</v>
      </c>
      <c r="BR77" s="8">
        <v>48.0</v>
      </c>
      <c r="BS77" s="8">
        <v>2.0</v>
      </c>
      <c r="BT77" s="8">
        <v>4.0</v>
      </c>
      <c r="BU77" s="10" t="b">
        <v>1</v>
      </c>
      <c r="BV77" s="10" t="b">
        <v>0</v>
      </c>
      <c r="BW77" s="10" t="b">
        <v>1</v>
      </c>
      <c r="BX77" s="2" t="s">
        <v>74</v>
      </c>
      <c r="BY77" s="8">
        <v>23.0</v>
      </c>
      <c r="BZ77" s="2"/>
      <c r="CA77" s="2"/>
    </row>
    <row r="78">
      <c r="A78" s="2" t="s">
        <v>1287</v>
      </c>
      <c r="B78" s="2" t="s">
        <v>121</v>
      </c>
      <c r="C78" s="8">
        <v>0.0</v>
      </c>
      <c r="D78" s="2" t="s">
        <v>71</v>
      </c>
      <c r="E78" s="2" t="s">
        <v>122</v>
      </c>
      <c r="F78" s="10" t="b">
        <v>0</v>
      </c>
      <c r="G78" s="2" t="s">
        <v>198</v>
      </c>
      <c r="H78" s="2" t="s">
        <v>247</v>
      </c>
      <c r="I78" s="2" t="s">
        <v>1288</v>
      </c>
      <c r="J78" s="2"/>
      <c r="K78" s="2" t="s">
        <v>1289</v>
      </c>
      <c r="L78" s="2" t="s">
        <v>1290</v>
      </c>
      <c r="M78" s="2"/>
      <c r="N78" s="2" t="s">
        <v>1292</v>
      </c>
      <c r="O78" s="2" t="s">
        <v>1293</v>
      </c>
      <c r="P78" s="10" t="b">
        <v>0</v>
      </c>
      <c r="Q78" s="2"/>
      <c r="R78" s="2"/>
      <c r="S78" s="8">
        <v>246.0</v>
      </c>
      <c r="T78" s="8">
        <v>225.0</v>
      </c>
      <c r="U78" s="8">
        <v>2.33910905128744</v>
      </c>
      <c r="V78" s="8">
        <v>96.1904704169992</v>
      </c>
      <c r="W78" s="8">
        <v>0.0553697516474353</v>
      </c>
      <c r="X78" s="8">
        <v>1.35703492164611</v>
      </c>
      <c r="Y78" s="8">
        <v>10.6175573306613</v>
      </c>
      <c r="Z78" s="8">
        <v>0.15625</v>
      </c>
      <c r="AA78" s="8">
        <v>0.0553697516474353</v>
      </c>
      <c r="AB78" s="8">
        <v>0.216342279951045</v>
      </c>
      <c r="AC78" s="11">
        <v>5.21123411090229E-6</v>
      </c>
      <c r="AD78" s="8">
        <v>1.35703492164611</v>
      </c>
      <c r="AE78" s="8">
        <v>2.31419573538005E-4</v>
      </c>
      <c r="AF78" s="8">
        <v>0.0016908791149035</v>
      </c>
      <c r="AG78" s="8">
        <v>0.0453333340585231</v>
      </c>
      <c r="AH78" s="8">
        <v>0.345552331209181</v>
      </c>
      <c r="AI78" s="8">
        <v>1.06302006721496</v>
      </c>
      <c r="AJ78" s="8">
        <v>10.6175573306613</v>
      </c>
      <c r="AK78" s="8">
        <v>3.45856821283993</v>
      </c>
      <c r="AL78" s="8">
        <v>0.15625</v>
      </c>
      <c r="AM78" s="8">
        <v>16.4985809326171</v>
      </c>
      <c r="AN78" s="8">
        <v>11.5497169494628</v>
      </c>
      <c r="AO78" s="8">
        <v>2.17102317810058</v>
      </c>
      <c r="AP78" s="8">
        <v>5.61590919494629</v>
      </c>
      <c r="AQ78" s="8">
        <v>9.03835296630859</v>
      </c>
      <c r="AR78" s="8">
        <v>10.0</v>
      </c>
      <c r="AS78" s="8">
        <v>5.0</v>
      </c>
      <c r="AT78" s="8">
        <v>0.0</v>
      </c>
      <c r="AU78" s="8">
        <v>0.0</v>
      </c>
      <c r="AV78" s="8">
        <v>0.0444444444444444</v>
      </c>
      <c r="AW78" s="8">
        <v>0.0222222222222222</v>
      </c>
      <c r="AX78" s="8">
        <v>0.0</v>
      </c>
      <c r="AY78" s="8">
        <v>0.0</v>
      </c>
      <c r="AZ78" s="8">
        <v>0.0</v>
      </c>
      <c r="BA78" s="8">
        <v>2.0</v>
      </c>
      <c r="BB78" s="8">
        <v>3.0</v>
      </c>
      <c r="BC78" s="8">
        <v>4.0</v>
      </c>
      <c r="BD78" s="8">
        <v>0.0</v>
      </c>
      <c r="BE78" s="8">
        <v>0.00888888888888888</v>
      </c>
      <c r="BF78" s="8">
        <v>0.0133333333333333</v>
      </c>
      <c r="BG78" s="8">
        <v>0.0177777777777777</v>
      </c>
      <c r="BH78" s="8">
        <v>9.0</v>
      </c>
      <c r="BI78" s="2"/>
      <c r="BJ78" s="2"/>
      <c r="BK78" s="8">
        <v>20.0</v>
      </c>
      <c r="BL78" s="8">
        <v>13.0</v>
      </c>
      <c r="BM78" s="2" t="s">
        <v>1298</v>
      </c>
      <c r="BN78" s="2" t="s">
        <v>1299</v>
      </c>
      <c r="BO78" s="8">
        <v>83.0</v>
      </c>
      <c r="BP78" s="8">
        <v>638.0</v>
      </c>
      <c r="BQ78" s="8">
        <v>466.0</v>
      </c>
      <c r="BR78" s="8">
        <v>452.0</v>
      </c>
      <c r="BS78" s="8">
        <v>11.0</v>
      </c>
      <c r="BT78" s="8">
        <v>13.0</v>
      </c>
      <c r="BU78" s="10" t="b">
        <v>1</v>
      </c>
      <c r="BV78" s="10" t="b">
        <v>1</v>
      </c>
      <c r="BW78" s="10" t="b">
        <v>1</v>
      </c>
      <c r="BX78" s="2" t="s">
        <v>1303</v>
      </c>
      <c r="BY78" s="8">
        <v>225.0</v>
      </c>
      <c r="BZ78" s="2"/>
      <c r="CA78" s="2"/>
    </row>
    <row r="79">
      <c r="A79" s="2" t="s">
        <v>1304</v>
      </c>
      <c r="B79" s="2" t="s">
        <v>121</v>
      </c>
      <c r="C79" s="8">
        <v>0.0</v>
      </c>
      <c r="D79" s="2" t="s">
        <v>71</v>
      </c>
      <c r="E79" s="2" t="s">
        <v>122</v>
      </c>
      <c r="F79" s="10" t="b">
        <v>0</v>
      </c>
      <c r="G79" s="2" t="s">
        <v>198</v>
      </c>
      <c r="H79" s="2" t="s">
        <v>247</v>
      </c>
      <c r="I79" s="2" t="s">
        <v>1305</v>
      </c>
      <c r="J79" s="2"/>
      <c r="K79" s="2" t="s">
        <v>1306</v>
      </c>
      <c r="L79" s="2" t="s">
        <v>1307</v>
      </c>
      <c r="M79" s="2"/>
      <c r="N79" s="2" t="s">
        <v>1308</v>
      </c>
      <c r="O79" s="2" t="s">
        <v>1309</v>
      </c>
      <c r="P79" s="10" t="b">
        <v>0</v>
      </c>
      <c r="Q79" s="2"/>
      <c r="R79" s="2"/>
      <c r="S79" s="8">
        <v>117.0</v>
      </c>
      <c r="T79" s="8">
        <v>103.0</v>
      </c>
      <c r="U79" s="8">
        <v>2.34975371186159</v>
      </c>
      <c r="V79" s="8">
        <v>43.8343812290004</v>
      </c>
      <c r="W79" s="8">
        <v>0.259396360810869</v>
      </c>
      <c r="X79" s="8">
        <v>1.54653012752532</v>
      </c>
      <c r="Y79" s="8">
        <v>5.32635320274575</v>
      </c>
      <c r="Z79" s="8">
        <v>0.0568180084228515</v>
      </c>
      <c r="AA79" s="8">
        <v>0.259396360810869</v>
      </c>
      <c r="AB79" s="8">
        <v>0.334972942955125</v>
      </c>
      <c r="AC79" s="8">
        <v>2.14794781641103E-4</v>
      </c>
      <c r="AD79" s="8">
        <v>1.54653012752532</v>
      </c>
      <c r="AE79" s="8">
        <v>0.0863606184720993</v>
      </c>
      <c r="AF79" s="8">
        <v>0.443197533488273</v>
      </c>
      <c r="AG79" s="8">
        <v>0.719453418254852</v>
      </c>
      <c r="AH79" s="8">
        <v>0.798027968406677</v>
      </c>
      <c r="AI79" s="8">
        <v>1.46013873338699</v>
      </c>
      <c r="AJ79" s="8">
        <v>5.32635320274575</v>
      </c>
      <c r="AK79" s="8">
        <v>3.56638507170579</v>
      </c>
      <c r="AL79" s="8">
        <v>0.0568180084228515</v>
      </c>
      <c r="AM79" s="8">
        <v>11.8409099578857</v>
      </c>
      <c r="AN79" s="8">
        <v>5.0625</v>
      </c>
      <c r="AO79" s="8">
        <v>0.306109046936035</v>
      </c>
      <c r="AP79" s="8">
        <v>0.729545593261718</v>
      </c>
      <c r="AQ79" s="8">
        <v>2.1953125</v>
      </c>
      <c r="AR79" s="8">
        <v>23.0</v>
      </c>
      <c r="AS79" s="8">
        <v>3.0</v>
      </c>
      <c r="AT79" s="8">
        <v>1.0</v>
      </c>
      <c r="AU79" s="8">
        <v>0.0</v>
      </c>
      <c r="AV79" s="8">
        <v>0.223300970873786</v>
      </c>
      <c r="AW79" s="8">
        <v>0.029126213592233</v>
      </c>
      <c r="AX79" s="8">
        <v>0.00970873786407766</v>
      </c>
      <c r="AY79" s="8">
        <v>0.0</v>
      </c>
      <c r="AZ79" s="8">
        <v>1.0</v>
      </c>
      <c r="BA79" s="8">
        <v>3.0</v>
      </c>
      <c r="BB79" s="8">
        <v>8.0</v>
      </c>
      <c r="BC79" s="8">
        <v>15.0</v>
      </c>
      <c r="BD79" s="8">
        <v>0.00970873786407766</v>
      </c>
      <c r="BE79" s="8">
        <v>0.029126213592233</v>
      </c>
      <c r="BF79" s="8">
        <v>0.0776699029126213</v>
      </c>
      <c r="BG79" s="8">
        <v>0.145631067961165</v>
      </c>
      <c r="BH79" s="8">
        <v>16.0</v>
      </c>
      <c r="BI79" s="8">
        <v>19.0</v>
      </c>
      <c r="BJ79" s="2"/>
      <c r="BK79" s="8">
        <v>19.0</v>
      </c>
      <c r="BL79" s="8">
        <v>13.0</v>
      </c>
      <c r="BM79" s="2" t="s">
        <v>1314</v>
      </c>
      <c r="BN79" s="2" t="s">
        <v>1315</v>
      </c>
      <c r="BO79" s="8">
        <v>115.0</v>
      </c>
      <c r="BP79" s="8">
        <v>509.0</v>
      </c>
      <c r="BQ79" s="8">
        <v>312.0</v>
      </c>
      <c r="BR79" s="8">
        <v>298.0</v>
      </c>
      <c r="BS79" s="8">
        <v>13.0</v>
      </c>
      <c r="BT79" s="8">
        <v>15.0</v>
      </c>
      <c r="BU79" s="10" t="b">
        <v>1</v>
      </c>
      <c r="BV79" s="10" t="b">
        <v>0</v>
      </c>
      <c r="BW79" s="10" t="b">
        <v>1</v>
      </c>
      <c r="BX79" s="2" t="s">
        <v>1316</v>
      </c>
      <c r="BY79" s="8">
        <v>103.0</v>
      </c>
      <c r="BZ79" s="2"/>
      <c r="CA79" s="2"/>
    </row>
    <row r="80">
      <c r="A80" s="2" t="s">
        <v>1318</v>
      </c>
      <c r="B80" s="2" t="s">
        <v>121</v>
      </c>
      <c r="C80" s="8">
        <v>0.0</v>
      </c>
      <c r="D80" s="2" t="s">
        <v>71</v>
      </c>
      <c r="E80" s="2" t="s">
        <v>122</v>
      </c>
      <c r="F80" s="10" t="b">
        <v>1</v>
      </c>
      <c r="G80" s="2"/>
      <c r="H80" s="2"/>
      <c r="I80" s="2"/>
      <c r="J80" s="2"/>
      <c r="K80" s="2" t="s">
        <v>1320</v>
      </c>
      <c r="L80" s="2" t="s">
        <v>1324</v>
      </c>
      <c r="M80" s="2"/>
      <c r="N80" s="2" t="s">
        <v>1325</v>
      </c>
      <c r="O80" s="2" t="s">
        <v>1326</v>
      </c>
      <c r="P80" s="10" t="b">
        <v>0</v>
      </c>
      <c r="Q80" s="2"/>
      <c r="R80" s="2"/>
      <c r="S80" s="8">
        <v>171.0</v>
      </c>
      <c r="T80" s="8">
        <v>26.0</v>
      </c>
      <c r="U80" s="8">
        <v>2.33077184056975</v>
      </c>
      <c r="V80" s="8">
        <v>11.1551030209993</v>
      </c>
      <c r="W80" s="8">
        <v>0.0984609348468858</v>
      </c>
      <c r="X80" s="8">
        <v>0.85781443119049</v>
      </c>
      <c r="Y80" s="8">
        <v>7.88204794663649</v>
      </c>
      <c r="Z80" s="8">
        <v>0.0625</v>
      </c>
      <c r="AA80" s="8">
        <v>0.0984609348468858</v>
      </c>
      <c r="AB80" s="8">
        <v>0.224685297095269</v>
      </c>
      <c r="AC80" s="8">
        <v>1.61882169777527E-4</v>
      </c>
      <c r="AD80" s="8">
        <v>0.85781443119049</v>
      </c>
      <c r="AE80" s="8">
        <v>0.00464970688335597</v>
      </c>
      <c r="AF80" s="8">
        <v>0.0367199182510376</v>
      </c>
      <c r="AG80" s="8">
        <v>0.382707901298999</v>
      </c>
      <c r="AH80" s="8">
        <v>0.606099024415016</v>
      </c>
      <c r="AI80" s="8">
        <v>0.795779854059219</v>
      </c>
      <c r="AJ80" s="8">
        <v>7.88204794663649</v>
      </c>
      <c r="AK80" s="8">
        <v>3.77779669590919</v>
      </c>
      <c r="AL80" s="8">
        <v>0.0625</v>
      </c>
      <c r="AM80" s="8">
        <v>12.9701709747314</v>
      </c>
      <c r="AN80" s="8">
        <v>8.24573898315429</v>
      </c>
      <c r="AO80" s="8">
        <v>1.04829597473144</v>
      </c>
      <c r="AP80" s="8">
        <v>2.1640625</v>
      </c>
      <c r="AQ80" s="8">
        <v>5.91690397262573</v>
      </c>
      <c r="AR80" s="8">
        <v>3.0</v>
      </c>
      <c r="AS80" s="8">
        <v>0.0</v>
      </c>
      <c r="AT80" s="8">
        <v>0.0</v>
      </c>
      <c r="AU80" s="8">
        <v>0.0</v>
      </c>
      <c r="AV80" s="8">
        <v>0.115384615384615</v>
      </c>
      <c r="AW80" s="8">
        <v>0.0</v>
      </c>
      <c r="AX80" s="8">
        <v>0.0</v>
      </c>
      <c r="AY80" s="8">
        <v>0.0</v>
      </c>
      <c r="AZ80" s="8">
        <v>1.0</v>
      </c>
      <c r="BA80" s="8">
        <v>1.0</v>
      </c>
      <c r="BB80" s="8">
        <v>1.0</v>
      </c>
      <c r="BC80" s="8">
        <v>1.0</v>
      </c>
      <c r="BD80" s="8">
        <v>0.0384615384615384</v>
      </c>
      <c r="BE80" s="8">
        <v>0.0384615384615384</v>
      </c>
      <c r="BF80" s="8">
        <v>0.0384615384615384</v>
      </c>
      <c r="BG80" s="8">
        <v>0.0384615384615384</v>
      </c>
      <c r="BH80" s="2"/>
      <c r="BI80" s="2"/>
      <c r="BJ80" s="2"/>
      <c r="BK80" s="8">
        <v>0.0</v>
      </c>
      <c r="BL80" s="8">
        <v>0.0</v>
      </c>
      <c r="BM80" s="2" t="s">
        <v>1331</v>
      </c>
      <c r="BN80" s="2" t="s">
        <v>1332</v>
      </c>
      <c r="BO80" s="8">
        <v>55.0</v>
      </c>
      <c r="BP80" s="8">
        <v>549.0</v>
      </c>
      <c r="BQ80" s="8">
        <v>92.0</v>
      </c>
      <c r="BR80" s="8">
        <v>78.0</v>
      </c>
      <c r="BS80" s="8">
        <v>4.0</v>
      </c>
      <c r="BT80" s="8">
        <v>6.0</v>
      </c>
      <c r="BU80" s="10" t="b">
        <v>1</v>
      </c>
      <c r="BV80" s="10" t="b">
        <v>1</v>
      </c>
      <c r="BW80" s="10" t="b">
        <v>1</v>
      </c>
      <c r="BX80" s="2" t="s">
        <v>74</v>
      </c>
      <c r="BY80" s="8">
        <v>26.0</v>
      </c>
      <c r="BZ80" s="2"/>
      <c r="CA80" s="2"/>
    </row>
    <row r="81">
      <c r="A81" s="2" t="s">
        <v>1333</v>
      </c>
      <c r="B81" s="2" t="s">
        <v>121</v>
      </c>
      <c r="C81" s="8">
        <v>0.0</v>
      </c>
      <c r="D81" s="2" t="s">
        <v>71</v>
      </c>
      <c r="E81" s="2" t="s">
        <v>122</v>
      </c>
      <c r="F81" s="10" t="b">
        <v>1</v>
      </c>
      <c r="G81" s="2"/>
      <c r="H81" s="2"/>
      <c r="I81" s="2"/>
      <c r="J81" s="2"/>
      <c r="K81" s="2" t="s">
        <v>1334</v>
      </c>
      <c r="L81" s="2" t="s">
        <v>1335</v>
      </c>
      <c r="M81" s="2"/>
      <c r="N81" s="2" t="s">
        <v>1336</v>
      </c>
      <c r="O81" s="2" t="s">
        <v>1337</v>
      </c>
      <c r="P81" s="10" t="b">
        <v>0</v>
      </c>
      <c r="Q81" s="2"/>
      <c r="R81" s="2"/>
      <c r="S81" s="8">
        <v>222.0</v>
      </c>
      <c r="T81" s="8">
        <v>45.0</v>
      </c>
      <c r="U81" s="8">
        <v>2.34257403686222</v>
      </c>
      <c r="V81" s="8">
        <v>19.2096383259995</v>
      </c>
      <c r="W81" s="8">
        <v>0.239347497142686</v>
      </c>
      <c r="X81" s="8">
        <v>1.95983624458312</v>
      </c>
      <c r="Y81" s="8">
        <v>6.53794222937689</v>
      </c>
      <c r="Z81" s="8">
        <v>0.421875</v>
      </c>
      <c r="AA81" s="8">
        <v>0.239347497142686</v>
      </c>
      <c r="AB81" s="8">
        <v>0.445285608650394</v>
      </c>
      <c r="AC81" s="11">
        <v>4.02144032705109E-5</v>
      </c>
      <c r="AD81" s="8">
        <v>1.95983624458312</v>
      </c>
      <c r="AE81" s="8">
        <v>0.0160033274441957</v>
      </c>
      <c r="AF81" s="8">
        <v>0.275171250104904</v>
      </c>
      <c r="AG81" s="8">
        <v>0.689004039764404</v>
      </c>
      <c r="AH81" s="8">
        <v>0.876856184005737</v>
      </c>
      <c r="AI81" s="8">
        <v>1.92957233428955</v>
      </c>
      <c r="AJ81" s="8">
        <v>6.53794222937689</v>
      </c>
      <c r="AK81" s="8">
        <v>4.15761127205354</v>
      </c>
      <c r="AL81" s="8">
        <v>0.421875</v>
      </c>
      <c r="AM81" s="8">
        <v>14.953125</v>
      </c>
      <c r="AN81" s="8">
        <v>6.2897720336914</v>
      </c>
      <c r="AO81" s="8">
        <v>0.6625</v>
      </c>
      <c r="AP81" s="8">
        <v>1.38750114440917</v>
      </c>
      <c r="AQ81" s="8">
        <v>2.5511360168457</v>
      </c>
      <c r="AR81" s="8">
        <v>8.0</v>
      </c>
      <c r="AS81" s="8">
        <v>2.0</v>
      </c>
      <c r="AT81" s="8">
        <v>2.0</v>
      </c>
      <c r="AU81" s="8">
        <v>0.0</v>
      </c>
      <c r="AV81" s="8">
        <v>0.177777777777777</v>
      </c>
      <c r="AW81" s="8">
        <v>0.0444444444444444</v>
      </c>
      <c r="AX81" s="8">
        <v>0.0444444444444444</v>
      </c>
      <c r="AY81" s="8">
        <v>0.0</v>
      </c>
      <c r="AZ81" s="8">
        <v>0.0</v>
      </c>
      <c r="BA81" s="8">
        <v>0.0</v>
      </c>
      <c r="BB81" s="8">
        <v>2.0</v>
      </c>
      <c r="BC81" s="8">
        <v>3.0</v>
      </c>
      <c r="BD81" s="8">
        <v>0.0</v>
      </c>
      <c r="BE81" s="8">
        <v>0.0</v>
      </c>
      <c r="BF81" s="8">
        <v>0.0444444444444444</v>
      </c>
      <c r="BG81" s="8">
        <v>0.0666666666666666</v>
      </c>
      <c r="BH81" s="8">
        <v>7.0</v>
      </c>
      <c r="BI81" s="8">
        <v>7.0</v>
      </c>
      <c r="BJ81" s="2"/>
      <c r="BK81" s="2"/>
      <c r="BL81" s="8">
        <v>0.0</v>
      </c>
      <c r="BM81" s="2" t="s">
        <v>1342</v>
      </c>
      <c r="BN81" s="2" t="s">
        <v>1343</v>
      </c>
      <c r="BO81" s="8">
        <v>75.0</v>
      </c>
      <c r="BP81" s="8">
        <v>603.0</v>
      </c>
      <c r="BQ81" s="8">
        <v>178.0</v>
      </c>
      <c r="BR81" s="8">
        <v>164.0</v>
      </c>
      <c r="BS81" s="8">
        <v>4.0</v>
      </c>
      <c r="BT81" s="8">
        <v>6.0</v>
      </c>
      <c r="BU81" s="10" t="b">
        <v>1</v>
      </c>
      <c r="BV81" s="10" t="b">
        <v>0</v>
      </c>
      <c r="BW81" s="10" t="b">
        <v>1</v>
      </c>
      <c r="BX81" s="2" t="s">
        <v>74</v>
      </c>
      <c r="BY81" s="8">
        <v>45.0</v>
      </c>
      <c r="BZ81" s="2"/>
      <c r="CA81" s="2"/>
    </row>
    <row r="82">
      <c r="A82" s="2" t="s">
        <v>1345</v>
      </c>
      <c r="B82" s="2" t="s">
        <v>121</v>
      </c>
      <c r="C82" s="8">
        <v>0.0</v>
      </c>
      <c r="D82" s="2" t="s">
        <v>71</v>
      </c>
      <c r="E82" s="2" t="s">
        <v>122</v>
      </c>
      <c r="F82" s="10" t="b">
        <v>1</v>
      </c>
      <c r="G82" s="2"/>
      <c r="H82" s="2"/>
      <c r="I82" s="2"/>
      <c r="J82" s="2"/>
      <c r="K82" s="2" t="s">
        <v>435</v>
      </c>
      <c r="L82" s="2" t="s">
        <v>1349</v>
      </c>
      <c r="M82" s="2"/>
      <c r="N82" s="2" t="s">
        <v>1350</v>
      </c>
      <c r="O82" s="2" t="s">
        <v>1351</v>
      </c>
      <c r="P82" s="10" t="b">
        <v>0</v>
      </c>
      <c r="Q82" s="2"/>
      <c r="R82" s="2"/>
      <c r="S82" s="8">
        <v>193.0</v>
      </c>
      <c r="T82" s="8">
        <v>167.0</v>
      </c>
      <c r="U82" s="8">
        <v>2.34967771000955</v>
      </c>
      <c r="V82" s="8">
        <v>71.0735771500003</v>
      </c>
      <c r="W82" s="8">
        <v>0.10540564463073</v>
      </c>
      <c r="X82" s="8">
        <v>1.61441850662231</v>
      </c>
      <c r="Y82" s="8">
        <v>8.78953078264247</v>
      </c>
      <c r="Z82" s="8">
        <v>0.21875</v>
      </c>
      <c r="AA82" s="8">
        <v>0.10540564463073</v>
      </c>
      <c r="AB82" s="8">
        <v>0.264559135996301</v>
      </c>
      <c r="AC82" s="11">
        <v>2.42490386881399E-6</v>
      </c>
      <c r="AD82" s="8">
        <v>1.61441850662231</v>
      </c>
      <c r="AE82" s="8">
        <v>0.00126001005992293</v>
      </c>
      <c r="AF82" s="8">
        <v>0.0294428458437323</v>
      </c>
      <c r="AG82" s="8">
        <v>0.366264683008194</v>
      </c>
      <c r="AH82" s="8">
        <v>0.696506959199905</v>
      </c>
      <c r="AI82" s="8">
        <v>1.14585469961166</v>
      </c>
      <c r="AJ82" s="8">
        <v>8.78953078264247</v>
      </c>
      <c r="AK82" s="8">
        <v>4.05947135897082</v>
      </c>
      <c r="AL82" s="8">
        <v>0.21875</v>
      </c>
      <c r="AM82" s="8">
        <v>16.5639209747314</v>
      </c>
      <c r="AN82" s="8">
        <v>9.63636398315429</v>
      </c>
      <c r="AO82" s="8">
        <v>0.935085487365722</v>
      </c>
      <c r="AP82" s="8">
        <v>2.35454559326171</v>
      </c>
      <c r="AQ82" s="8">
        <v>5.87002849578857</v>
      </c>
      <c r="AR82" s="8">
        <v>16.0</v>
      </c>
      <c r="AS82" s="8">
        <v>3.0</v>
      </c>
      <c r="AT82" s="8">
        <v>1.0</v>
      </c>
      <c r="AU82" s="8">
        <v>0.0</v>
      </c>
      <c r="AV82" s="8">
        <v>0.0958083832335329</v>
      </c>
      <c r="AW82" s="8">
        <v>0.0179640718562874</v>
      </c>
      <c r="AX82" s="8">
        <v>0.0059880239520958</v>
      </c>
      <c r="AY82" s="8">
        <v>0.0</v>
      </c>
      <c r="AZ82" s="8">
        <v>0.0</v>
      </c>
      <c r="BA82" s="8">
        <v>2.0</v>
      </c>
      <c r="BB82" s="8">
        <v>5.0</v>
      </c>
      <c r="BC82" s="8">
        <v>11.0</v>
      </c>
      <c r="BD82" s="8">
        <v>0.0</v>
      </c>
      <c r="BE82" s="8">
        <v>0.0119760479041916</v>
      </c>
      <c r="BF82" s="8">
        <v>0.029940119760479</v>
      </c>
      <c r="BG82" s="8">
        <v>0.0658682634730539</v>
      </c>
      <c r="BH82" s="8">
        <v>10.0</v>
      </c>
      <c r="BI82" s="8">
        <v>10.0</v>
      </c>
      <c r="BJ82" s="2"/>
      <c r="BK82" s="8">
        <v>10.0</v>
      </c>
      <c r="BL82" s="8">
        <v>10.0</v>
      </c>
      <c r="BM82" s="2" t="s">
        <v>1356</v>
      </c>
      <c r="BN82" s="2" t="s">
        <v>1357</v>
      </c>
      <c r="BO82" s="8">
        <v>44.0</v>
      </c>
      <c r="BP82" s="8">
        <v>507.0</v>
      </c>
      <c r="BQ82" s="8">
        <v>550.0</v>
      </c>
      <c r="BR82" s="8">
        <v>536.0</v>
      </c>
      <c r="BS82" s="8">
        <v>23.0</v>
      </c>
      <c r="BT82" s="8">
        <v>25.0</v>
      </c>
      <c r="BU82" s="10" t="b">
        <v>1</v>
      </c>
      <c r="BV82" s="10" t="b">
        <v>0</v>
      </c>
      <c r="BW82" s="10" t="b">
        <v>1</v>
      </c>
      <c r="BX82" s="2" t="s">
        <v>74</v>
      </c>
      <c r="BY82" s="8">
        <v>167.0</v>
      </c>
      <c r="BZ82" s="2"/>
      <c r="CA82" s="2"/>
    </row>
    <row r="83">
      <c r="A83" s="2" t="s">
        <v>1358</v>
      </c>
      <c r="B83" s="2" t="s">
        <v>121</v>
      </c>
      <c r="C83" s="8">
        <v>0.0</v>
      </c>
      <c r="D83" s="2" t="s">
        <v>71</v>
      </c>
      <c r="E83" s="2" t="s">
        <v>122</v>
      </c>
      <c r="F83" s="10" t="b">
        <v>1</v>
      </c>
      <c r="G83" s="2"/>
      <c r="H83" s="2"/>
      <c r="I83" s="2"/>
      <c r="J83" s="2"/>
      <c r="K83" s="2" t="s">
        <v>1359</v>
      </c>
      <c r="L83" s="2" t="s">
        <v>1360</v>
      </c>
      <c r="M83" s="2"/>
      <c r="N83" s="2" t="s">
        <v>1362</v>
      </c>
      <c r="O83" s="2" t="s">
        <v>1363</v>
      </c>
      <c r="P83" s="10" t="b">
        <v>0</v>
      </c>
      <c r="Q83" s="2"/>
      <c r="R83" s="2"/>
      <c r="S83" s="8">
        <v>229.0</v>
      </c>
      <c r="T83" s="8">
        <v>60.0</v>
      </c>
      <c r="U83" s="8">
        <v>2.31514818606058</v>
      </c>
      <c r="V83" s="8">
        <v>25.9162676329997</v>
      </c>
      <c r="W83" s="8">
        <v>0.308580199552913</v>
      </c>
      <c r="X83" s="8">
        <v>2.12955045700073</v>
      </c>
      <c r="Y83" s="8">
        <v>6.4842567761739</v>
      </c>
      <c r="Z83" s="8">
        <v>0.203125</v>
      </c>
      <c r="AA83" s="8">
        <v>0.308580199552913</v>
      </c>
      <c r="AB83" s="8">
        <v>0.524954536874227</v>
      </c>
      <c r="AC83" s="11">
        <v>9.40616591833531E-5</v>
      </c>
      <c r="AD83" s="8">
        <v>2.12955045700073</v>
      </c>
      <c r="AE83" s="8">
        <v>0.0183624941855669</v>
      </c>
      <c r="AF83" s="8">
        <v>0.476088225841522</v>
      </c>
      <c r="AG83" s="8">
        <v>1.13268004655838</v>
      </c>
      <c r="AH83" s="8">
        <v>1.41703831553459</v>
      </c>
      <c r="AI83" s="8">
        <v>2.0345992732048</v>
      </c>
      <c r="AJ83" s="8">
        <v>6.4842567761739</v>
      </c>
      <c r="AK83" s="8">
        <v>4.01783436452415</v>
      </c>
      <c r="AL83" s="8">
        <v>0.203125</v>
      </c>
      <c r="AM83" s="8">
        <v>12.9446029663085</v>
      </c>
      <c r="AN83" s="8">
        <v>7.16122245788574</v>
      </c>
      <c r="AO83" s="8">
        <v>0.692754364013672</v>
      </c>
      <c r="AP83" s="8">
        <v>1.1828125</v>
      </c>
      <c r="AQ83" s="8">
        <v>1.9222297668457</v>
      </c>
      <c r="AR83" s="8">
        <v>15.0</v>
      </c>
      <c r="AS83" s="8">
        <v>8.0</v>
      </c>
      <c r="AT83" s="8">
        <v>3.0</v>
      </c>
      <c r="AU83" s="8">
        <v>1.0</v>
      </c>
      <c r="AV83" s="8">
        <v>0.25</v>
      </c>
      <c r="AW83" s="8">
        <v>0.133333333333333</v>
      </c>
      <c r="AX83" s="8">
        <v>0.05</v>
      </c>
      <c r="AY83" s="8">
        <v>0.0166666666666666</v>
      </c>
      <c r="AZ83" s="8">
        <v>0.0</v>
      </c>
      <c r="BA83" s="8">
        <v>1.0</v>
      </c>
      <c r="BB83" s="8">
        <v>3.0</v>
      </c>
      <c r="BC83" s="8">
        <v>6.0</v>
      </c>
      <c r="BD83" s="8">
        <v>0.0</v>
      </c>
      <c r="BE83" s="8">
        <v>0.0166666666666666</v>
      </c>
      <c r="BF83" s="8">
        <v>0.05</v>
      </c>
      <c r="BG83" s="8">
        <v>0.1</v>
      </c>
      <c r="BH83" s="8">
        <v>7.0</v>
      </c>
      <c r="BI83" s="8">
        <v>17.0</v>
      </c>
      <c r="BJ83" s="8">
        <v>29.0</v>
      </c>
      <c r="BK83" s="8">
        <v>36.0</v>
      </c>
      <c r="BL83" s="8">
        <v>17.0</v>
      </c>
      <c r="BM83" s="2" t="s">
        <v>1367</v>
      </c>
      <c r="BN83" s="2" t="s">
        <v>1369</v>
      </c>
      <c r="BO83" s="8">
        <v>100.0</v>
      </c>
      <c r="BP83" s="8">
        <v>605.0</v>
      </c>
      <c r="BQ83" s="8">
        <v>214.0</v>
      </c>
      <c r="BR83" s="8">
        <v>200.0</v>
      </c>
      <c r="BS83" s="8">
        <v>3.0</v>
      </c>
      <c r="BT83" s="8">
        <v>5.0</v>
      </c>
      <c r="BU83" s="10" t="b">
        <v>1</v>
      </c>
      <c r="BV83" s="10" t="b">
        <v>0</v>
      </c>
      <c r="BW83" s="10" t="b">
        <v>1</v>
      </c>
      <c r="BX83" s="2" t="s">
        <v>74</v>
      </c>
      <c r="BY83" s="8">
        <v>60.0</v>
      </c>
      <c r="BZ83" s="2"/>
      <c r="CA83" s="2"/>
    </row>
    <row r="84">
      <c r="A84" s="2" t="s">
        <v>1373</v>
      </c>
      <c r="B84" s="2" t="s">
        <v>121</v>
      </c>
      <c r="C84" s="8">
        <v>0.0</v>
      </c>
      <c r="D84" s="2" t="s">
        <v>71</v>
      </c>
      <c r="E84" s="2" t="s">
        <v>122</v>
      </c>
      <c r="F84" s="10" t="b">
        <v>0</v>
      </c>
      <c r="G84" s="2" t="s">
        <v>198</v>
      </c>
      <c r="H84" s="2" t="s">
        <v>247</v>
      </c>
      <c r="I84" s="2" t="s">
        <v>1374</v>
      </c>
      <c r="J84" s="2"/>
      <c r="K84" s="2" t="s">
        <v>1375</v>
      </c>
      <c r="L84" s="2" t="s">
        <v>1376</v>
      </c>
      <c r="M84" s="2"/>
      <c r="N84" s="2" t="s">
        <v>1377</v>
      </c>
      <c r="O84" s="2" t="s">
        <v>1378</v>
      </c>
      <c r="P84" s="10" t="b">
        <v>0</v>
      </c>
      <c r="Q84" s="2"/>
      <c r="R84" s="2"/>
      <c r="S84" s="8">
        <v>150.0</v>
      </c>
      <c r="T84" s="8">
        <v>126.0</v>
      </c>
      <c r="U84" s="8">
        <v>2.3371027388774</v>
      </c>
      <c r="V84" s="8">
        <v>53.9129058830003</v>
      </c>
      <c r="W84" s="8">
        <v>0.0544752293419425</v>
      </c>
      <c r="X84" s="8">
        <v>1.15978848934173</v>
      </c>
      <c r="Y84" s="8">
        <v>10.3849943100459</v>
      </c>
      <c r="Z84" s="8">
        <v>0.305398941040039</v>
      </c>
      <c r="AA84" s="8">
        <v>0.0544752293419425</v>
      </c>
      <c r="AB84" s="8">
        <v>0.181848344118301</v>
      </c>
      <c r="AC84" s="11">
        <v>6.39845438854536E-6</v>
      </c>
      <c r="AD84" s="8">
        <v>1.15978848934173</v>
      </c>
      <c r="AE84" s="8">
        <v>3.41887309332378E-4</v>
      </c>
      <c r="AF84" s="8">
        <v>0.00241654342971742</v>
      </c>
      <c r="AG84" s="8">
        <v>0.0687640439718961</v>
      </c>
      <c r="AH84" s="8">
        <v>0.543486431241035</v>
      </c>
      <c r="AI84" s="8">
        <v>0.756812334060669</v>
      </c>
      <c r="AJ84" s="8">
        <v>10.3849943100459</v>
      </c>
      <c r="AK84" s="8">
        <v>3.65956976921236</v>
      </c>
      <c r="AL84" s="8">
        <v>0.305398941040039</v>
      </c>
      <c r="AM84" s="8">
        <v>16.3636360168457</v>
      </c>
      <c r="AN84" s="8">
        <v>11.60582447052</v>
      </c>
      <c r="AO84" s="8">
        <v>1.8984375</v>
      </c>
      <c r="AP84" s="8">
        <v>4.7073860168457</v>
      </c>
      <c r="AQ84" s="8">
        <v>9.04332447052002</v>
      </c>
      <c r="AR84" s="8">
        <v>8.0</v>
      </c>
      <c r="AS84" s="8">
        <v>1.0</v>
      </c>
      <c r="AT84" s="8">
        <v>0.0</v>
      </c>
      <c r="AU84" s="8">
        <v>0.0</v>
      </c>
      <c r="AV84" s="8">
        <v>0.0634920634920634</v>
      </c>
      <c r="AW84" s="8">
        <v>0.00793650793650793</v>
      </c>
      <c r="AX84" s="8">
        <v>0.0</v>
      </c>
      <c r="AY84" s="8">
        <v>0.0</v>
      </c>
      <c r="AZ84" s="8">
        <v>0.0</v>
      </c>
      <c r="BA84" s="8">
        <v>0.0</v>
      </c>
      <c r="BB84" s="8">
        <v>1.0</v>
      </c>
      <c r="BC84" s="8">
        <v>2.0</v>
      </c>
      <c r="BD84" s="8">
        <v>0.0</v>
      </c>
      <c r="BE84" s="8">
        <v>0.0</v>
      </c>
      <c r="BF84" s="8">
        <v>0.00793650793650793</v>
      </c>
      <c r="BG84" s="8">
        <v>0.0158730158730158</v>
      </c>
      <c r="BH84" s="8">
        <v>6.0</v>
      </c>
      <c r="BI84" s="2"/>
      <c r="BJ84" s="2"/>
      <c r="BK84" s="2"/>
      <c r="BL84" s="8">
        <v>122.0</v>
      </c>
      <c r="BM84" s="2" t="s">
        <v>1383</v>
      </c>
      <c r="BN84" s="2" t="s">
        <v>1384</v>
      </c>
      <c r="BO84" s="8">
        <v>68.0</v>
      </c>
      <c r="BP84" s="8">
        <v>490.0</v>
      </c>
      <c r="BQ84" s="8">
        <v>281.0</v>
      </c>
      <c r="BR84" s="8">
        <v>267.0</v>
      </c>
      <c r="BS84" s="8">
        <v>8.0</v>
      </c>
      <c r="BT84" s="8">
        <v>10.0</v>
      </c>
      <c r="BU84" s="10" t="b">
        <v>1</v>
      </c>
      <c r="BV84" s="10" t="b">
        <v>0</v>
      </c>
      <c r="BW84" s="10" t="b">
        <v>1</v>
      </c>
      <c r="BX84" s="2" t="s">
        <v>1385</v>
      </c>
      <c r="BY84" s="8">
        <v>126.0</v>
      </c>
      <c r="BZ84" s="2"/>
      <c r="CA84" s="2"/>
    </row>
    <row r="85">
      <c r="A85" s="2" t="s">
        <v>1386</v>
      </c>
      <c r="B85" s="2" t="s">
        <v>121</v>
      </c>
      <c r="C85" s="8">
        <v>0.0</v>
      </c>
      <c r="D85" s="2" t="s">
        <v>71</v>
      </c>
      <c r="E85" s="2" t="s">
        <v>122</v>
      </c>
      <c r="F85" s="10" t="b">
        <v>1</v>
      </c>
      <c r="G85" s="2"/>
      <c r="H85" s="2"/>
      <c r="I85" s="2"/>
      <c r="J85" s="2"/>
      <c r="K85" s="2" t="s">
        <v>1388</v>
      </c>
      <c r="L85" s="2" t="s">
        <v>1389</v>
      </c>
      <c r="M85" s="2"/>
      <c r="N85" s="2" t="s">
        <v>1391</v>
      </c>
      <c r="O85" s="2" t="s">
        <v>1393</v>
      </c>
      <c r="P85" s="10" t="b">
        <v>0</v>
      </c>
      <c r="Q85" s="2"/>
      <c r="R85" s="2"/>
      <c r="S85" s="8">
        <v>120.0</v>
      </c>
      <c r="T85" s="8">
        <v>132.0</v>
      </c>
      <c r="U85" s="8">
        <v>2.3488431065265</v>
      </c>
      <c r="V85" s="8">
        <v>56.1978787059997</v>
      </c>
      <c r="W85" s="8">
        <v>0.110150326177683</v>
      </c>
      <c r="X85" s="8">
        <v>1.46352410316467</v>
      </c>
      <c r="Y85" s="8">
        <v>9.70950146877404</v>
      </c>
      <c r="Z85" s="8">
        <v>0.362215042114257</v>
      </c>
      <c r="AA85" s="8">
        <v>0.110150326177683</v>
      </c>
      <c r="AB85" s="8">
        <v>0.283343890685163</v>
      </c>
      <c r="AC85" s="11">
        <v>8.69764426170149E-6</v>
      </c>
      <c r="AD85" s="8">
        <v>1.46352410316467</v>
      </c>
      <c r="AE85" s="8">
        <v>5.3852645214647E-4</v>
      </c>
      <c r="AF85" s="8">
        <v>0.0119157619774341</v>
      </c>
      <c r="AG85" s="8">
        <v>0.515052598714828</v>
      </c>
      <c r="AH85" s="8">
        <v>0.781152802705764</v>
      </c>
      <c r="AI85" s="8">
        <v>1.30534363865852</v>
      </c>
      <c r="AJ85" s="8">
        <v>9.70950146877404</v>
      </c>
      <c r="AK85" s="8">
        <v>4.28462031702187</v>
      </c>
      <c r="AL85" s="8">
        <v>0.362215042114257</v>
      </c>
      <c r="AM85" s="8">
        <v>16.2201709747314</v>
      </c>
      <c r="AN85" s="8">
        <v>11.0738649368286</v>
      </c>
      <c r="AO85" s="8">
        <v>1.10781173706054</v>
      </c>
      <c r="AP85" s="8">
        <v>2.21008529663085</v>
      </c>
      <c r="AQ85" s="8">
        <v>7.35955333709716</v>
      </c>
      <c r="AR85" s="8">
        <v>15.0</v>
      </c>
      <c r="AS85" s="8">
        <v>3.0</v>
      </c>
      <c r="AT85" s="8">
        <v>0.0</v>
      </c>
      <c r="AU85" s="8">
        <v>0.0</v>
      </c>
      <c r="AV85" s="8">
        <v>0.113636363636363</v>
      </c>
      <c r="AW85" s="8">
        <v>0.0227272727272727</v>
      </c>
      <c r="AX85" s="8">
        <v>0.0</v>
      </c>
      <c r="AY85" s="8">
        <v>0.0</v>
      </c>
      <c r="AZ85" s="8">
        <v>0.0</v>
      </c>
      <c r="BA85" s="8">
        <v>0.0</v>
      </c>
      <c r="BB85" s="8">
        <v>2.0</v>
      </c>
      <c r="BC85" s="8">
        <v>3.0</v>
      </c>
      <c r="BD85" s="8">
        <v>0.0</v>
      </c>
      <c r="BE85" s="8">
        <v>0.0</v>
      </c>
      <c r="BF85" s="8">
        <v>0.0151515151515151</v>
      </c>
      <c r="BG85" s="8">
        <v>0.0227272727272727</v>
      </c>
      <c r="BH85" s="8">
        <v>9.0</v>
      </c>
      <c r="BI85" s="2"/>
      <c r="BJ85" s="2"/>
      <c r="BK85" s="2"/>
      <c r="BL85" s="8">
        <v>13.0</v>
      </c>
      <c r="BM85" s="2" t="s">
        <v>1396</v>
      </c>
      <c r="BN85" s="2" t="s">
        <v>1399</v>
      </c>
      <c r="BO85" s="8">
        <v>97.0</v>
      </c>
      <c r="BP85" s="8">
        <v>470.0</v>
      </c>
      <c r="BQ85" s="8">
        <v>406.0</v>
      </c>
      <c r="BR85" s="8">
        <v>392.0</v>
      </c>
      <c r="BS85" s="8">
        <v>12.0</v>
      </c>
      <c r="BT85" s="8">
        <v>14.0</v>
      </c>
      <c r="BU85" s="10" t="b">
        <v>1</v>
      </c>
      <c r="BV85" s="10" t="b">
        <v>0</v>
      </c>
      <c r="BW85" s="10" t="b">
        <v>1</v>
      </c>
      <c r="BX85" s="2" t="s">
        <v>74</v>
      </c>
      <c r="BY85" s="8">
        <v>132.0</v>
      </c>
      <c r="BZ85" s="2"/>
      <c r="CA85" s="2"/>
    </row>
    <row r="86">
      <c r="A86" s="2" t="s">
        <v>1401</v>
      </c>
      <c r="B86" s="2" t="s">
        <v>121</v>
      </c>
      <c r="C86" s="8">
        <v>0.0</v>
      </c>
      <c r="D86" s="2" t="s">
        <v>71</v>
      </c>
      <c r="E86" s="2" t="s">
        <v>122</v>
      </c>
      <c r="F86" s="10" t="b">
        <v>1</v>
      </c>
      <c r="G86" s="2"/>
      <c r="H86" s="2"/>
      <c r="I86" s="2"/>
      <c r="J86" s="2"/>
      <c r="K86" s="2" t="s">
        <v>1402</v>
      </c>
      <c r="L86" s="2" t="s">
        <v>1403</v>
      </c>
      <c r="M86" s="2"/>
      <c r="N86" s="2" t="s">
        <v>1404</v>
      </c>
      <c r="O86" s="2" t="s">
        <v>1405</v>
      </c>
      <c r="P86" s="10" t="b">
        <v>0</v>
      </c>
      <c r="Q86" s="2"/>
      <c r="R86" s="2"/>
      <c r="S86" s="8">
        <v>130.0</v>
      </c>
      <c r="T86" s="8">
        <v>65.0</v>
      </c>
      <c r="U86" s="8">
        <v>2.34078606983801</v>
      </c>
      <c r="V86" s="8">
        <v>27.768449598001</v>
      </c>
      <c r="W86" s="8">
        <v>0.0822868804642986</v>
      </c>
      <c r="X86" s="8">
        <v>1.02164804935455</v>
      </c>
      <c r="Y86" s="8">
        <v>9.8249786230234</v>
      </c>
      <c r="Z86" s="8">
        <v>0.578125</v>
      </c>
      <c r="AA86" s="8">
        <v>0.0822868804642986</v>
      </c>
      <c r="AB86" s="8">
        <v>0.207344193427193</v>
      </c>
      <c r="AC86" s="11">
        <v>3.14670757006751E-7</v>
      </c>
      <c r="AD86" s="8">
        <v>1.02164804935455</v>
      </c>
      <c r="AE86" s="8">
        <v>5.33080310560762E-4</v>
      </c>
      <c r="AF86" s="8">
        <v>0.0143780065700411</v>
      </c>
      <c r="AG86" s="8">
        <v>0.271381324529647</v>
      </c>
      <c r="AH86" s="8">
        <v>0.610089039802551</v>
      </c>
      <c r="AI86" s="8">
        <v>0.896762833595275</v>
      </c>
      <c r="AJ86" s="8">
        <v>9.8249786230234</v>
      </c>
      <c r="AK86" s="8">
        <v>4.56313123297621</v>
      </c>
      <c r="AL86" s="8">
        <v>0.578125</v>
      </c>
      <c r="AM86" s="8">
        <v>18.9460220336914</v>
      </c>
      <c r="AN86" s="8">
        <v>10.96875</v>
      </c>
      <c r="AO86" s="8">
        <v>1.32869338989257</v>
      </c>
      <c r="AP86" s="8">
        <v>3.05823974609375</v>
      </c>
      <c r="AQ86" s="8">
        <v>6.3636360168457</v>
      </c>
      <c r="AR86" s="8">
        <v>5.0</v>
      </c>
      <c r="AS86" s="8">
        <v>1.0</v>
      </c>
      <c r="AT86" s="8">
        <v>0.0</v>
      </c>
      <c r="AU86" s="8">
        <v>0.0</v>
      </c>
      <c r="AV86" s="8">
        <v>0.0769230769230769</v>
      </c>
      <c r="AW86" s="8">
        <v>0.0153846153846153</v>
      </c>
      <c r="AX86" s="8">
        <v>0.0</v>
      </c>
      <c r="AY86" s="8">
        <v>0.0</v>
      </c>
      <c r="AZ86" s="8">
        <v>0.0</v>
      </c>
      <c r="BA86" s="8">
        <v>0.0</v>
      </c>
      <c r="BB86" s="8">
        <v>0.0</v>
      </c>
      <c r="BC86" s="8">
        <v>3.0</v>
      </c>
      <c r="BD86" s="8">
        <v>0.0</v>
      </c>
      <c r="BE86" s="8">
        <v>0.0</v>
      </c>
      <c r="BF86" s="8">
        <v>0.0</v>
      </c>
      <c r="BG86" s="8">
        <v>0.0461538461538461</v>
      </c>
      <c r="BH86" s="8">
        <v>13.0</v>
      </c>
      <c r="BI86" s="2"/>
      <c r="BJ86" s="2"/>
      <c r="BK86" s="2"/>
      <c r="BL86" s="2"/>
      <c r="BM86" s="2" t="s">
        <v>1410</v>
      </c>
      <c r="BN86" s="2" t="s">
        <v>1411</v>
      </c>
      <c r="BO86" s="8">
        <v>121.0</v>
      </c>
      <c r="BP86" s="8">
        <v>506.0</v>
      </c>
      <c r="BQ86" s="8">
        <v>181.0</v>
      </c>
      <c r="BR86" s="8">
        <v>167.0</v>
      </c>
      <c r="BS86" s="8">
        <v>6.0</v>
      </c>
      <c r="BT86" s="8">
        <v>8.0</v>
      </c>
      <c r="BU86" s="10" t="b">
        <v>1</v>
      </c>
      <c r="BV86" s="10" t="b">
        <v>0</v>
      </c>
      <c r="BW86" s="10" t="b">
        <v>1</v>
      </c>
      <c r="BX86" s="2" t="s">
        <v>74</v>
      </c>
      <c r="BY86" s="8">
        <v>65.0</v>
      </c>
      <c r="BZ86" s="2"/>
      <c r="CA86" s="2"/>
    </row>
    <row r="87">
      <c r="A87" s="2" t="s">
        <v>1412</v>
      </c>
      <c r="B87" s="2" t="s">
        <v>121</v>
      </c>
      <c r="C87" s="8">
        <v>0.0</v>
      </c>
      <c r="D87" s="2" t="s">
        <v>71</v>
      </c>
      <c r="E87" s="2" t="s">
        <v>122</v>
      </c>
      <c r="F87" s="10" t="b">
        <v>1</v>
      </c>
      <c r="G87" s="2"/>
      <c r="H87" s="2"/>
      <c r="I87" s="2"/>
      <c r="J87" s="2"/>
      <c r="K87" s="2" t="s">
        <v>1414</v>
      </c>
      <c r="L87" s="2" t="s">
        <v>1416</v>
      </c>
      <c r="M87" s="2"/>
      <c r="N87" s="2" t="s">
        <v>1418</v>
      </c>
      <c r="O87" s="2" t="s">
        <v>1419</v>
      </c>
      <c r="P87" s="10" t="b">
        <v>0</v>
      </c>
      <c r="Q87" s="2"/>
      <c r="R87" s="2"/>
      <c r="S87" s="8">
        <v>262.0</v>
      </c>
      <c r="T87" s="8">
        <v>49.0</v>
      </c>
      <c r="U87" s="8">
        <v>2.31694453790954</v>
      </c>
      <c r="V87" s="8">
        <v>21.1485424869988</v>
      </c>
      <c r="W87" s="8">
        <v>0.253702276154937</v>
      </c>
      <c r="X87" s="8">
        <v>1.72465515136718</v>
      </c>
      <c r="Y87" s="8">
        <v>7.00433431352887</v>
      </c>
      <c r="Z87" s="8">
        <v>0.0852279663085937</v>
      </c>
      <c r="AA87" s="8">
        <v>0.253702276154937</v>
      </c>
      <c r="AB87" s="8">
        <v>0.459282756360836</v>
      </c>
      <c r="AC87" s="11">
        <v>2.30393543461104E-5</v>
      </c>
      <c r="AD87" s="8">
        <v>1.72465515136718</v>
      </c>
      <c r="AE87" s="8">
        <v>0.00870355404913425</v>
      </c>
      <c r="AF87" s="8">
        <v>0.237803786993026</v>
      </c>
      <c r="AG87" s="8">
        <v>0.880276536941528</v>
      </c>
      <c r="AH87" s="8">
        <v>1.38389980792999</v>
      </c>
      <c r="AI87" s="8">
        <v>1.67356208801269</v>
      </c>
      <c r="AJ87" s="8">
        <v>7.00433431352887</v>
      </c>
      <c r="AK87" s="8">
        <v>4.45600010292361</v>
      </c>
      <c r="AL87" s="8">
        <v>0.0852279663085937</v>
      </c>
      <c r="AM87" s="8">
        <v>14.7904834747314</v>
      </c>
      <c r="AN87" s="8">
        <v>7.41477394104003</v>
      </c>
      <c r="AO87" s="8">
        <v>0.423863983154296</v>
      </c>
      <c r="AP87" s="8">
        <v>0.858522415161132</v>
      </c>
      <c r="AQ87" s="8">
        <v>3.21022796630859</v>
      </c>
      <c r="AR87" s="8">
        <v>10.0</v>
      </c>
      <c r="AS87" s="8">
        <v>4.0</v>
      </c>
      <c r="AT87" s="8">
        <v>2.0</v>
      </c>
      <c r="AU87" s="8">
        <v>0.0</v>
      </c>
      <c r="AV87" s="8">
        <v>0.204081632653061</v>
      </c>
      <c r="AW87" s="8">
        <v>0.0816326530612244</v>
      </c>
      <c r="AX87" s="8">
        <v>0.0408163265306122</v>
      </c>
      <c r="AY87" s="8">
        <v>0.0</v>
      </c>
      <c r="AZ87" s="8">
        <v>1.0</v>
      </c>
      <c r="BA87" s="8">
        <v>1.0</v>
      </c>
      <c r="BB87" s="8">
        <v>4.0</v>
      </c>
      <c r="BC87" s="8">
        <v>7.0</v>
      </c>
      <c r="BD87" s="8">
        <v>0.0204081632653061</v>
      </c>
      <c r="BE87" s="8">
        <v>0.0204081632653061</v>
      </c>
      <c r="BF87" s="8">
        <v>0.0816326530612244</v>
      </c>
      <c r="BG87" s="8">
        <v>0.142857142857142</v>
      </c>
      <c r="BH87" s="8">
        <v>6.0</v>
      </c>
      <c r="BI87" s="8">
        <v>6.0</v>
      </c>
      <c r="BJ87" s="2"/>
      <c r="BK87" s="8">
        <v>26.0</v>
      </c>
      <c r="BL87" s="8">
        <v>14.0</v>
      </c>
      <c r="BM87" s="2" t="s">
        <v>1424</v>
      </c>
      <c r="BN87" s="2" t="s">
        <v>1426</v>
      </c>
      <c r="BO87" s="8">
        <v>82.0</v>
      </c>
      <c r="BP87" s="8">
        <v>626.0</v>
      </c>
      <c r="BQ87" s="8">
        <v>201.0</v>
      </c>
      <c r="BR87" s="8">
        <v>187.0</v>
      </c>
      <c r="BS87" s="8">
        <v>3.0</v>
      </c>
      <c r="BT87" s="8">
        <v>5.0</v>
      </c>
      <c r="BU87" s="10" t="b">
        <v>1</v>
      </c>
      <c r="BV87" s="10" t="b">
        <v>0</v>
      </c>
      <c r="BW87" s="10" t="b">
        <v>1</v>
      </c>
      <c r="BX87" s="2" t="s">
        <v>74</v>
      </c>
      <c r="BY87" s="8">
        <v>49.0</v>
      </c>
      <c r="BZ87" s="2"/>
      <c r="CA87" s="2"/>
    </row>
    <row r="88">
      <c r="A88" s="2" t="s">
        <v>1427</v>
      </c>
      <c r="B88" s="2" t="s">
        <v>121</v>
      </c>
      <c r="C88" s="8">
        <v>0.0</v>
      </c>
      <c r="D88" s="2" t="s">
        <v>71</v>
      </c>
      <c r="E88" s="2" t="s">
        <v>122</v>
      </c>
      <c r="F88" s="10" t="b">
        <v>1</v>
      </c>
      <c r="G88" s="2"/>
      <c r="H88" s="2"/>
      <c r="I88" s="2"/>
      <c r="J88" s="2"/>
      <c r="K88" s="2" t="s">
        <v>1428</v>
      </c>
      <c r="L88" s="2" t="s">
        <v>1429</v>
      </c>
      <c r="M88" s="2"/>
      <c r="N88" s="2" t="s">
        <v>1430</v>
      </c>
      <c r="O88" s="2" t="s">
        <v>1431</v>
      </c>
      <c r="P88" s="10" t="b">
        <v>0</v>
      </c>
      <c r="Q88" s="2"/>
      <c r="R88" s="2"/>
      <c r="S88" s="8">
        <v>128.0</v>
      </c>
      <c r="T88" s="8">
        <v>31.0</v>
      </c>
      <c r="U88" s="8">
        <v>2.34485766862832</v>
      </c>
      <c r="V88" s="8">
        <v>13.2204186270009</v>
      </c>
      <c r="W88" s="8">
        <v>0.194448812302271</v>
      </c>
      <c r="X88" s="8">
        <v>1.15328550338745</v>
      </c>
      <c r="Y88" s="8">
        <v>7.67684690413936</v>
      </c>
      <c r="Z88" s="8">
        <v>0.203125</v>
      </c>
      <c r="AA88" s="8">
        <v>0.194448812302271</v>
      </c>
      <c r="AB88" s="8">
        <v>0.345355341649354</v>
      </c>
      <c r="AC88" s="11">
        <v>1.39652829602709E-5</v>
      </c>
      <c r="AD88" s="8">
        <v>1.15328550338745</v>
      </c>
      <c r="AE88" s="8">
        <v>0.00388248800300061</v>
      </c>
      <c r="AF88" s="8">
        <v>0.255963124334812</v>
      </c>
      <c r="AG88" s="8">
        <v>0.766252219676971</v>
      </c>
      <c r="AH88" s="8">
        <v>0.964424848556518</v>
      </c>
      <c r="AI88" s="8">
        <v>1.13471864461898</v>
      </c>
      <c r="AJ88" s="8">
        <v>7.67684690413936</v>
      </c>
      <c r="AK88" s="8">
        <v>4.60603118192819</v>
      </c>
      <c r="AL88" s="8">
        <v>0.203125</v>
      </c>
      <c r="AM88" s="8">
        <v>15.5724430084228</v>
      </c>
      <c r="AN88" s="8">
        <v>8.5</v>
      </c>
      <c r="AO88" s="8">
        <v>0.627131462097168</v>
      </c>
      <c r="AP88" s="8">
        <v>0.852272033691406</v>
      </c>
      <c r="AQ88" s="8">
        <v>3.09019947052001</v>
      </c>
      <c r="AR88" s="8">
        <v>5.0</v>
      </c>
      <c r="AS88" s="8">
        <v>2.0</v>
      </c>
      <c r="AT88" s="8">
        <v>0.0</v>
      </c>
      <c r="AU88" s="8">
        <v>0.0</v>
      </c>
      <c r="AV88" s="8">
        <v>0.161290322580645</v>
      </c>
      <c r="AW88" s="8">
        <v>0.064516129032258</v>
      </c>
      <c r="AX88" s="8">
        <v>0.0</v>
      </c>
      <c r="AY88" s="8">
        <v>0.0</v>
      </c>
      <c r="AZ88" s="8">
        <v>0.0</v>
      </c>
      <c r="BA88" s="8">
        <v>1.0</v>
      </c>
      <c r="BB88" s="8">
        <v>1.0</v>
      </c>
      <c r="BC88" s="8">
        <v>5.0</v>
      </c>
      <c r="BD88" s="8">
        <v>0.0</v>
      </c>
      <c r="BE88" s="8">
        <v>0.032258064516129</v>
      </c>
      <c r="BF88" s="8">
        <v>0.032258064516129</v>
      </c>
      <c r="BG88" s="8">
        <v>0.161290322580645</v>
      </c>
      <c r="BH88" s="8">
        <v>9.0</v>
      </c>
      <c r="BI88" s="2"/>
      <c r="BJ88" s="2"/>
      <c r="BK88" s="8">
        <v>28.0</v>
      </c>
      <c r="BL88" s="8">
        <v>28.0</v>
      </c>
      <c r="BM88" s="2" t="s">
        <v>1436</v>
      </c>
      <c r="BN88" s="2" t="s">
        <v>1437</v>
      </c>
      <c r="BO88" s="8">
        <v>119.0</v>
      </c>
      <c r="BP88" s="8">
        <v>466.0</v>
      </c>
      <c r="BQ88" s="8">
        <v>85.0</v>
      </c>
      <c r="BR88" s="8">
        <v>71.0</v>
      </c>
      <c r="BS88" s="8">
        <v>2.0</v>
      </c>
      <c r="BT88" s="8">
        <v>4.0</v>
      </c>
      <c r="BU88" s="10" t="b">
        <v>1</v>
      </c>
      <c r="BV88" s="10" t="b">
        <v>0</v>
      </c>
      <c r="BW88" s="10" t="b">
        <v>1</v>
      </c>
      <c r="BX88" s="2" t="s">
        <v>74</v>
      </c>
      <c r="BY88" s="8">
        <v>31.0</v>
      </c>
      <c r="BZ88" s="2"/>
      <c r="CA88" s="2"/>
    </row>
    <row r="89">
      <c r="A89" s="2" t="s">
        <v>1438</v>
      </c>
      <c r="B89" s="2" t="s">
        <v>121</v>
      </c>
      <c r="C89" s="8">
        <v>0.0</v>
      </c>
      <c r="D89" s="2" t="s">
        <v>71</v>
      </c>
      <c r="E89" s="2" t="s">
        <v>122</v>
      </c>
      <c r="F89" s="10" t="b">
        <v>1</v>
      </c>
      <c r="G89" s="2"/>
      <c r="H89" s="2"/>
      <c r="I89" s="2"/>
      <c r="J89" s="2"/>
      <c r="K89" s="2" t="s">
        <v>1439</v>
      </c>
      <c r="L89" s="2" t="s">
        <v>1440</v>
      </c>
      <c r="M89" s="2"/>
      <c r="N89" s="2" t="s">
        <v>1441</v>
      </c>
      <c r="O89" s="2" t="s">
        <v>1442</v>
      </c>
      <c r="P89" s="10" t="b">
        <v>0</v>
      </c>
      <c r="Q89" s="2"/>
      <c r="R89" s="2"/>
      <c r="S89" s="8">
        <v>158.0</v>
      </c>
      <c r="T89" s="8">
        <v>147.0</v>
      </c>
      <c r="U89" s="8">
        <v>2.33759621389918</v>
      </c>
      <c r="V89" s="8">
        <v>62.885112119</v>
      </c>
      <c r="W89" s="8">
        <v>0.0826591896879182</v>
      </c>
      <c r="X89" s="8">
        <v>1.16956138610839</v>
      </c>
      <c r="Y89" s="8">
        <v>9.52372787761039</v>
      </c>
      <c r="Z89" s="8">
        <v>0.171875</v>
      </c>
      <c r="AA89" s="8">
        <v>0.0826591896879182</v>
      </c>
      <c r="AB89" s="8">
        <v>0.217065506000093</v>
      </c>
      <c r="AC89" s="11">
        <v>1.14234935608692E-5</v>
      </c>
      <c r="AD89" s="8">
        <v>1.16956138610839</v>
      </c>
      <c r="AE89" s="8">
        <v>6.91333611030131E-4</v>
      </c>
      <c r="AF89" s="8">
        <v>0.00994372833520174</v>
      </c>
      <c r="AG89" s="8">
        <v>0.336344224214553</v>
      </c>
      <c r="AH89" s="8">
        <v>0.644883096218107</v>
      </c>
      <c r="AI89" s="8">
        <v>0.879353551864623</v>
      </c>
      <c r="AJ89" s="8">
        <v>9.52372787761039</v>
      </c>
      <c r="AK89" s="8">
        <v>3.91874155052018</v>
      </c>
      <c r="AL89" s="8">
        <v>0.171875</v>
      </c>
      <c r="AM89" s="8">
        <v>15.49289894104</v>
      </c>
      <c r="AN89" s="8">
        <v>10.5696029663085</v>
      </c>
      <c r="AO89" s="8">
        <v>1.457954788208</v>
      </c>
      <c r="AP89" s="8">
        <v>2.82670440673828</v>
      </c>
      <c r="AQ89" s="8">
        <v>7.66867923736572</v>
      </c>
      <c r="AR89" s="8">
        <v>11.0</v>
      </c>
      <c r="AS89" s="8">
        <v>1.0</v>
      </c>
      <c r="AT89" s="8">
        <v>0.0</v>
      </c>
      <c r="AU89" s="8">
        <v>0.0</v>
      </c>
      <c r="AV89" s="8">
        <v>0.0748299319727891</v>
      </c>
      <c r="AW89" s="8">
        <v>0.00680272108843537</v>
      </c>
      <c r="AX89" s="8">
        <v>0.0</v>
      </c>
      <c r="AY89" s="8">
        <v>0.0</v>
      </c>
      <c r="AZ89" s="8">
        <v>0.0</v>
      </c>
      <c r="BA89" s="8">
        <v>1.0</v>
      </c>
      <c r="BB89" s="8">
        <v>5.0</v>
      </c>
      <c r="BC89" s="8">
        <v>6.0</v>
      </c>
      <c r="BD89" s="8">
        <v>0.0</v>
      </c>
      <c r="BE89" s="8">
        <v>0.00680272108843537</v>
      </c>
      <c r="BF89" s="8">
        <v>0.0340136054421768</v>
      </c>
      <c r="BG89" s="8">
        <v>0.0408163265306122</v>
      </c>
      <c r="BH89" s="8">
        <v>9.0</v>
      </c>
      <c r="BI89" s="2"/>
      <c r="BJ89" s="2"/>
      <c r="BK89" s="8">
        <v>50.0</v>
      </c>
      <c r="BL89" s="8">
        <v>0.0</v>
      </c>
      <c r="BM89" s="2" t="s">
        <v>1447</v>
      </c>
      <c r="BN89" s="2" t="s">
        <v>1448</v>
      </c>
      <c r="BO89" s="8">
        <v>101.0</v>
      </c>
      <c r="BP89" s="8">
        <v>559.0</v>
      </c>
      <c r="BQ89" s="8">
        <v>400.0</v>
      </c>
      <c r="BR89" s="8">
        <v>386.0</v>
      </c>
      <c r="BS89" s="8">
        <v>10.0</v>
      </c>
      <c r="BT89" s="8">
        <v>12.0</v>
      </c>
      <c r="BU89" s="10" t="b">
        <v>1</v>
      </c>
      <c r="BV89" s="10" t="b">
        <v>1</v>
      </c>
      <c r="BW89" s="10" t="b">
        <v>1</v>
      </c>
      <c r="BX89" s="2" t="s">
        <v>74</v>
      </c>
      <c r="BY89" s="8">
        <v>147.0</v>
      </c>
      <c r="BZ89" s="2"/>
      <c r="CA89" s="2"/>
    </row>
    <row r="90">
      <c r="A90" s="2" t="s">
        <v>1449</v>
      </c>
      <c r="B90" s="2" t="s">
        <v>121</v>
      </c>
      <c r="C90" s="8">
        <v>0.0</v>
      </c>
      <c r="D90" s="2" t="s">
        <v>71</v>
      </c>
      <c r="E90" s="2" t="s">
        <v>122</v>
      </c>
      <c r="F90" s="10" t="b">
        <v>0</v>
      </c>
      <c r="G90" s="2" t="s">
        <v>198</v>
      </c>
      <c r="H90" s="2" t="s">
        <v>247</v>
      </c>
      <c r="I90" s="2" t="s">
        <v>1450</v>
      </c>
      <c r="J90" s="2"/>
      <c r="K90" s="2" t="s">
        <v>1451</v>
      </c>
      <c r="L90" s="2" t="s">
        <v>1452</v>
      </c>
      <c r="M90" s="2"/>
      <c r="N90" s="2" t="s">
        <v>1453</v>
      </c>
      <c r="O90" s="2" t="s">
        <v>1455</v>
      </c>
      <c r="P90" s="10" t="b">
        <v>0</v>
      </c>
      <c r="Q90" s="2"/>
      <c r="R90" s="2"/>
      <c r="S90" s="8">
        <v>107.0</v>
      </c>
      <c r="T90" s="8">
        <v>179.0</v>
      </c>
      <c r="U90" s="8">
        <v>2.34953632420226</v>
      </c>
      <c r="V90" s="8">
        <v>76.1852447890014</v>
      </c>
      <c r="W90" s="8">
        <v>0.110089334915725</v>
      </c>
      <c r="X90" s="8">
        <v>1.63876032829284</v>
      </c>
      <c r="Y90" s="8">
        <v>8.98372862725284</v>
      </c>
      <c r="Z90" s="8">
        <v>0.125</v>
      </c>
      <c r="AA90" s="8">
        <v>0.110089334915725</v>
      </c>
      <c r="AB90" s="8">
        <v>0.282449008849381</v>
      </c>
      <c r="AC90" s="11">
        <v>1.67477483046241E-5</v>
      </c>
      <c r="AD90" s="8">
        <v>1.63876032829284</v>
      </c>
      <c r="AE90" s="8">
        <v>0.00109958392567932</v>
      </c>
      <c r="AF90" s="8">
        <v>0.0195950251072645</v>
      </c>
      <c r="AG90" s="8">
        <v>0.472980850934982</v>
      </c>
      <c r="AH90" s="8">
        <v>0.816683000326156</v>
      </c>
      <c r="AI90" s="8">
        <v>1.21737436056137</v>
      </c>
      <c r="AJ90" s="8">
        <v>8.98372862725284</v>
      </c>
      <c r="AK90" s="8">
        <v>4.04370950072529</v>
      </c>
      <c r="AL90" s="8">
        <v>0.125</v>
      </c>
      <c r="AM90" s="8">
        <v>15.0426139831542</v>
      </c>
      <c r="AN90" s="8">
        <v>9.92897796630859</v>
      </c>
      <c r="AO90" s="8">
        <v>1.25326766967773</v>
      </c>
      <c r="AP90" s="8">
        <v>1.91818161010742</v>
      </c>
      <c r="AQ90" s="8">
        <v>6.36434745788574</v>
      </c>
      <c r="AR90" s="8">
        <v>17.0</v>
      </c>
      <c r="AS90" s="8">
        <v>6.0</v>
      </c>
      <c r="AT90" s="8">
        <v>1.0</v>
      </c>
      <c r="AU90" s="8">
        <v>0.0</v>
      </c>
      <c r="AV90" s="8">
        <v>0.0949720670391061</v>
      </c>
      <c r="AW90" s="8">
        <v>0.0335195530726257</v>
      </c>
      <c r="AX90" s="8">
        <v>0.00558659217877095</v>
      </c>
      <c r="AY90" s="8">
        <v>0.0</v>
      </c>
      <c r="AZ90" s="8">
        <v>0.0</v>
      </c>
      <c r="BA90" s="8">
        <v>1.0</v>
      </c>
      <c r="BB90" s="8">
        <v>6.0</v>
      </c>
      <c r="BC90" s="8">
        <v>7.0</v>
      </c>
      <c r="BD90" s="8">
        <v>0.0</v>
      </c>
      <c r="BE90" s="8">
        <v>0.00558659217877095</v>
      </c>
      <c r="BF90" s="8">
        <v>0.0335195530726257</v>
      </c>
      <c r="BG90" s="8">
        <v>0.0391061452513966</v>
      </c>
      <c r="BH90" s="8">
        <v>4.0</v>
      </c>
      <c r="BI90" s="8">
        <v>7.0</v>
      </c>
      <c r="BJ90" s="2"/>
      <c r="BK90" s="8">
        <v>7.0</v>
      </c>
      <c r="BL90" s="8">
        <v>7.0</v>
      </c>
      <c r="BM90" s="2" t="s">
        <v>1460</v>
      </c>
      <c r="BN90" s="2" t="s">
        <v>1461</v>
      </c>
      <c r="BO90" s="8">
        <v>86.0</v>
      </c>
      <c r="BP90" s="8">
        <v>465.0</v>
      </c>
      <c r="BQ90" s="8">
        <v>599.0</v>
      </c>
      <c r="BR90" s="8">
        <v>585.0</v>
      </c>
      <c r="BS90" s="8">
        <v>20.0</v>
      </c>
      <c r="BT90" s="8">
        <v>22.0</v>
      </c>
      <c r="BU90" s="10" t="b">
        <v>1</v>
      </c>
      <c r="BV90" s="10" t="b">
        <v>0</v>
      </c>
      <c r="BW90" s="10" t="b">
        <v>1</v>
      </c>
      <c r="BX90" s="2" t="s">
        <v>1462</v>
      </c>
      <c r="BY90" s="8">
        <v>179.0</v>
      </c>
      <c r="BZ90" s="2"/>
      <c r="CA90" s="2"/>
    </row>
    <row r="91">
      <c r="A91" s="2" t="s">
        <v>1463</v>
      </c>
      <c r="B91" s="2" t="s">
        <v>121</v>
      </c>
      <c r="C91" s="8">
        <v>0.0</v>
      </c>
      <c r="D91" s="2" t="s">
        <v>71</v>
      </c>
      <c r="E91" s="2" t="s">
        <v>122</v>
      </c>
      <c r="F91" s="10" t="b">
        <v>1</v>
      </c>
      <c r="G91" s="2"/>
      <c r="H91" s="2"/>
      <c r="I91" s="2"/>
      <c r="J91" s="2"/>
      <c r="K91" s="2" t="s">
        <v>1464</v>
      </c>
      <c r="L91" s="2" t="s">
        <v>1465</v>
      </c>
      <c r="M91" s="2"/>
      <c r="N91" s="2" t="s">
        <v>1466</v>
      </c>
      <c r="O91" s="2" t="s">
        <v>1467</v>
      </c>
      <c r="P91" s="10" t="b">
        <v>0</v>
      </c>
      <c r="Q91" s="2"/>
      <c r="R91" s="2"/>
      <c r="S91" s="8">
        <v>116.0</v>
      </c>
      <c r="T91" s="8">
        <v>133.0</v>
      </c>
      <c r="U91" s="8">
        <v>2.35562973196794</v>
      </c>
      <c r="V91" s="8">
        <v>56.4604862110009</v>
      </c>
      <c r="W91" s="8">
        <v>0.241422033312317</v>
      </c>
      <c r="X91" s="8">
        <v>2.73562383651733</v>
      </c>
      <c r="Y91" s="8">
        <v>7.52390764709702</v>
      </c>
      <c r="Z91" s="8">
        <v>0.0440330505371093</v>
      </c>
      <c r="AA91" s="8">
        <v>0.241422033312317</v>
      </c>
      <c r="AB91" s="8">
        <v>0.466446686546687</v>
      </c>
      <c r="AC91" s="11">
        <v>5.08749599248403E-6</v>
      </c>
      <c r="AD91" s="8">
        <v>2.73562383651733</v>
      </c>
      <c r="AE91" s="8">
        <v>0.00365979457274079</v>
      </c>
      <c r="AF91" s="8">
        <v>0.279909789562225</v>
      </c>
      <c r="AG91" s="8">
        <v>0.845654833316802</v>
      </c>
      <c r="AH91" s="8">
        <v>1.2469164609909</v>
      </c>
      <c r="AI91" s="8">
        <v>1.84400640964508</v>
      </c>
      <c r="AJ91" s="8">
        <v>7.52390764709702</v>
      </c>
      <c r="AK91" s="8">
        <v>4.51213811252368</v>
      </c>
      <c r="AL91" s="8">
        <v>0.0440330505371093</v>
      </c>
      <c r="AM91" s="8">
        <v>15.5397720336914</v>
      </c>
      <c r="AN91" s="8">
        <v>8.546875</v>
      </c>
      <c r="AO91" s="8">
        <v>0.573011016845703</v>
      </c>
      <c r="AP91" s="8">
        <v>0.970738220214843</v>
      </c>
      <c r="AQ91" s="8">
        <v>3.01136398315429</v>
      </c>
      <c r="AR91" s="8">
        <v>27.0</v>
      </c>
      <c r="AS91" s="8">
        <v>10.0</v>
      </c>
      <c r="AT91" s="8">
        <v>5.0</v>
      </c>
      <c r="AU91" s="8">
        <v>1.0</v>
      </c>
      <c r="AV91" s="8">
        <v>0.203007518796992</v>
      </c>
      <c r="AW91" s="8">
        <v>0.075187969924812</v>
      </c>
      <c r="AX91" s="8">
        <v>0.037593984962406</v>
      </c>
      <c r="AY91" s="8">
        <v>0.0075187969924812</v>
      </c>
      <c r="AZ91" s="8">
        <v>2.0</v>
      </c>
      <c r="BA91" s="8">
        <v>4.0</v>
      </c>
      <c r="BB91" s="8">
        <v>6.0</v>
      </c>
      <c r="BC91" s="8">
        <v>14.0</v>
      </c>
      <c r="BD91" s="8">
        <v>0.0150375939849624</v>
      </c>
      <c r="BE91" s="8">
        <v>0.0300751879699248</v>
      </c>
      <c r="BF91" s="8">
        <v>0.0451127819548872</v>
      </c>
      <c r="BG91" s="8">
        <v>0.105263157894736</v>
      </c>
      <c r="BH91" s="8">
        <v>7.0</v>
      </c>
      <c r="BI91" s="8">
        <v>10.0</v>
      </c>
      <c r="BJ91" s="8">
        <v>18.0</v>
      </c>
      <c r="BK91" s="8">
        <v>28.0</v>
      </c>
      <c r="BL91" s="8">
        <v>12.0</v>
      </c>
      <c r="BM91" s="2" t="s">
        <v>1472</v>
      </c>
      <c r="BN91" s="2" t="s">
        <v>1474</v>
      </c>
      <c r="BO91" s="8">
        <v>155.0</v>
      </c>
      <c r="BP91" s="8">
        <v>545.0</v>
      </c>
      <c r="BQ91" s="8">
        <v>530.0</v>
      </c>
      <c r="BR91" s="8">
        <v>516.0</v>
      </c>
      <c r="BS91" s="8">
        <v>16.0</v>
      </c>
      <c r="BT91" s="8">
        <v>18.0</v>
      </c>
      <c r="BU91" s="10" t="b">
        <v>1</v>
      </c>
      <c r="BV91" s="10" t="b">
        <v>0</v>
      </c>
      <c r="BW91" s="10" t="b">
        <v>1</v>
      </c>
      <c r="BX91" s="2" t="s">
        <v>74</v>
      </c>
      <c r="BY91" s="8">
        <v>133.0</v>
      </c>
      <c r="BZ91" s="2"/>
      <c r="CA91" s="2"/>
    </row>
    <row r="92">
      <c r="A92" s="2" t="s">
        <v>1477</v>
      </c>
      <c r="B92" s="2" t="s">
        <v>121</v>
      </c>
      <c r="C92" s="8">
        <v>0.0</v>
      </c>
      <c r="D92" s="2" t="s">
        <v>71</v>
      </c>
      <c r="E92" s="2" t="s">
        <v>122</v>
      </c>
      <c r="F92" s="10" t="b">
        <v>1</v>
      </c>
      <c r="G92" s="2"/>
      <c r="H92" s="2"/>
      <c r="I92" s="2"/>
      <c r="J92" s="2"/>
      <c r="K92" s="2" t="s">
        <v>1478</v>
      </c>
      <c r="L92" s="2" t="s">
        <v>1479</v>
      </c>
      <c r="M92" s="2"/>
      <c r="N92" s="2" t="s">
        <v>1480</v>
      </c>
      <c r="O92" s="2" t="s">
        <v>1481</v>
      </c>
      <c r="P92" s="10" t="b">
        <v>0</v>
      </c>
      <c r="Q92" s="2"/>
      <c r="R92" s="2"/>
      <c r="S92" s="8">
        <v>136.0</v>
      </c>
      <c r="T92" s="8">
        <v>69.0</v>
      </c>
      <c r="U92" s="8">
        <v>2.34913659086953</v>
      </c>
      <c r="V92" s="8">
        <v>29.3724938209998</v>
      </c>
      <c r="W92" s="8">
        <v>0.105693989270021</v>
      </c>
      <c r="X92" s="8">
        <v>1.7485659122467</v>
      </c>
      <c r="Y92" s="8">
        <v>9.6951789441316</v>
      </c>
      <c r="Z92" s="8">
        <v>0.326705932617187</v>
      </c>
      <c r="AA92" s="8">
        <v>0.105693989270021</v>
      </c>
      <c r="AB92" s="8">
        <v>0.305978271399914</v>
      </c>
      <c r="AC92" s="11">
        <v>3.83892029276466E-6</v>
      </c>
      <c r="AD92" s="8">
        <v>1.7485659122467</v>
      </c>
      <c r="AE92" s="8">
        <v>7.04910606145858E-4</v>
      </c>
      <c r="AF92" s="8">
        <v>0.00847147405147552</v>
      </c>
      <c r="AG92" s="8">
        <v>0.355858361721038</v>
      </c>
      <c r="AH92" s="8">
        <v>0.623977446556091</v>
      </c>
      <c r="AI92" s="8">
        <v>1.566874294281</v>
      </c>
      <c r="AJ92" s="8">
        <v>9.6951789441316</v>
      </c>
      <c r="AK92" s="8">
        <v>4.41576239329279</v>
      </c>
      <c r="AL92" s="8">
        <v>0.326705932617187</v>
      </c>
      <c r="AM92" s="8">
        <v>16.3948860168457</v>
      </c>
      <c r="AN92" s="8">
        <v>10.3409099578857</v>
      </c>
      <c r="AO92" s="8">
        <v>1.503125</v>
      </c>
      <c r="AP92" s="8">
        <v>2.43096618652343</v>
      </c>
      <c r="AQ92" s="8">
        <v>7.203125</v>
      </c>
      <c r="AR92" s="8">
        <v>5.0</v>
      </c>
      <c r="AS92" s="8">
        <v>2.0</v>
      </c>
      <c r="AT92" s="8">
        <v>1.0</v>
      </c>
      <c r="AU92" s="8">
        <v>0.0</v>
      </c>
      <c r="AV92" s="8">
        <v>0.072463768115942</v>
      </c>
      <c r="AW92" s="8">
        <v>0.0289855072463768</v>
      </c>
      <c r="AX92" s="8">
        <v>0.0144927536231884</v>
      </c>
      <c r="AY92" s="8">
        <v>0.0</v>
      </c>
      <c r="AZ92" s="8">
        <v>0.0</v>
      </c>
      <c r="BA92" s="8">
        <v>0.0</v>
      </c>
      <c r="BB92" s="8">
        <v>2.0</v>
      </c>
      <c r="BC92" s="8">
        <v>2.0</v>
      </c>
      <c r="BD92" s="8">
        <v>0.0</v>
      </c>
      <c r="BE92" s="8">
        <v>0.0</v>
      </c>
      <c r="BF92" s="8">
        <v>0.0289855072463768</v>
      </c>
      <c r="BG92" s="8">
        <v>0.0289855072463768</v>
      </c>
      <c r="BH92" s="8">
        <v>7.0</v>
      </c>
      <c r="BI92" s="8">
        <v>10.0</v>
      </c>
      <c r="BJ92" s="2"/>
      <c r="BK92" s="2"/>
      <c r="BL92" s="8">
        <v>7.0</v>
      </c>
      <c r="BM92" s="2" t="s">
        <v>1487</v>
      </c>
      <c r="BN92" s="2" t="s">
        <v>1488</v>
      </c>
      <c r="BO92" s="8">
        <v>98.0</v>
      </c>
      <c r="BP92" s="8">
        <v>496.0</v>
      </c>
      <c r="BQ92" s="8">
        <v>217.0</v>
      </c>
      <c r="BR92" s="8">
        <v>203.0</v>
      </c>
      <c r="BS92" s="8">
        <v>8.0</v>
      </c>
      <c r="BT92" s="8">
        <v>10.0</v>
      </c>
      <c r="BU92" s="10" t="b">
        <v>1</v>
      </c>
      <c r="BV92" s="10" t="b">
        <v>0</v>
      </c>
      <c r="BW92" s="10" t="b">
        <v>1</v>
      </c>
      <c r="BX92" s="2" t="s">
        <v>74</v>
      </c>
      <c r="BY92" s="8">
        <v>69.0</v>
      </c>
      <c r="BZ92" s="2"/>
      <c r="CA92" s="2"/>
    </row>
    <row r="93">
      <c r="A93" s="2" t="s">
        <v>1490</v>
      </c>
      <c r="B93" s="2" t="s">
        <v>121</v>
      </c>
      <c r="C93" s="8">
        <v>0.0</v>
      </c>
      <c r="D93" s="2" t="s">
        <v>71</v>
      </c>
      <c r="E93" s="2" t="s">
        <v>122</v>
      </c>
      <c r="F93" s="10" t="b">
        <v>0</v>
      </c>
      <c r="G93" s="2" t="s">
        <v>198</v>
      </c>
      <c r="H93" s="2" t="s">
        <v>247</v>
      </c>
      <c r="I93" s="2" t="s">
        <v>1491</v>
      </c>
      <c r="J93" s="2"/>
      <c r="K93" s="2" t="s">
        <v>1492</v>
      </c>
      <c r="L93" s="2" t="s">
        <v>1493</v>
      </c>
      <c r="M93" s="2"/>
      <c r="N93" s="2" t="s">
        <v>1494</v>
      </c>
      <c r="O93" s="2" t="s">
        <v>1495</v>
      </c>
      <c r="P93" s="10" t="b">
        <v>0</v>
      </c>
      <c r="Q93" s="2"/>
      <c r="R93" s="2"/>
      <c r="S93" s="8">
        <v>105.0</v>
      </c>
      <c r="T93" s="8">
        <v>144.0</v>
      </c>
      <c r="U93" s="8">
        <v>2.36274979954803</v>
      </c>
      <c r="V93" s="8">
        <v>60.9459368180014</v>
      </c>
      <c r="W93" s="8">
        <v>0.124323537381583</v>
      </c>
      <c r="X93" s="8">
        <v>1.71636652946472</v>
      </c>
      <c r="Y93" s="8">
        <v>8.90237861871719</v>
      </c>
      <c r="Z93" s="8">
        <v>0.0142040252685546</v>
      </c>
      <c r="AA93" s="8">
        <v>0.124323537381583</v>
      </c>
      <c r="AB93" s="8">
        <v>0.280108297469802</v>
      </c>
      <c r="AC93" s="11">
        <v>3.29866179527016E-6</v>
      </c>
      <c r="AD93" s="8">
        <v>1.71636652946472</v>
      </c>
      <c r="AE93" s="8">
        <v>0.00107112026307731</v>
      </c>
      <c r="AF93" s="8">
        <v>0.0466351546347141</v>
      </c>
      <c r="AG93" s="8">
        <v>0.529669344425202</v>
      </c>
      <c r="AH93" s="8">
        <v>0.709441295266151</v>
      </c>
      <c r="AI93" s="8">
        <v>1.20621069312095</v>
      </c>
      <c r="AJ93" s="8">
        <v>8.90237861871719</v>
      </c>
      <c r="AK93" s="8">
        <v>4.57377247353803</v>
      </c>
      <c r="AL93" s="8">
        <v>0.0142040252685546</v>
      </c>
      <c r="AM93" s="8">
        <v>16.9460220336914</v>
      </c>
      <c r="AN93" s="8">
        <v>9.625</v>
      </c>
      <c r="AO93" s="8">
        <v>0.9640625</v>
      </c>
      <c r="AP93" s="8">
        <v>1.67585201263427</v>
      </c>
      <c r="AQ93" s="8">
        <v>5.22017002105712</v>
      </c>
      <c r="AR93" s="8">
        <v>16.0</v>
      </c>
      <c r="AS93" s="8">
        <v>3.0</v>
      </c>
      <c r="AT93" s="8">
        <v>1.0</v>
      </c>
      <c r="AU93" s="8">
        <v>0.0</v>
      </c>
      <c r="AV93" s="8">
        <v>0.111111111111111</v>
      </c>
      <c r="AW93" s="8">
        <v>0.0208333333333333</v>
      </c>
      <c r="AX93" s="8">
        <v>0.00694444444444444</v>
      </c>
      <c r="AY93" s="8">
        <v>0.0</v>
      </c>
      <c r="AZ93" s="8">
        <v>1.0</v>
      </c>
      <c r="BA93" s="8">
        <v>2.0</v>
      </c>
      <c r="BB93" s="8">
        <v>3.0</v>
      </c>
      <c r="BC93" s="8">
        <v>8.0</v>
      </c>
      <c r="BD93" s="8">
        <v>0.00694444444444444</v>
      </c>
      <c r="BE93" s="8">
        <v>0.0138888888888888</v>
      </c>
      <c r="BF93" s="8">
        <v>0.0208333333333333</v>
      </c>
      <c r="BG93" s="8">
        <v>0.0555555555555555</v>
      </c>
      <c r="BH93" s="8">
        <v>49.0</v>
      </c>
      <c r="BI93" s="8">
        <v>49.0</v>
      </c>
      <c r="BJ93" s="2"/>
      <c r="BK93" s="8">
        <v>22.0</v>
      </c>
      <c r="BL93" s="8">
        <v>22.0</v>
      </c>
      <c r="BM93" s="2" t="s">
        <v>1496</v>
      </c>
      <c r="BN93" s="2" t="s">
        <v>1497</v>
      </c>
      <c r="BO93" s="8">
        <v>83.0</v>
      </c>
      <c r="BP93" s="8">
        <v>443.0</v>
      </c>
      <c r="BQ93" s="8">
        <v>404.0</v>
      </c>
      <c r="BR93" s="8">
        <v>390.0</v>
      </c>
      <c r="BS93" s="8">
        <v>13.0</v>
      </c>
      <c r="BT93" s="8">
        <v>15.0</v>
      </c>
      <c r="BU93" s="10" t="b">
        <v>1</v>
      </c>
      <c r="BV93" s="10" t="b">
        <v>0</v>
      </c>
      <c r="BW93" s="10" t="b">
        <v>1</v>
      </c>
      <c r="BX93" s="2" t="s">
        <v>1498</v>
      </c>
      <c r="BY93" s="8">
        <v>144.0</v>
      </c>
      <c r="BZ93" s="2"/>
      <c r="CA93" s="2"/>
    </row>
    <row r="94">
      <c r="A94" s="2" t="s">
        <v>1499</v>
      </c>
      <c r="B94" s="2" t="s">
        <v>121</v>
      </c>
      <c r="C94" s="8">
        <v>0.0</v>
      </c>
      <c r="D94" s="2" t="s">
        <v>71</v>
      </c>
      <c r="E94" s="2" t="s">
        <v>122</v>
      </c>
      <c r="F94" s="10" t="b">
        <v>1</v>
      </c>
      <c r="G94" s="2"/>
      <c r="H94" s="2"/>
      <c r="I94" s="2"/>
      <c r="J94" s="2"/>
      <c r="K94" s="2" t="s">
        <v>1500</v>
      </c>
      <c r="L94" s="2" t="s">
        <v>1501</v>
      </c>
      <c r="M94" s="2"/>
      <c r="N94" s="2" t="s">
        <v>1502</v>
      </c>
      <c r="O94" s="2" t="s">
        <v>1503</v>
      </c>
      <c r="P94" s="10" t="b">
        <v>0</v>
      </c>
      <c r="Q94" s="2"/>
      <c r="R94" s="2"/>
      <c r="S94" s="8">
        <v>124.0</v>
      </c>
      <c r="T94" s="8">
        <v>17.0</v>
      </c>
      <c r="U94" s="8">
        <v>2.33971763418071</v>
      </c>
      <c r="V94" s="8">
        <v>7.26583402699907</v>
      </c>
      <c r="W94" s="8">
        <v>0.347517019601261</v>
      </c>
      <c r="X94" s="8">
        <v>1.6921728849411</v>
      </c>
      <c r="Y94" s="8">
        <v>5.93440858055563</v>
      </c>
      <c r="Z94" s="8">
        <v>0.59375</v>
      </c>
      <c r="AA94" s="8">
        <v>0.347517019601261</v>
      </c>
      <c r="AB94" s="8">
        <v>0.55079643940758</v>
      </c>
      <c r="AC94" s="11">
        <v>5.76024540350772E-5</v>
      </c>
      <c r="AD94" s="8">
        <v>1.6921728849411</v>
      </c>
      <c r="AE94" s="8">
        <v>0.038552027195692</v>
      </c>
      <c r="AF94" s="8">
        <v>0.558240711688995</v>
      </c>
      <c r="AG94" s="8">
        <v>1.09007272720336</v>
      </c>
      <c r="AH94" s="8">
        <v>1.61111733913421</v>
      </c>
      <c r="AI94" s="8">
        <v>1.67596177577972</v>
      </c>
      <c r="AJ94" s="8">
        <v>5.93440858055563</v>
      </c>
      <c r="AK94" s="8">
        <v>4.25100317920377</v>
      </c>
      <c r="AL94" s="8">
        <v>0.59375</v>
      </c>
      <c r="AM94" s="8">
        <v>13.3125</v>
      </c>
      <c r="AN94" s="8">
        <v>5.16619300842285</v>
      </c>
      <c r="AO94" s="8">
        <v>0.70625</v>
      </c>
      <c r="AP94" s="8">
        <v>0.978125</v>
      </c>
      <c r="AQ94" s="8">
        <v>1.828125</v>
      </c>
      <c r="AR94" s="8">
        <v>5.0</v>
      </c>
      <c r="AS94" s="8">
        <v>2.0</v>
      </c>
      <c r="AT94" s="8">
        <v>2.0</v>
      </c>
      <c r="AU94" s="8">
        <v>0.0</v>
      </c>
      <c r="AV94" s="8">
        <v>0.294117647058823</v>
      </c>
      <c r="AW94" s="8">
        <v>0.117647058823529</v>
      </c>
      <c r="AX94" s="8">
        <v>0.117647058823529</v>
      </c>
      <c r="AY94" s="8">
        <v>0.0</v>
      </c>
      <c r="AZ94" s="8">
        <v>0.0</v>
      </c>
      <c r="BA94" s="8">
        <v>0.0</v>
      </c>
      <c r="BB94" s="8">
        <v>0.0</v>
      </c>
      <c r="BC94" s="8">
        <v>2.0</v>
      </c>
      <c r="BD94" s="8">
        <v>0.0</v>
      </c>
      <c r="BE94" s="8">
        <v>0.0</v>
      </c>
      <c r="BF94" s="8">
        <v>0.0</v>
      </c>
      <c r="BG94" s="8">
        <v>0.117647058823529</v>
      </c>
      <c r="BH94" s="8">
        <v>5.0</v>
      </c>
      <c r="BI94" s="8">
        <v>5.0</v>
      </c>
      <c r="BJ94" s="2"/>
      <c r="BK94" s="2"/>
      <c r="BL94" s="2"/>
      <c r="BM94" s="2" t="s">
        <v>1504</v>
      </c>
      <c r="BN94" s="2" t="s">
        <v>1505</v>
      </c>
      <c r="BO94" s="8">
        <v>80.0</v>
      </c>
      <c r="BP94" s="8">
        <v>461.0</v>
      </c>
      <c r="BQ94" s="8">
        <v>60.0</v>
      </c>
      <c r="BR94" s="8">
        <v>46.0</v>
      </c>
      <c r="BS94" s="8">
        <v>2.0</v>
      </c>
      <c r="BT94" s="8">
        <v>4.0</v>
      </c>
      <c r="BU94" s="10" t="b">
        <v>1</v>
      </c>
      <c r="BV94" s="10" t="b">
        <v>0</v>
      </c>
      <c r="BW94" s="10" t="b">
        <v>1</v>
      </c>
      <c r="BX94" s="2" t="s">
        <v>74</v>
      </c>
      <c r="BY94" s="8">
        <v>17.0</v>
      </c>
      <c r="BZ94" s="2"/>
      <c r="CA94" s="2"/>
    </row>
    <row r="95">
      <c r="A95" s="2" t="s">
        <v>1506</v>
      </c>
      <c r="B95" s="2" t="s">
        <v>121</v>
      </c>
      <c r="C95" s="8">
        <v>0.0</v>
      </c>
      <c r="D95" s="2" t="s">
        <v>71</v>
      </c>
      <c r="E95" s="2" t="s">
        <v>122</v>
      </c>
      <c r="F95" s="10" t="b">
        <v>1</v>
      </c>
      <c r="G95" s="2"/>
      <c r="H95" s="2"/>
      <c r="I95" s="2"/>
      <c r="J95" s="2"/>
      <c r="K95" s="2" t="s">
        <v>1507</v>
      </c>
      <c r="L95" s="2" t="s">
        <v>1508</v>
      </c>
      <c r="M95" s="2"/>
      <c r="N95" s="2" t="s">
        <v>1509</v>
      </c>
      <c r="O95" s="2" t="s">
        <v>1510</v>
      </c>
      <c r="P95" s="10" t="b">
        <v>0</v>
      </c>
      <c r="Q95" s="2"/>
      <c r="R95" s="2"/>
      <c r="S95" s="8">
        <v>196.0</v>
      </c>
      <c r="T95" s="8">
        <v>39.0</v>
      </c>
      <c r="U95" s="8">
        <v>2.33742837719392</v>
      </c>
      <c r="V95" s="8">
        <v>16.68500322</v>
      </c>
      <c r="W95" s="8">
        <v>0.3011544449725</v>
      </c>
      <c r="X95" s="8">
        <v>1.69377481937408</v>
      </c>
      <c r="Y95" s="8">
        <v>5.25293205945919</v>
      </c>
      <c r="Z95" s="8">
        <v>0.0284080505371093</v>
      </c>
      <c r="AA95" s="8">
        <v>0.3011544449725</v>
      </c>
      <c r="AB95" s="8">
        <v>0.443654692377192</v>
      </c>
      <c r="AC95" s="8">
        <v>1.66469922987744E-4</v>
      </c>
      <c r="AD95" s="8">
        <v>1.69377481937408</v>
      </c>
      <c r="AE95" s="8">
        <v>0.0498988144099712</v>
      </c>
      <c r="AF95" s="8">
        <v>0.452864184975624</v>
      </c>
      <c r="AG95" s="8">
        <v>0.838752985000611</v>
      </c>
      <c r="AH95" s="8">
        <v>1.24702532291412</v>
      </c>
      <c r="AI95" s="8">
        <v>1.60297603368759</v>
      </c>
      <c r="AJ95" s="8">
        <v>5.25293205945919</v>
      </c>
      <c r="AK95" s="8">
        <v>3.62901219910367</v>
      </c>
      <c r="AL95" s="8">
        <v>0.0284080505371093</v>
      </c>
      <c r="AM95" s="8">
        <v>12.6704559326171</v>
      </c>
      <c r="AN95" s="8">
        <v>5.1221580505371</v>
      </c>
      <c r="AO95" s="8">
        <v>0.1859375</v>
      </c>
      <c r="AP95" s="8">
        <v>0.496875</v>
      </c>
      <c r="AQ95" s="8">
        <v>2.1796875</v>
      </c>
      <c r="AR95" s="8">
        <v>9.0</v>
      </c>
      <c r="AS95" s="8">
        <v>4.0</v>
      </c>
      <c r="AT95" s="8">
        <v>1.0</v>
      </c>
      <c r="AU95" s="8">
        <v>0.0</v>
      </c>
      <c r="AV95" s="8">
        <v>0.23076923076923</v>
      </c>
      <c r="AW95" s="8">
        <v>0.102564102564102</v>
      </c>
      <c r="AX95" s="8">
        <v>0.0256410256410256</v>
      </c>
      <c r="AY95" s="8">
        <v>0.0</v>
      </c>
      <c r="AZ95" s="8">
        <v>1.0</v>
      </c>
      <c r="BA95" s="8">
        <v>3.0</v>
      </c>
      <c r="BB95" s="8">
        <v>4.0</v>
      </c>
      <c r="BC95" s="8">
        <v>5.0</v>
      </c>
      <c r="BD95" s="8">
        <v>0.0256410256410256</v>
      </c>
      <c r="BE95" s="8">
        <v>0.0769230769230769</v>
      </c>
      <c r="BF95" s="8">
        <v>0.102564102564102</v>
      </c>
      <c r="BG95" s="8">
        <v>0.128205128205128</v>
      </c>
      <c r="BH95" s="8">
        <v>7.0</v>
      </c>
      <c r="BI95" s="8">
        <v>15.0</v>
      </c>
      <c r="BJ95" s="2"/>
      <c r="BK95" s="8">
        <v>7.0</v>
      </c>
      <c r="BL95" s="8">
        <v>7.0</v>
      </c>
      <c r="BM95" s="2" t="s">
        <v>1511</v>
      </c>
      <c r="BN95" s="2" t="s">
        <v>1512</v>
      </c>
      <c r="BO95" s="8">
        <v>94.0</v>
      </c>
      <c r="BP95" s="8">
        <v>553.0</v>
      </c>
      <c r="BQ95" s="8">
        <v>139.0</v>
      </c>
      <c r="BR95" s="8">
        <v>125.0</v>
      </c>
      <c r="BS95" s="8">
        <v>3.0</v>
      </c>
      <c r="BT95" s="8">
        <v>5.0</v>
      </c>
      <c r="BU95" s="10" t="b">
        <v>1</v>
      </c>
      <c r="BV95" s="10" t="b">
        <v>0</v>
      </c>
      <c r="BW95" s="10" t="b">
        <v>1</v>
      </c>
      <c r="BX95" s="2" t="s">
        <v>74</v>
      </c>
      <c r="BY95" s="8">
        <v>39.0</v>
      </c>
      <c r="BZ95" s="2"/>
      <c r="CA95" s="2"/>
    </row>
    <row r="96">
      <c r="A96" s="2" t="s">
        <v>1513</v>
      </c>
      <c r="B96" s="2" t="s">
        <v>121</v>
      </c>
      <c r="C96" s="8">
        <v>0.0</v>
      </c>
      <c r="D96" s="2" t="s">
        <v>71</v>
      </c>
      <c r="E96" s="2" t="s">
        <v>122</v>
      </c>
      <c r="F96" s="10" t="b">
        <v>1</v>
      </c>
      <c r="G96" s="2"/>
      <c r="H96" s="2"/>
      <c r="I96" s="2"/>
      <c r="J96" s="2"/>
      <c r="K96" s="2" t="s">
        <v>1514</v>
      </c>
      <c r="L96" s="2" t="s">
        <v>1515</v>
      </c>
      <c r="M96" s="2"/>
      <c r="N96" s="2" t="s">
        <v>1516</v>
      </c>
      <c r="O96" s="2" t="s">
        <v>1517</v>
      </c>
      <c r="P96" s="10" t="b">
        <v>0</v>
      </c>
      <c r="Q96" s="2"/>
      <c r="R96" s="2"/>
      <c r="S96" s="8">
        <v>105.0</v>
      </c>
      <c r="T96" s="8">
        <v>78.0</v>
      </c>
      <c r="U96" s="8">
        <v>2.36359203475418</v>
      </c>
      <c r="V96" s="8">
        <v>33.0006189110008</v>
      </c>
      <c r="W96" s="8">
        <v>0.100775140304449</v>
      </c>
      <c r="X96" s="8">
        <v>0.886274695396423</v>
      </c>
      <c r="Y96" s="8">
        <v>9.63043653048001</v>
      </c>
      <c r="Z96" s="8">
        <v>0.238636016845703</v>
      </c>
      <c r="AA96" s="8">
        <v>0.100775140304449</v>
      </c>
      <c r="AB96" s="8">
        <v>0.225574554091098</v>
      </c>
      <c r="AC96" s="11">
        <v>2.33727837439801E-6</v>
      </c>
      <c r="AD96" s="8">
        <v>0.886274695396423</v>
      </c>
      <c r="AE96" s="8">
        <v>7.44872406357899E-4</v>
      </c>
      <c r="AF96" s="8">
        <v>0.00841897446662187</v>
      </c>
      <c r="AG96" s="8">
        <v>0.472490918636321</v>
      </c>
      <c r="AH96" s="8">
        <v>0.691064152121543</v>
      </c>
      <c r="AI96" s="8">
        <v>0.822615190148353</v>
      </c>
      <c r="AJ96" s="8">
        <v>9.63043653048001</v>
      </c>
      <c r="AK96" s="8">
        <v>4.62743119271326</v>
      </c>
      <c r="AL96" s="8">
        <v>0.238636016845703</v>
      </c>
      <c r="AM96" s="8">
        <v>17.7414779663085</v>
      </c>
      <c r="AN96" s="8">
        <v>10.6026287078857</v>
      </c>
      <c r="AO96" s="8">
        <v>1.02734375</v>
      </c>
      <c r="AP96" s="8">
        <v>1.79943141937255</v>
      </c>
      <c r="AQ96" s="8">
        <v>7.52308273315429</v>
      </c>
      <c r="AR96" s="8">
        <v>8.0</v>
      </c>
      <c r="AS96" s="8">
        <v>0.0</v>
      </c>
      <c r="AT96" s="8">
        <v>0.0</v>
      </c>
      <c r="AU96" s="8">
        <v>0.0</v>
      </c>
      <c r="AV96" s="8">
        <v>0.102564102564102</v>
      </c>
      <c r="AW96" s="8">
        <v>0.0</v>
      </c>
      <c r="AX96" s="8">
        <v>0.0</v>
      </c>
      <c r="AY96" s="8">
        <v>0.0</v>
      </c>
      <c r="AZ96" s="8">
        <v>0.0</v>
      </c>
      <c r="BA96" s="8">
        <v>1.0</v>
      </c>
      <c r="BB96" s="8">
        <v>2.0</v>
      </c>
      <c r="BC96" s="8">
        <v>4.0</v>
      </c>
      <c r="BD96" s="8">
        <v>0.0</v>
      </c>
      <c r="BE96" s="8">
        <v>0.0128205128205128</v>
      </c>
      <c r="BF96" s="8">
        <v>0.0256410256410256</v>
      </c>
      <c r="BG96" s="8">
        <v>0.0512820512820512</v>
      </c>
      <c r="BH96" s="2"/>
      <c r="BI96" s="2"/>
      <c r="BJ96" s="2"/>
      <c r="BK96" s="8">
        <v>30.0</v>
      </c>
      <c r="BL96" s="8">
        <v>0.0</v>
      </c>
      <c r="BM96" s="2" t="s">
        <v>1518</v>
      </c>
      <c r="BN96" s="2" t="s">
        <v>1519</v>
      </c>
      <c r="BO96" s="8">
        <v>90.0</v>
      </c>
      <c r="BP96" s="8">
        <v>462.0</v>
      </c>
      <c r="BQ96" s="8">
        <v>241.0</v>
      </c>
      <c r="BR96" s="8">
        <v>227.0</v>
      </c>
      <c r="BS96" s="8">
        <v>8.0</v>
      </c>
      <c r="BT96" s="8">
        <v>10.0</v>
      </c>
      <c r="BU96" s="10" t="b">
        <v>1</v>
      </c>
      <c r="BV96" s="10" t="b">
        <v>0</v>
      </c>
      <c r="BW96" s="10" t="b">
        <v>1</v>
      </c>
      <c r="BX96" s="2" t="s">
        <v>74</v>
      </c>
      <c r="BY96" s="8">
        <v>78.0</v>
      </c>
      <c r="BZ96" s="2"/>
      <c r="CA96" s="2"/>
    </row>
    <row r="97">
      <c r="A97" s="2" t="s">
        <v>1520</v>
      </c>
      <c r="B97" s="2" t="s">
        <v>121</v>
      </c>
      <c r="C97" s="8">
        <v>0.0</v>
      </c>
      <c r="D97" s="2" t="s">
        <v>71</v>
      </c>
      <c r="E97" s="2" t="s">
        <v>122</v>
      </c>
      <c r="F97" s="10" t="b">
        <v>1</v>
      </c>
      <c r="G97" s="2"/>
      <c r="H97" s="2"/>
      <c r="I97" s="2"/>
      <c r="J97" s="2"/>
      <c r="K97" s="2" t="s">
        <v>1521</v>
      </c>
      <c r="L97" s="2" t="s">
        <v>1522</v>
      </c>
      <c r="M97" s="2"/>
      <c r="N97" s="2" t="s">
        <v>1523</v>
      </c>
      <c r="O97" s="2" t="s">
        <v>1524</v>
      </c>
      <c r="P97" s="10" t="b">
        <v>0</v>
      </c>
      <c r="Q97" s="2"/>
      <c r="R97" s="2"/>
      <c r="S97" s="8">
        <v>119.0</v>
      </c>
      <c r="T97" s="8">
        <v>19.0</v>
      </c>
      <c r="U97" s="8">
        <v>2.34644854057288</v>
      </c>
      <c r="V97" s="8">
        <v>8.09734356900116</v>
      </c>
      <c r="W97" s="8">
        <v>0.308607668885471</v>
      </c>
      <c r="X97" s="8">
        <v>1.77294182777404</v>
      </c>
      <c r="Y97" s="8">
        <v>5.63139232836271</v>
      </c>
      <c r="Z97" s="8">
        <v>0.671875</v>
      </c>
      <c r="AA97" s="8">
        <v>0.308607668885471</v>
      </c>
      <c r="AB97" s="8">
        <v>0.508804165632473</v>
      </c>
      <c r="AC97" s="8">
        <v>9.28237219341099E-4</v>
      </c>
      <c r="AD97" s="8">
        <v>1.77294182777404</v>
      </c>
      <c r="AE97" s="8">
        <v>0.020602460950613</v>
      </c>
      <c r="AF97" s="8">
        <v>0.484800159931182</v>
      </c>
      <c r="AG97" s="8">
        <v>0.942379903793334</v>
      </c>
      <c r="AH97" s="8">
        <v>1.25552053451537</v>
      </c>
      <c r="AI97" s="8">
        <v>1.66945756912231</v>
      </c>
      <c r="AJ97" s="8">
        <v>5.63139232836271</v>
      </c>
      <c r="AK97" s="8">
        <v>3.51476311966962</v>
      </c>
      <c r="AL97" s="8">
        <v>0.671875</v>
      </c>
      <c r="AM97" s="8">
        <v>10.0738639831542</v>
      </c>
      <c r="AN97" s="8">
        <v>6.59375</v>
      </c>
      <c r="AO97" s="8">
        <v>0.75625</v>
      </c>
      <c r="AP97" s="8">
        <v>0.878125</v>
      </c>
      <c r="AQ97" s="8">
        <v>2.05894947052001</v>
      </c>
      <c r="AR97" s="8">
        <v>5.0</v>
      </c>
      <c r="AS97" s="8">
        <v>2.0</v>
      </c>
      <c r="AT97" s="8">
        <v>1.0</v>
      </c>
      <c r="AU97" s="8">
        <v>0.0</v>
      </c>
      <c r="AV97" s="8">
        <v>0.263157894736842</v>
      </c>
      <c r="AW97" s="8">
        <v>0.105263157894736</v>
      </c>
      <c r="AX97" s="8">
        <v>0.0526315789473684</v>
      </c>
      <c r="AY97" s="8">
        <v>0.0</v>
      </c>
      <c r="AZ97" s="8">
        <v>0.0</v>
      </c>
      <c r="BA97" s="8">
        <v>0.0</v>
      </c>
      <c r="BB97" s="8">
        <v>0.0</v>
      </c>
      <c r="BC97" s="8">
        <v>4.0</v>
      </c>
      <c r="BD97" s="8">
        <v>0.0</v>
      </c>
      <c r="BE97" s="8">
        <v>0.0</v>
      </c>
      <c r="BF97" s="8">
        <v>0.0</v>
      </c>
      <c r="BG97" s="8">
        <v>0.210526315789473</v>
      </c>
      <c r="BH97" s="8">
        <v>8.0</v>
      </c>
      <c r="BI97" s="8">
        <v>8.0</v>
      </c>
      <c r="BJ97" s="2"/>
      <c r="BK97" s="2"/>
      <c r="BL97" s="2"/>
      <c r="BM97" s="2" t="s">
        <v>1525</v>
      </c>
      <c r="BN97" s="2" t="s">
        <v>1526</v>
      </c>
      <c r="BO97" s="8">
        <v>88.0</v>
      </c>
      <c r="BP97" s="8">
        <v>505.0</v>
      </c>
      <c r="BQ97" s="8">
        <v>63.0</v>
      </c>
      <c r="BR97" s="8">
        <v>49.0</v>
      </c>
      <c r="BS97" s="8">
        <v>2.0</v>
      </c>
      <c r="BT97" s="8">
        <v>4.0</v>
      </c>
      <c r="BU97" s="10" t="b">
        <v>1</v>
      </c>
      <c r="BV97" s="10" t="b">
        <v>0</v>
      </c>
      <c r="BW97" s="10" t="b">
        <v>1</v>
      </c>
      <c r="BX97" s="2" t="s">
        <v>74</v>
      </c>
      <c r="BY97" s="8">
        <v>19.0</v>
      </c>
      <c r="BZ97" s="2"/>
      <c r="CA97" s="2"/>
    </row>
    <row r="98">
      <c r="A98" s="2" t="s">
        <v>1527</v>
      </c>
      <c r="B98" s="2" t="s">
        <v>121</v>
      </c>
      <c r="C98" s="8">
        <v>0.0</v>
      </c>
      <c r="D98" s="2" t="s">
        <v>71</v>
      </c>
      <c r="E98" s="2" t="s">
        <v>122</v>
      </c>
      <c r="F98" s="10" t="b">
        <v>1</v>
      </c>
      <c r="G98" s="2"/>
      <c r="H98" s="2"/>
      <c r="I98" s="2"/>
      <c r="J98" s="2"/>
      <c r="K98" s="2" t="s">
        <v>1528</v>
      </c>
      <c r="L98" s="2" t="s">
        <v>1529</v>
      </c>
      <c r="M98" s="2"/>
      <c r="N98" s="2" t="s">
        <v>1530</v>
      </c>
      <c r="O98" s="2" t="s">
        <v>1531</v>
      </c>
      <c r="P98" s="10" t="b">
        <v>0</v>
      </c>
      <c r="Q98" s="2"/>
      <c r="R98" s="2"/>
      <c r="S98" s="8">
        <v>126.0</v>
      </c>
      <c r="T98" s="8">
        <v>102.0</v>
      </c>
      <c r="U98" s="8">
        <v>2.35498529653706</v>
      </c>
      <c r="V98" s="8">
        <v>43.3123723320004</v>
      </c>
      <c r="W98" s="8">
        <v>0.0696417891936018</v>
      </c>
      <c r="X98" s="8">
        <v>1.76170778274536</v>
      </c>
      <c r="Y98" s="8">
        <v>10.0380671351563</v>
      </c>
      <c r="Z98" s="8">
        <v>0.133522033691406</v>
      </c>
      <c r="AA98" s="8">
        <v>0.0696417891936018</v>
      </c>
      <c r="AB98" s="8">
        <v>0.237417071862097</v>
      </c>
      <c r="AC98" s="11">
        <v>7.73685496824327E-6</v>
      </c>
      <c r="AD98" s="8">
        <v>1.76170778274536</v>
      </c>
      <c r="AE98" s="8">
        <v>5.1088718464598E-4</v>
      </c>
      <c r="AF98" s="8">
        <v>0.00542399368714541</v>
      </c>
      <c r="AG98" s="8">
        <v>0.103082519769668</v>
      </c>
      <c r="AH98" s="8">
        <v>0.570133781433104</v>
      </c>
      <c r="AI98" s="8">
        <v>0.807142331600189</v>
      </c>
      <c r="AJ98" s="8">
        <v>10.0380671351563</v>
      </c>
      <c r="AK98" s="8">
        <v>3.7530262736112</v>
      </c>
      <c r="AL98" s="8">
        <v>0.133522033691406</v>
      </c>
      <c r="AM98" s="8">
        <v>15.7244329452514</v>
      </c>
      <c r="AN98" s="8">
        <v>10.9232959747314</v>
      </c>
      <c r="AO98" s="8">
        <v>2.07258529663085</v>
      </c>
      <c r="AP98" s="8">
        <v>3.88380718231201</v>
      </c>
      <c r="AQ98" s="8">
        <v>8.56622886657714</v>
      </c>
      <c r="AR98" s="8">
        <v>6.0</v>
      </c>
      <c r="AS98" s="8">
        <v>1.0</v>
      </c>
      <c r="AT98" s="8">
        <v>1.0</v>
      </c>
      <c r="AU98" s="8">
        <v>0.0</v>
      </c>
      <c r="AV98" s="8">
        <v>0.0588235294117647</v>
      </c>
      <c r="AW98" s="8">
        <v>0.00980392156862745</v>
      </c>
      <c r="AX98" s="8">
        <v>0.00980392156862745</v>
      </c>
      <c r="AY98" s="8">
        <v>0.0</v>
      </c>
      <c r="AZ98" s="8">
        <v>0.0</v>
      </c>
      <c r="BA98" s="8">
        <v>2.0</v>
      </c>
      <c r="BB98" s="8">
        <v>2.0</v>
      </c>
      <c r="BC98" s="8">
        <v>4.0</v>
      </c>
      <c r="BD98" s="8">
        <v>0.0</v>
      </c>
      <c r="BE98" s="8">
        <v>0.0196078431372549</v>
      </c>
      <c r="BF98" s="8">
        <v>0.0196078431372549</v>
      </c>
      <c r="BG98" s="8">
        <v>0.0392156862745098</v>
      </c>
      <c r="BH98" s="8">
        <v>13.0</v>
      </c>
      <c r="BI98" s="8">
        <v>13.0</v>
      </c>
      <c r="BJ98" s="2"/>
      <c r="BK98" s="8">
        <v>11.0</v>
      </c>
      <c r="BL98" s="8">
        <v>11.0</v>
      </c>
      <c r="BM98" s="2" t="s">
        <v>1532</v>
      </c>
      <c r="BN98" s="2" t="s">
        <v>1533</v>
      </c>
      <c r="BO98" s="8">
        <v>82.0</v>
      </c>
      <c r="BP98" s="8">
        <v>479.0</v>
      </c>
      <c r="BQ98" s="8">
        <v>269.0</v>
      </c>
      <c r="BR98" s="8">
        <v>255.0</v>
      </c>
      <c r="BS98" s="8">
        <v>8.0</v>
      </c>
      <c r="BT98" s="8">
        <v>10.0</v>
      </c>
      <c r="BU98" s="10" t="b">
        <v>1</v>
      </c>
      <c r="BV98" s="10" t="b">
        <v>0</v>
      </c>
      <c r="BW98" s="10" t="b">
        <v>1</v>
      </c>
      <c r="BX98" s="2" t="s">
        <v>74</v>
      </c>
      <c r="BY98" s="8">
        <v>102.0</v>
      </c>
      <c r="BZ98" s="2"/>
      <c r="CA98" s="2"/>
    </row>
    <row r="99">
      <c r="A99" s="2" t="s">
        <v>1534</v>
      </c>
      <c r="B99" s="2" t="s">
        <v>121</v>
      </c>
      <c r="C99" s="8">
        <v>0.0</v>
      </c>
      <c r="D99" s="2" t="s">
        <v>71</v>
      </c>
      <c r="E99" s="2" t="s">
        <v>122</v>
      </c>
      <c r="F99" s="10" t="b">
        <v>1</v>
      </c>
      <c r="G99" s="2"/>
      <c r="H99" s="2"/>
      <c r="I99" s="2"/>
      <c r="J99" s="2"/>
      <c r="K99" s="2" t="s">
        <v>1535</v>
      </c>
      <c r="L99" s="2" t="s">
        <v>1536</v>
      </c>
      <c r="M99" s="2"/>
      <c r="N99" s="2" t="s">
        <v>1537</v>
      </c>
      <c r="O99" s="2" t="s">
        <v>1538</v>
      </c>
      <c r="P99" s="10" t="b">
        <v>0</v>
      </c>
      <c r="Q99" s="2"/>
      <c r="R99" s="2"/>
      <c r="S99" s="8">
        <v>195.0</v>
      </c>
      <c r="T99" s="8">
        <v>86.0</v>
      </c>
      <c r="U99" s="8">
        <v>2.34428081364337</v>
      </c>
      <c r="V99" s="8">
        <v>36.6850248909995</v>
      </c>
      <c r="W99" s="8">
        <v>0.165048151012353</v>
      </c>
      <c r="X99" s="8">
        <v>1.52714300155639</v>
      </c>
      <c r="Y99" s="8">
        <v>7.88227612473243</v>
      </c>
      <c r="Z99" s="8">
        <v>0.223012924194335</v>
      </c>
      <c r="AA99" s="8">
        <v>0.165048151012353</v>
      </c>
      <c r="AB99" s="8">
        <v>0.355175030207999</v>
      </c>
      <c r="AC99" s="11">
        <v>2.86452359432587E-6</v>
      </c>
      <c r="AD99" s="8">
        <v>1.52714300155639</v>
      </c>
      <c r="AE99" s="8">
        <v>0.00261902867350727</v>
      </c>
      <c r="AF99" s="8">
        <v>0.0902294479310512</v>
      </c>
      <c r="AG99" s="8">
        <v>0.624073386192321</v>
      </c>
      <c r="AH99" s="8">
        <v>1.01126310229301</v>
      </c>
      <c r="AI99" s="8">
        <v>1.47909716367721</v>
      </c>
      <c r="AJ99" s="8">
        <v>7.88227612473243</v>
      </c>
      <c r="AK99" s="8">
        <v>4.31421137717491</v>
      </c>
      <c r="AL99" s="8">
        <v>0.223012924194335</v>
      </c>
      <c r="AM99" s="8">
        <v>16.70454788208</v>
      </c>
      <c r="AN99" s="8">
        <v>8.98153400421142</v>
      </c>
      <c r="AO99" s="8">
        <v>0.51171875</v>
      </c>
      <c r="AP99" s="8">
        <v>1.44318199157714</v>
      </c>
      <c r="AQ99" s="8">
        <v>4.38529920578002</v>
      </c>
      <c r="AR99" s="8">
        <v>12.0</v>
      </c>
      <c r="AS99" s="8">
        <v>5.0</v>
      </c>
      <c r="AT99" s="8">
        <v>1.0</v>
      </c>
      <c r="AU99" s="8">
        <v>0.0</v>
      </c>
      <c r="AV99" s="8">
        <v>0.13953488372093</v>
      </c>
      <c r="AW99" s="8">
        <v>0.0581395348837209</v>
      </c>
      <c r="AX99" s="8">
        <v>0.0116279069767441</v>
      </c>
      <c r="AY99" s="8">
        <v>0.0</v>
      </c>
      <c r="AZ99" s="8">
        <v>0.0</v>
      </c>
      <c r="BA99" s="8">
        <v>1.0</v>
      </c>
      <c r="BB99" s="8">
        <v>5.0</v>
      </c>
      <c r="BC99" s="8">
        <v>7.0</v>
      </c>
      <c r="BD99" s="8">
        <v>0.0</v>
      </c>
      <c r="BE99" s="8">
        <v>0.0116279069767441</v>
      </c>
      <c r="BF99" s="8">
        <v>0.0581395348837209</v>
      </c>
      <c r="BG99" s="8">
        <v>0.0813953488372093</v>
      </c>
      <c r="BH99" s="8">
        <v>4.0</v>
      </c>
      <c r="BI99" s="8">
        <v>14.0</v>
      </c>
      <c r="BJ99" s="2"/>
      <c r="BK99" s="8">
        <v>54.0</v>
      </c>
      <c r="BL99" s="8">
        <v>16.0</v>
      </c>
      <c r="BM99" s="2" t="s">
        <v>1539</v>
      </c>
      <c r="BN99" s="2" t="s">
        <v>1540</v>
      </c>
      <c r="BO99" s="8">
        <v>231.0</v>
      </c>
      <c r="BP99" s="8">
        <v>663.0</v>
      </c>
      <c r="BQ99" s="8">
        <v>248.0</v>
      </c>
      <c r="BR99" s="8">
        <v>234.0</v>
      </c>
      <c r="BS99" s="8">
        <v>11.0</v>
      </c>
      <c r="BT99" s="8">
        <v>13.0</v>
      </c>
      <c r="BU99" s="10" t="b">
        <v>1</v>
      </c>
      <c r="BV99" s="10" t="b">
        <v>0</v>
      </c>
      <c r="BW99" s="10" t="b">
        <v>1</v>
      </c>
      <c r="BX99" s="2" t="s">
        <v>74</v>
      </c>
      <c r="BY99" s="8">
        <v>86.0</v>
      </c>
      <c r="BZ99" s="2"/>
      <c r="CA99" s="2"/>
    </row>
    <row r="100">
      <c r="A100" s="2" t="s">
        <v>1541</v>
      </c>
      <c r="B100" s="2" t="s">
        <v>121</v>
      </c>
      <c r="C100" s="8">
        <v>0.0</v>
      </c>
      <c r="D100" s="2" t="s">
        <v>71</v>
      </c>
      <c r="E100" s="2" t="s">
        <v>122</v>
      </c>
      <c r="F100" s="10" t="b">
        <v>1</v>
      </c>
      <c r="G100" s="2"/>
      <c r="H100" s="2"/>
      <c r="I100" s="2"/>
      <c r="J100" s="2"/>
      <c r="K100" s="2" t="s">
        <v>1542</v>
      </c>
      <c r="L100" s="2" t="s">
        <v>1543</v>
      </c>
      <c r="M100" s="2"/>
      <c r="N100" s="2" t="s">
        <v>1544</v>
      </c>
      <c r="O100" s="2" t="s">
        <v>1545</v>
      </c>
      <c r="P100" s="10" t="b">
        <v>0</v>
      </c>
      <c r="Q100" s="2"/>
      <c r="R100" s="2"/>
      <c r="S100" s="8">
        <v>105.0</v>
      </c>
      <c r="T100" s="8">
        <v>122.0</v>
      </c>
      <c r="U100" s="8">
        <v>2.35624567838497</v>
      </c>
      <c r="V100" s="8">
        <v>51.777283293999</v>
      </c>
      <c r="W100" s="8">
        <v>0.133371613143268</v>
      </c>
      <c r="X100" s="8">
        <v>1.36176443099975</v>
      </c>
      <c r="Y100" s="8">
        <v>8.60277951349977</v>
      </c>
      <c r="Z100" s="8">
        <v>0.0284080505371093</v>
      </c>
      <c r="AA100" s="8">
        <v>0.133371613143268</v>
      </c>
      <c r="AB100" s="8">
        <v>0.275252878442287</v>
      </c>
      <c r="AC100" s="11">
        <v>6.46947637505945E-6</v>
      </c>
      <c r="AD100" s="8">
        <v>1.36176443099975</v>
      </c>
      <c r="AE100" s="8">
        <v>0.00184329220792278</v>
      </c>
      <c r="AF100" s="8">
        <v>0.0567918680608272</v>
      </c>
      <c r="AG100" s="8">
        <v>0.586129581928253</v>
      </c>
      <c r="AH100" s="8">
        <v>0.812691122293471</v>
      </c>
      <c r="AI100" s="8">
        <v>1.06122994303703</v>
      </c>
      <c r="AJ100" s="8">
        <v>8.60277951349977</v>
      </c>
      <c r="AK100" s="8">
        <v>4.50446300771513</v>
      </c>
      <c r="AL100" s="8">
        <v>0.0284080505371093</v>
      </c>
      <c r="AM100" s="8">
        <v>15.6818180084228</v>
      </c>
      <c r="AN100" s="8">
        <v>9.48437595367431</v>
      </c>
      <c r="AO100" s="8">
        <v>0.952414798736572</v>
      </c>
      <c r="AP100" s="8">
        <v>1.66676120758056</v>
      </c>
      <c r="AQ100" s="8">
        <v>4.69460344314575</v>
      </c>
      <c r="AR100" s="8">
        <v>14.0</v>
      </c>
      <c r="AS100" s="8">
        <v>2.0</v>
      </c>
      <c r="AT100" s="8">
        <v>0.0</v>
      </c>
      <c r="AU100" s="8">
        <v>0.0</v>
      </c>
      <c r="AV100" s="8">
        <v>0.114754098360655</v>
      </c>
      <c r="AW100" s="8">
        <v>0.0163934426229508</v>
      </c>
      <c r="AX100" s="8">
        <v>0.0</v>
      </c>
      <c r="AY100" s="8">
        <v>0.0</v>
      </c>
      <c r="AZ100" s="8">
        <v>1.0</v>
      </c>
      <c r="BA100" s="8">
        <v>1.0</v>
      </c>
      <c r="BB100" s="8">
        <v>3.0</v>
      </c>
      <c r="BC100" s="8">
        <v>7.0</v>
      </c>
      <c r="BD100" s="8">
        <v>0.00819672131147541</v>
      </c>
      <c r="BE100" s="8">
        <v>0.00819672131147541</v>
      </c>
      <c r="BF100" s="8">
        <v>0.0245901639344262</v>
      </c>
      <c r="BG100" s="8">
        <v>0.0573770491803278</v>
      </c>
      <c r="BH100" s="8">
        <v>11.0</v>
      </c>
      <c r="BI100" s="2"/>
      <c r="BJ100" s="2"/>
      <c r="BK100" s="8">
        <v>14.0</v>
      </c>
      <c r="BL100" s="8">
        <v>14.0</v>
      </c>
      <c r="BM100" s="2" t="s">
        <v>1546</v>
      </c>
      <c r="BN100" s="2" t="s">
        <v>1547</v>
      </c>
      <c r="BO100" s="8">
        <v>103.0</v>
      </c>
      <c r="BP100" s="8">
        <v>458.0</v>
      </c>
      <c r="BQ100" s="8">
        <v>407.0</v>
      </c>
      <c r="BR100" s="8">
        <v>393.0</v>
      </c>
      <c r="BS100" s="8">
        <v>17.0</v>
      </c>
      <c r="BT100" s="8">
        <v>19.0</v>
      </c>
      <c r="BU100" s="10" t="b">
        <v>1</v>
      </c>
      <c r="BV100" s="10" t="b">
        <v>0</v>
      </c>
      <c r="BW100" s="10" t="b">
        <v>1</v>
      </c>
      <c r="BX100" s="2" t="s">
        <v>74</v>
      </c>
      <c r="BY100" s="8">
        <v>122.0</v>
      </c>
      <c r="BZ100" s="2"/>
      <c r="CA100" s="2"/>
    </row>
    <row r="101">
      <c r="A101" s="2" t="s">
        <v>1548</v>
      </c>
      <c r="B101" s="2" t="s">
        <v>121</v>
      </c>
      <c r="C101" s="8">
        <v>0.0</v>
      </c>
      <c r="D101" s="2" t="s">
        <v>71</v>
      </c>
      <c r="E101" s="2" t="s">
        <v>122</v>
      </c>
      <c r="F101" s="10" t="b">
        <v>1</v>
      </c>
      <c r="G101" s="2"/>
      <c r="H101" s="2"/>
      <c r="I101" s="2"/>
      <c r="J101" s="2"/>
      <c r="K101" s="2" t="s">
        <v>1549</v>
      </c>
      <c r="L101" s="2" t="s">
        <v>1550</v>
      </c>
      <c r="M101" s="2"/>
      <c r="N101" s="2" t="s">
        <v>1551</v>
      </c>
      <c r="O101" s="2" t="s">
        <v>1552</v>
      </c>
      <c r="P101" s="10" t="b">
        <v>0</v>
      </c>
      <c r="Q101" s="2"/>
      <c r="R101" s="2"/>
      <c r="S101" s="8">
        <v>99.0</v>
      </c>
      <c r="T101" s="8">
        <v>83.0</v>
      </c>
      <c r="U101" s="8">
        <v>2.3607751618589</v>
      </c>
      <c r="V101" s="8">
        <v>35.1579436030006</v>
      </c>
      <c r="W101" s="8">
        <v>0.0752776514965832</v>
      </c>
      <c r="X101" s="8">
        <v>0.933361709117889</v>
      </c>
      <c r="Y101" s="8">
        <v>9.16129892418183</v>
      </c>
      <c r="Z101" s="8">
        <v>0.84375</v>
      </c>
      <c r="AA101" s="8">
        <v>0.0752776514965832</v>
      </c>
      <c r="AB101" s="8">
        <v>0.203431639071911</v>
      </c>
      <c r="AC101" s="11">
        <v>5.63581352253095E-6</v>
      </c>
      <c r="AD101" s="8">
        <v>0.933361709117889</v>
      </c>
      <c r="AE101" s="8">
        <v>8.61129024997353E-4</v>
      </c>
      <c r="AF101" s="8">
        <v>0.00943461433053016</v>
      </c>
      <c r="AG101" s="8">
        <v>0.195785215497016</v>
      </c>
      <c r="AH101" s="8">
        <v>0.683020624518392</v>
      </c>
      <c r="AI101" s="8">
        <v>0.834528127908705</v>
      </c>
      <c r="AJ101" s="8">
        <v>9.16129892418183</v>
      </c>
      <c r="AK101" s="8">
        <v>3.77599765483297</v>
      </c>
      <c r="AL101" s="8">
        <v>0.84375</v>
      </c>
      <c r="AM101" s="8">
        <v>16.03125</v>
      </c>
      <c r="AN101" s="8">
        <v>9.953125</v>
      </c>
      <c r="AO101" s="8">
        <v>1.63792629241943</v>
      </c>
      <c r="AP101" s="8">
        <v>3.09289779663085</v>
      </c>
      <c r="AQ101" s="8">
        <v>7.1803970336914</v>
      </c>
      <c r="AR101" s="8">
        <v>5.0</v>
      </c>
      <c r="AS101" s="8">
        <v>0.0</v>
      </c>
      <c r="AT101" s="8">
        <v>0.0</v>
      </c>
      <c r="AU101" s="8">
        <v>0.0</v>
      </c>
      <c r="AV101" s="8">
        <v>0.0602409638554216</v>
      </c>
      <c r="AW101" s="8">
        <v>0.0</v>
      </c>
      <c r="AX101" s="8">
        <v>0.0</v>
      </c>
      <c r="AY101" s="8">
        <v>0.0</v>
      </c>
      <c r="AZ101" s="8">
        <v>0.0</v>
      </c>
      <c r="BA101" s="8">
        <v>0.0</v>
      </c>
      <c r="BB101" s="8">
        <v>0.0</v>
      </c>
      <c r="BC101" s="8">
        <v>2.0</v>
      </c>
      <c r="BD101" s="8">
        <v>0.0</v>
      </c>
      <c r="BE101" s="8">
        <v>0.0</v>
      </c>
      <c r="BF101" s="8">
        <v>0.0</v>
      </c>
      <c r="BG101" s="8">
        <v>0.0240963855421686</v>
      </c>
      <c r="BH101" s="2"/>
      <c r="BI101" s="2"/>
      <c r="BJ101" s="2"/>
      <c r="BK101" s="2"/>
      <c r="BL101" s="2"/>
      <c r="BM101" s="2" t="s">
        <v>1553</v>
      </c>
      <c r="BN101" s="2" t="s">
        <v>1554</v>
      </c>
      <c r="BO101" s="8">
        <v>95.0</v>
      </c>
      <c r="BP101" s="8">
        <v>489.0</v>
      </c>
      <c r="BQ101" s="8">
        <v>303.0</v>
      </c>
      <c r="BR101" s="8">
        <v>289.0</v>
      </c>
      <c r="BS101" s="8">
        <v>11.0</v>
      </c>
      <c r="BT101" s="8">
        <v>13.0</v>
      </c>
      <c r="BU101" s="10" t="b">
        <v>1</v>
      </c>
      <c r="BV101" s="10" t="b">
        <v>0</v>
      </c>
      <c r="BW101" s="10" t="b">
        <v>1</v>
      </c>
      <c r="BX101" s="2" t="s">
        <v>74</v>
      </c>
      <c r="BY101" s="8">
        <v>83.0</v>
      </c>
      <c r="BZ101" s="2"/>
      <c r="C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5"/>
    <col customWidth="1" min="2" max="2" width="29.5"/>
  </cols>
  <sheetData>
    <row r="1">
      <c r="A1" s="3" t="s">
        <v>53</v>
      </c>
      <c r="B1" s="9">
        <f>AVERAGEIF(humaneval!E2:E165, TRUE, humaneval!M2:M165)</f>
        <v>0.08055714531</v>
      </c>
      <c r="C1" s="9"/>
    </row>
    <row r="2">
      <c r="A2" s="3" t="s">
        <v>126</v>
      </c>
      <c r="B2" s="9">
        <f>AVERAGEIF(humaneval!E2:E165, FALSE, humaneval!M2:M165)</f>
        <v>0.0993209697</v>
      </c>
      <c r="C2" s="9"/>
      <c r="D2" s="1" t="s">
        <v>136</v>
      </c>
      <c r="E2" s="12">
        <f>B2-B1</f>
        <v>0.01876382439</v>
      </c>
    </row>
    <row r="4">
      <c r="A4" s="3" t="s">
        <v>144</v>
      </c>
      <c r="B4" s="9">
        <f>AVERAGEIF(mbpp!F2:F101, TRUE, mbpp!W2:W101)</f>
        <v>0.1718009806</v>
      </c>
      <c r="C4" s="9"/>
    </row>
    <row r="5">
      <c r="A5" s="3" t="s">
        <v>156</v>
      </c>
      <c r="B5" s="9">
        <f>AVERAGEIF(mbpp!F2:F101, FALSE, mbpp!W2:W101)</f>
        <v>0.2013038717</v>
      </c>
      <c r="C5" s="9"/>
      <c r="D5" s="1" t="s">
        <v>136</v>
      </c>
      <c r="E5" s="12">
        <f>B5-B4</f>
        <v>0.02950289108</v>
      </c>
    </row>
    <row r="6">
      <c r="B6" s="9"/>
      <c r="C6" s="9"/>
    </row>
    <row r="9">
      <c r="A9" s="13" t="s">
        <v>171</v>
      </c>
      <c r="B9" s="13" t="s">
        <v>174</v>
      </c>
    </row>
    <row r="11">
      <c r="A11" s="3" t="s">
        <v>177</v>
      </c>
      <c r="B11" s="9">
        <f>AVERAGEIF(humaneval!E2:E165, TRUE, humaneval!O2:O165)</f>
        <v>9.335744796</v>
      </c>
    </row>
    <row r="12">
      <c r="A12" s="3" t="s">
        <v>188</v>
      </c>
      <c r="B12" s="9">
        <f>AVERAGEIF(humaneval!E3:E166, FALSE, humaneval!O3:O166)</f>
        <v>8.626664271</v>
      </c>
    </row>
    <row r="14">
      <c r="A14" s="3" t="s">
        <v>196</v>
      </c>
      <c r="B14" s="9">
        <f>AVERAGEIF(mbpp!F2:F1001, TRUE, mbpp!Y2:Y1001)</f>
        <v>7.821598796</v>
      </c>
    </row>
    <row r="15">
      <c r="A15" s="3" t="s">
        <v>212</v>
      </c>
      <c r="B15" s="9">
        <f>AVERAGEIF(mbpp!F3:F1001, FALSE, mbpp!Y3:Y1001)</f>
        <v>7.406283034</v>
      </c>
    </row>
    <row r="17">
      <c r="A17" s="1" t="s">
        <v>222</v>
      </c>
    </row>
    <row r="18">
      <c r="A18" s="1"/>
    </row>
    <row r="19">
      <c r="A19" s="15" t="s">
        <v>226</v>
      </c>
      <c r="B19" s="9">
        <f>AVERAGEIF(humaneval!E2:E165, FALSE, humaneval!BA2:BA165)</f>
        <v>8.04</v>
      </c>
    </row>
    <row r="20">
      <c r="A20" s="15" t="s">
        <v>235</v>
      </c>
      <c r="B20" s="9">
        <f>AVERAGEIF(humaneval!E3:E166, TRUE, humaneval!BA3:BA166)</f>
        <v>7.094202899</v>
      </c>
    </row>
    <row r="22">
      <c r="A22" s="1" t="s">
        <v>243</v>
      </c>
      <c r="B22" s="9">
        <f>AVERAGEIF(mbpp!F2:F101, FALSE, mbpp!BS2:BS101)</f>
        <v>9.333333333</v>
      </c>
    </row>
    <row r="23">
      <c r="A23" s="1" t="s">
        <v>251</v>
      </c>
      <c r="B23" s="9">
        <f>AVERAGEIF(mbpp!F3:F102, TRUE, mbpp!BS3:BS102)</f>
        <v>7.738095238</v>
      </c>
    </row>
    <row r="25">
      <c r="A25" s="1" t="s">
        <v>258</v>
      </c>
      <c r="B25" s="9" t="str">
        <f>IFERROR(__xludf.DUMMYFUNCTION("QUERY(humaneval!R1:R165, ""select R, count(R) where R &lt;&gt; '' group by R order by count(R) desc label count(R) 'Frecuencia'"")"),"")</f>
        <v/>
      </c>
      <c r="C25" s="12" t="str">
        <f>IFERROR(__xludf.DUMMYFUNCTION("""COMPUTED_VALUE"""),"Frecuencia")</f>
        <v>Frecuencia</v>
      </c>
    </row>
    <row r="26">
      <c r="A26" s="16"/>
      <c r="B26" s="9" t="str">
        <f>IFERROR(__xludf.DUMMYFUNCTION("""COMPUTED_VALUE"""),"AssertionError")</f>
        <v>AssertionError</v>
      </c>
      <c r="C26" s="12">
        <f>IFERROR(__xludf.DUMMYFUNCTION("""COMPUTED_VALUE"""),13.0)</f>
        <v>13</v>
      </c>
    </row>
    <row r="27">
      <c r="B27" s="12" t="str">
        <f>IFERROR(__xludf.DUMMYFUNCTION("""COMPUTED_VALUE"""),"AssertionError: Test 1")</f>
        <v>AssertionError: Test 1</v>
      </c>
      <c r="C27" s="12">
        <f>IFERROR(__xludf.DUMMYFUNCTION("""COMPUTED_VALUE"""),1.0)</f>
        <v>1</v>
      </c>
    </row>
    <row r="28">
      <c r="B28" s="12" t="str">
        <f>IFERROR(__xludf.DUMMYFUNCTION("""COMPUTED_VALUE"""),"AssertionError: Third test error: True")</f>
        <v>AssertionError: Third test error: True</v>
      </c>
      <c r="C28" s="12">
        <f>IFERROR(__xludf.DUMMYFUNCTION("""COMPUTED_VALUE"""),1.0)</f>
        <v>1</v>
      </c>
    </row>
    <row r="29">
      <c r="B29" s="12" t="str">
        <f>IFERROR(__xludf.DUMMYFUNCTION("""COMPUTED_VALUE"""),"AssertionError: This prints if this assert fails 1 (good for debugging!)")</f>
        <v>AssertionError: This prints if this assert fails 1 (good for debugging!)</v>
      </c>
      <c r="C29" s="12">
        <f>IFERROR(__xludf.DUMMYFUNCTION("""COMPUTED_VALUE"""),1.0)</f>
        <v>1</v>
      </c>
    </row>
    <row r="30">
      <c r="B30" s="12" t="str">
        <f>IFERROR(__xludf.DUMMYFUNCTION("""COMPUTED_VALUE"""),"AssertionError: This prints if this assert fails 4 (good for debugging!)")</f>
        <v>AssertionError: This prints if this assert fails 4 (good for debugging!)</v>
      </c>
      <c r="C30" s="12">
        <f>IFERROR(__xludf.DUMMYFUNCTION("""COMPUTED_VALUE"""),1.0)</f>
        <v>1</v>
      </c>
    </row>
    <row r="31">
      <c r="B31" s="12" t="str">
        <f>IFERROR(__xludf.DUMMYFUNCTION("""COMPUTED_VALUE"""),"IndexError: list index out of range")</f>
        <v>IndexError: list index out of range</v>
      </c>
      <c r="C31" s="12">
        <f>IFERROR(__xludf.DUMMYFUNCTION("""COMPUTED_VALUE"""),1.0)</f>
        <v>1</v>
      </c>
    </row>
    <row r="32">
      <c r="B32" s="12" t="str">
        <f>IFERROR(__xludf.DUMMYFUNCTION("""COMPUTED_VALUE"""),"NameError: name 'encode_cyclic' is not defined. Did you mean: 'decode_cyclic'?")</f>
        <v>NameError: name 'encode_cyclic' is not defined. Did you mean: 'decode_cyclic'?</v>
      </c>
      <c r="C32" s="12">
        <f>IFERROR(__xludf.DUMMYFUNCTION("""COMPUTED_VALUE"""),1.0)</f>
        <v>1</v>
      </c>
    </row>
    <row r="33">
      <c r="B33" s="12" t="str">
        <f>IFERROR(__xludf.DUMMYFUNCTION("""COMPUTED_VALUE"""),"NameError: name 'encode_shift' is not defined. Did you mean: 'decode_shift'?")</f>
        <v>NameError: name 'encode_shift' is not defined. Did you mean: 'decode_shift'?</v>
      </c>
      <c r="C33" s="12">
        <f>IFERROR(__xludf.DUMMYFUNCTION("""COMPUTED_VALUE"""),1.0)</f>
        <v>1</v>
      </c>
    </row>
    <row r="34">
      <c r="B34" s="12" t="str">
        <f>IFERROR(__xludf.DUMMYFUNCTION("""COMPUTED_VALUE"""),"NameError: name 'is_palindrome' is not defined. Did you mean: 'make_palindrome'?")</f>
        <v>NameError: name 'is_palindrome' is not defined. Did you mean: 'make_palindrome'?</v>
      </c>
      <c r="C34" s="12">
        <f>IFERROR(__xludf.DUMMYFUNCTION("""COMPUTED_VALUE"""),1.0)</f>
        <v>1</v>
      </c>
    </row>
    <row r="35">
      <c r="B35" s="12" t="str">
        <f>IFERROR(__xludf.DUMMYFUNCTION("""COMPUTED_VALUE"""),"NameError: name 'is_prime' is not defined")</f>
        <v>NameError: name 'is_prime' is not defined</v>
      </c>
      <c r="C35" s="12">
        <f>IFERROR(__xludf.DUMMYFUNCTION("""COMPUTED_VALUE"""),1.0)</f>
        <v>1</v>
      </c>
    </row>
    <row r="36">
      <c r="B36" s="12" t="str">
        <f>IFERROR(__xludf.DUMMYFUNCTION("""COMPUTED_VALUE"""),"NameError: name 'is_prime' is not defined. Did you mean: 'max_prime'?")</f>
        <v>NameError: name 'is_prime' is not defined. Did you mean: 'max_prime'?</v>
      </c>
      <c r="C36" s="12">
        <f>IFERROR(__xludf.DUMMYFUNCTION("""COMPUTED_VALUE"""),1.0)</f>
        <v>1</v>
      </c>
    </row>
    <row r="37">
      <c r="B37" s="12" t="str">
        <f>IFERROR(__xludf.DUMMYFUNCTION("""COMPUTED_VALUE"""),"NameError: name 'poly' is not defined")</f>
        <v>NameError: name 'poly' is not defined</v>
      </c>
      <c r="C37" s="12">
        <f>IFERROR(__xludf.DUMMYFUNCTION("""COMPUTED_VALUE"""),1.0)</f>
        <v>1</v>
      </c>
    </row>
    <row r="38">
      <c r="B38" s="12" t="str">
        <f>IFERROR(__xludf.DUMMYFUNCTION("""COMPUTED_VALUE"""),"TypeError: type complex doesn't define __round__ method")</f>
        <v>TypeError: type complex doesn't define __round__ method</v>
      </c>
      <c r="C38" s="12">
        <f>IFERROR(__xludf.DUMMYFUNCTION("""COMPUTED_VALUE"""),1.0)</f>
        <v>1</v>
      </c>
    </row>
    <row r="39">
      <c r="B39" s="12" t="str">
        <f>IFERROR(__xludf.DUMMYFUNCTION("""COMPUTED_VALUE"""),"error_message")</f>
        <v>error_message</v>
      </c>
      <c r="C39" s="12">
        <f>IFERROR(__xludf.DUMMYFUNCTION("""COMPUTED_VALUE"""),1.0)</f>
        <v>1</v>
      </c>
    </row>
    <row r="43">
      <c r="A43" s="1" t="s">
        <v>314</v>
      </c>
      <c r="B43" s="9" t="str">
        <f>IFERROR(__xludf.DUMMYFUNCTION("QUERY(mbpp!H2:H101, ""select H, count(H) where H &lt;&gt; '' group by H order by count(H) desc label count(H) 'Frecuencia'"")"),"")</f>
        <v/>
      </c>
      <c r="C43" s="12" t="str">
        <f>IFERROR(__xludf.DUMMYFUNCTION("""COMPUTED_VALUE"""),"Frecuencia")</f>
        <v>Frecuencia</v>
      </c>
    </row>
    <row r="44">
      <c r="A44" s="16"/>
      <c r="B44" s="9" t="str">
        <f>IFERROR(__xludf.DUMMYFUNCTION("""COMPUTED_VALUE"""),"AssertionError")</f>
        <v>AssertionError</v>
      </c>
      <c r="C44" s="12">
        <f>IFERROR(__xludf.DUMMYFUNCTION("""COMPUTED_VALUE"""),13.0)</f>
        <v>13</v>
      </c>
    </row>
    <row r="45">
      <c r="B45" s="12" t="str">
        <f>IFERROR(__xludf.DUMMYFUNCTION("""COMPUTED_VALUE"""),"TypeError: bad operand type for abs(): 'tuple'")</f>
        <v>TypeError: bad operand type for abs(): 'tuple'</v>
      </c>
      <c r="C45" s="12">
        <f>IFERROR(__xludf.DUMMYFUNCTION("""COMPUTED_VALUE"""),1.0)</f>
        <v>1</v>
      </c>
    </row>
    <row r="46">
      <c r="B46" s="12" t="str">
        <f>IFERROR(__xludf.DUMMYFUNCTION("""COMPUTED_VALUE"""),"TypeError: can only concatenate tuple (not ""list"") to tuple")</f>
        <v>TypeError: can only concatenate tuple (not "list") to tuple</v>
      </c>
      <c r="C46" s="12">
        <f>IFERROR(__xludf.DUMMYFUNCTION("""COMPUTED_VALUE"""),1.0)</f>
        <v>1</v>
      </c>
    </row>
    <row r="50">
      <c r="A50" s="9"/>
    </row>
    <row r="51">
      <c r="A51" s="1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2.38"/>
    <col customWidth="1" min="3" max="3" width="11.38"/>
    <col customWidth="1" min="4" max="4" width="10.88"/>
    <col customWidth="1" min="5" max="5" width="12.38"/>
    <col customWidth="1" min="6" max="6" width="17.38"/>
    <col customWidth="1" min="7" max="7" width="60.5"/>
  </cols>
  <sheetData>
    <row r="1">
      <c r="A1" s="4" t="s">
        <v>75</v>
      </c>
      <c r="B1" s="4" t="s">
        <v>90</v>
      </c>
      <c r="C1" s="4" t="s">
        <v>93</v>
      </c>
      <c r="D1" s="4" t="s">
        <v>96</v>
      </c>
      <c r="E1" s="4" t="s">
        <v>100</v>
      </c>
      <c r="F1" s="6"/>
      <c r="G1" s="6"/>
    </row>
    <row r="2">
      <c r="A2" s="7" t="s">
        <v>111</v>
      </c>
      <c r="B2" s="6">
        <f>AVERAGEIF(humaneval!E:E, TRUE, humaneval!M:M)</f>
        <v>0.08055714531</v>
      </c>
      <c r="C2" s="6">
        <f>AVERAGEIF(humaneval!E:E, TRUE, humaneval!N:N)</f>
        <v>1.053363605</v>
      </c>
      <c r="D2" s="6">
        <f>AVERAGEIF(humaneval!E:E, TRUE, humaneval!O:O)</f>
        <v>9.335744796</v>
      </c>
      <c r="E2" s="6">
        <f>AVERAGEIF(humaneval!E:E, TRUE, humaneval!P:P)</f>
        <v>0.5955076972</v>
      </c>
      <c r="F2" s="6"/>
      <c r="G2" s="6"/>
    </row>
    <row r="3">
      <c r="A3" s="6"/>
      <c r="B3" s="6"/>
      <c r="C3" s="6"/>
      <c r="D3" s="6"/>
      <c r="E3" s="6">
        <f>AVERAGE(E6:E30)</f>
        <v>0.2960794067</v>
      </c>
      <c r="F3" s="6"/>
      <c r="G3" s="6"/>
    </row>
    <row r="4">
      <c r="A4" s="4" t="s">
        <v>187</v>
      </c>
      <c r="B4" s="6"/>
      <c r="C4" s="6"/>
      <c r="D4" s="6"/>
      <c r="E4" s="6"/>
      <c r="F4" s="6"/>
      <c r="G4" s="6"/>
    </row>
    <row r="5">
      <c r="A5" s="14" t="str">
        <f>IFERROR(__xludf.DUMMYFUNCTION("QUERY(humaneval!A:R, ""SELECT A, M, N, O, P, Q, R WHERE F = true"", 1)"),"task_id")</f>
        <v>task_id</v>
      </c>
      <c r="B5" s="14" t="str">
        <f>IFERROR(__xludf.DUMMYFUNCTION("""COMPUTED_VALUE"""),"mean_entropy")</f>
        <v>mean_entropy</v>
      </c>
      <c r="C5" s="14" t="str">
        <f>IFERROR(__xludf.DUMMYFUNCTION("""COMPUTED_VALUE"""),"max_entropy")</f>
        <v>max_entropy</v>
      </c>
      <c r="D5" s="14" t="str">
        <f>IFERROR(__xludf.DUMMYFUNCTION("""COMPUTED_VALUE"""),"mean_margin")</f>
        <v>mean_margin</v>
      </c>
      <c r="E5" s="14" t="str">
        <f>IFERROR(__xludf.DUMMYFUNCTION("""COMPUTED_VALUE"""),"min_margin")</f>
        <v>min_margin</v>
      </c>
      <c r="F5" s="14" t="str">
        <f>IFERROR(__xludf.DUMMYFUNCTION("""COMPUTED_VALUE"""),"error_type")</f>
        <v>error_type</v>
      </c>
      <c r="G5" s="14" t="str">
        <f>IFERROR(__xludf.DUMMYFUNCTION("""COMPUTED_VALUE"""),"error_message")</f>
        <v>error_message</v>
      </c>
    </row>
    <row r="6">
      <c r="A6" s="6" t="str">
        <f>IFERROR(__xludf.DUMMYFUNCTION("""COMPUTED_VALUE"""),"HumanEval/10")</f>
        <v>HumanEval/10</v>
      </c>
      <c r="B6" s="6">
        <f>IFERROR(__xludf.DUMMYFUNCTION("""COMPUTED_VALUE"""),0.0629506634621)</f>
        <v>0.06295066346</v>
      </c>
      <c r="C6" s="6">
        <f>IFERROR(__xludf.DUMMYFUNCTION("""COMPUTED_VALUE"""),1.35022938251495)</f>
        <v>1.350229383</v>
      </c>
      <c r="D6" s="6">
        <f>IFERROR(__xludf.DUMMYFUNCTION("""COMPUTED_VALUE"""),9.36409518949447)</f>
        <v>9.364095189</v>
      </c>
      <c r="E6" s="6">
        <f>IFERROR(__xludf.DUMMYFUNCTION("""COMPUTED_VALUE"""),0.782670974731445)</f>
        <v>0.7826709747</v>
      </c>
      <c r="F6" s="6" t="str">
        <f>IFERROR(__xludf.DUMMYFUNCTION("""COMPUTED_VALUE"""),"RuntimeError")</f>
        <v>RuntimeError</v>
      </c>
      <c r="G6" s="6" t="str">
        <f>IFERROR(__xludf.DUMMYFUNCTION("""COMPUTED_VALUE"""),"NameError: name 'is_palindrome' is not defined. Did you mean: 'make_palindrome'?")</f>
        <v>NameError: name 'is_palindrome' is not defined. Did you mean: 'make_palindrome'?</v>
      </c>
    </row>
    <row r="7">
      <c r="A7" s="6" t="str">
        <f>IFERROR(__xludf.DUMMYFUNCTION("""COMPUTED_VALUE"""),"HumanEval/26")</f>
        <v>HumanEval/26</v>
      </c>
      <c r="B7" s="6">
        <f>IFERROR(__xludf.DUMMYFUNCTION("""COMPUTED_VALUE"""),0.095749479152283)</f>
        <v>0.09574947915</v>
      </c>
      <c r="C7" s="6">
        <f>IFERROR(__xludf.DUMMYFUNCTION("""COMPUTED_VALUE"""),0.850079715251922)</f>
        <v>0.8500797153</v>
      </c>
      <c r="D7" s="6">
        <f>IFERROR(__xludf.DUMMYFUNCTION("""COMPUTED_VALUE"""),9.00413930827173)</f>
        <v>9.004139308</v>
      </c>
      <c r="E7" s="6">
        <f>IFERROR(__xludf.DUMMYFUNCTION("""COMPUTED_VALUE"""),0.0625)</f>
        <v>0.0625</v>
      </c>
      <c r="F7" s="6" t="str">
        <f>IFERROR(__xludf.DUMMYFUNCTION("""COMPUTED_VALUE"""),"RuntimeError")</f>
        <v>RuntimeError</v>
      </c>
      <c r="G7" s="6" t="str">
        <f>IFERROR(__xludf.DUMMYFUNCTION("""COMPUTED_VALUE"""),"AssertionError")</f>
        <v>AssertionError</v>
      </c>
    </row>
    <row r="8">
      <c r="A8" s="6" t="str">
        <f>IFERROR(__xludf.DUMMYFUNCTION("""COMPUTED_VALUE"""),"HumanEval/32")</f>
        <v>HumanEval/32</v>
      </c>
      <c r="B8" s="6">
        <f>IFERROR(__xludf.DUMMYFUNCTION("""COMPUTED_VALUE"""),0.083161052384777)</f>
        <v>0.08316105238</v>
      </c>
      <c r="C8" s="6">
        <f>IFERROR(__xludf.DUMMYFUNCTION("""COMPUTED_VALUE"""),2.33697795867919)</f>
        <v>2.336977959</v>
      </c>
      <c r="D8" s="6">
        <f>IFERROR(__xludf.DUMMYFUNCTION("""COMPUTED_VALUE"""),9.49893524897032)</f>
        <v>9.498935249</v>
      </c>
      <c r="E8" s="6">
        <f>IFERROR(__xludf.DUMMYFUNCTION("""COMPUTED_VALUE"""),0.071022033691406)</f>
        <v>0.07102203369</v>
      </c>
      <c r="F8" s="6" t="str">
        <f>IFERROR(__xludf.DUMMYFUNCTION("""COMPUTED_VALUE"""),"RuntimeError")</f>
        <v>RuntimeError</v>
      </c>
      <c r="G8" s="6" t="str">
        <f>IFERROR(__xludf.DUMMYFUNCTION("""COMPUTED_VALUE"""),"NameError: name 'poly' is not defined")</f>
        <v>NameError: name 'poly' is not defined</v>
      </c>
    </row>
    <row r="9">
      <c r="A9" s="6" t="str">
        <f>IFERROR(__xludf.DUMMYFUNCTION("""COMPUTED_VALUE"""),"HumanEval/38")</f>
        <v>HumanEval/38</v>
      </c>
      <c r="B9" s="6">
        <f>IFERROR(__xludf.DUMMYFUNCTION("""COMPUTED_VALUE"""),0.052300695242835)</f>
        <v>0.05230069524</v>
      </c>
      <c r="C9" s="6">
        <f>IFERROR(__xludf.DUMMYFUNCTION("""COMPUTED_VALUE"""),1.03958785533905)</f>
        <v>1.039587855</v>
      </c>
      <c r="D9" s="6">
        <f>IFERROR(__xludf.DUMMYFUNCTION("""COMPUTED_VALUE"""),9.50358320165563)</f>
        <v>9.503583202</v>
      </c>
      <c r="E9" s="6">
        <f>IFERROR(__xludf.DUMMYFUNCTION("""COMPUTED_VALUE"""),0.015625)</f>
        <v>0.015625</v>
      </c>
      <c r="F9" s="6" t="str">
        <f>IFERROR(__xludf.DUMMYFUNCTION("""COMPUTED_VALUE"""),"RuntimeError")</f>
        <v>RuntimeError</v>
      </c>
      <c r="G9" s="6" t="str">
        <f>IFERROR(__xludf.DUMMYFUNCTION("""COMPUTED_VALUE"""),"NameError: name 'encode_cyclic' is not defined. Did you mean: 'decode_cyclic'?")</f>
        <v>NameError: name 'encode_cyclic' is not defined. Did you mean: 'decode_cyclic'?</v>
      </c>
    </row>
    <row r="10">
      <c r="A10" s="6" t="str">
        <f>IFERROR(__xludf.DUMMYFUNCTION("""COMPUTED_VALUE"""),"HumanEval/50")</f>
        <v>HumanEval/50</v>
      </c>
      <c r="B10" s="6">
        <f>IFERROR(__xludf.DUMMYFUNCTION("""COMPUTED_VALUE"""),0.042493726390944)</f>
        <v>0.04249372639</v>
      </c>
      <c r="C10" s="6">
        <f>IFERROR(__xludf.DUMMYFUNCTION("""COMPUTED_VALUE"""),1.02620685100555)</f>
        <v>1.026206851</v>
      </c>
      <c r="D10" s="6">
        <f>IFERROR(__xludf.DUMMYFUNCTION("""COMPUTED_VALUE"""),9.16579143206278)</f>
        <v>9.165791432</v>
      </c>
      <c r="E10" s="6">
        <f>IFERROR(__xludf.DUMMYFUNCTION("""COMPUTED_VALUE"""),0.3125)</f>
        <v>0.3125</v>
      </c>
      <c r="F10" s="6" t="str">
        <f>IFERROR(__xludf.DUMMYFUNCTION("""COMPUTED_VALUE"""),"RuntimeError")</f>
        <v>RuntimeError</v>
      </c>
      <c r="G10" s="6" t="str">
        <f>IFERROR(__xludf.DUMMYFUNCTION("""COMPUTED_VALUE"""),"NameError: name 'encode_shift' is not defined. Did you mean: 'decode_shift'?")</f>
        <v>NameError: name 'encode_shift' is not defined. Did you mean: 'decode_shift'?</v>
      </c>
    </row>
    <row r="11">
      <c r="A11" s="6" t="str">
        <f>IFERROR(__xludf.DUMMYFUNCTION("""COMPUTED_VALUE"""),"HumanEval/65")</f>
        <v>HumanEval/65</v>
      </c>
      <c r="B11" s="6">
        <f>IFERROR(__xludf.DUMMYFUNCTION("""COMPUTED_VALUE"""),0.091646674482796)</f>
        <v>0.09164667448</v>
      </c>
      <c r="C11" s="6">
        <f>IFERROR(__xludf.DUMMYFUNCTION("""COMPUTED_VALUE"""),1.16676998138427)</f>
        <v>1.166769981</v>
      </c>
      <c r="D11" s="6">
        <f>IFERROR(__xludf.DUMMYFUNCTION("""COMPUTED_VALUE"""),8.60318993655118)</f>
        <v>8.603189937</v>
      </c>
      <c r="E11" s="6">
        <f>IFERROR(__xludf.DUMMYFUNCTION("""COMPUTED_VALUE"""),0.984375)</f>
        <v>0.984375</v>
      </c>
      <c r="F11" s="6" t="str">
        <f>IFERROR(__xludf.DUMMYFUNCTION("""COMPUTED_VALUE"""),"RuntimeError")</f>
        <v>RuntimeError</v>
      </c>
      <c r="G11" s="6" t="str">
        <f>IFERROR(__xludf.DUMMYFUNCTION("""COMPUTED_VALUE"""),"AssertionError")</f>
        <v>AssertionError</v>
      </c>
    </row>
    <row r="12">
      <c r="A12" s="6" t="str">
        <f>IFERROR(__xludf.DUMMYFUNCTION("""COMPUTED_VALUE"""),"HumanEval/77")</f>
        <v>HumanEval/77</v>
      </c>
      <c r="B12" s="6">
        <f>IFERROR(__xludf.DUMMYFUNCTION("""COMPUTED_VALUE"""),0.141129266352777)</f>
        <v>0.1411292664</v>
      </c>
      <c r="C12" s="6">
        <f>IFERROR(__xludf.DUMMYFUNCTION("""COMPUTED_VALUE"""),0.867835462093353)</f>
        <v>0.8678354621</v>
      </c>
      <c r="D12" s="6">
        <f>IFERROR(__xludf.DUMMYFUNCTION("""COMPUTED_VALUE"""),7.72642627129188)</f>
        <v>7.726426271</v>
      </c>
      <c r="E12" s="6">
        <f>IFERROR(__xludf.DUMMYFUNCTION("""COMPUTED_VALUE"""),0.224431991577148)</f>
        <v>0.2244319916</v>
      </c>
      <c r="F12" s="6" t="str">
        <f>IFERROR(__xludf.DUMMYFUNCTION("""COMPUTED_VALUE"""),"RuntimeError")</f>
        <v>RuntimeError</v>
      </c>
      <c r="G12" s="6" t="str">
        <f>IFERROR(__xludf.DUMMYFUNCTION("""COMPUTED_VALUE"""),"TypeError: type complex doesn't define __round__ method")</f>
        <v>TypeError: type complex doesn't define __round__ method</v>
      </c>
    </row>
    <row r="13">
      <c r="A13" s="6" t="str">
        <f>IFERROR(__xludf.DUMMYFUNCTION("""COMPUTED_VALUE"""),"HumanEval/83")</f>
        <v>HumanEval/83</v>
      </c>
      <c r="B13" s="6">
        <f>IFERROR(__xludf.DUMMYFUNCTION("""COMPUTED_VALUE"""),0.088239543932887)</f>
        <v>0.08823954393</v>
      </c>
      <c r="C13" s="6">
        <f>IFERROR(__xludf.DUMMYFUNCTION("""COMPUTED_VALUE"""),0.800130724906921)</f>
        <v>0.8001307249</v>
      </c>
      <c r="D13" s="6">
        <f>IFERROR(__xludf.DUMMYFUNCTION("""COMPUTED_VALUE"""),8.2624977001777)</f>
        <v>8.2624977</v>
      </c>
      <c r="E13" s="6">
        <f>IFERROR(__xludf.DUMMYFUNCTION("""COMPUTED_VALUE"""),0.349431991577148)</f>
        <v>0.3494319916</v>
      </c>
      <c r="F13" s="6" t="str">
        <f>IFERROR(__xludf.DUMMYFUNCTION("""COMPUTED_VALUE"""),"RuntimeError")</f>
        <v>RuntimeError</v>
      </c>
      <c r="G13" s="6" t="str">
        <f>IFERROR(__xludf.DUMMYFUNCTION("""COMPUTED_VALUE"""),"AssertionError")</f>
        <v>AssertionError</v>
      </c>
    </row>
    <row r="14">
      <c r="A14" s="6" t="str">
        <f>IFERROR(__xludf.DUMMYFUNCTION("""COMPUTED_VALUE"""),"HumanEval/87")</f>
        <v>HumanEval/87</v>
      </c>
      <c r="B14" s="6">
        <f>IFERROR(__xludf.DUMMYFUNCTION("""COMPUTED_VALUE"""),0.129641986436992)</f>
        <v>0.1296419864</v>
      </c>
      <c r="C14" s="6">
        <f>IFERROR(__xludf.DUMMYFUNCTION("""COMPUTED_VALUE"""),1.07970321178436)</f>
        <v>1.079703212</v>
      </c>
      <c r="D14" s="6">
        <f>IFERROR(__xludf.DUMMYFUNCTION("""COMPUTED_VALUE"""),7.88742922198387)</f>
        <v>7.887429222</v>
      </c>
      <c r="E14" s="6">
        <f>IFERROR(__xludf.DUMMYFUNCTION("""COMPUTED_VALUE"""),0.3125)</f>
        <v>0.3125</v>
      </c>
      <c r="F14" s="6" t="str">
        <f>IFERROR(__xludf.DUMMYFUNCTION("""COMPUTED_VALUE"""),"RuntimeError")</f>
        <v>RuntimeError</v>
      </c>
      <c r="G14" s="6" t="str">
        <f>IFERROR(__xludf.DUMMYFUNCTION("""COMPUTED_VALUE"""),"AssertionError")</f>
        <v>AssertionError</v>
      </c>
    </row>
    <row r="15">
      <c r="A15" s="6" t="str">
        <f>IFERROR(__xludf.DUMMYFUNCTION("""COMPUTED_VALUE"""),"HumanEval/93")</f>
        <v>HumanEval/93</v>
      </c>
      <c r="B15" s="6">
        <f>IFERROR(__xludf.DUMMYFUNCTION("""COMPUTED_VALUE"""),0.151214481091533)</f>
        <v>0.1512144811</v>
      </c>
      <c r="C15" s="6">
        <f>IFERROR(__xludf.DUMMYFUNCTION("""COMPUTED_VALUE"""),2.05708122253417)</f>
        <v>2.057081223</v>
      </c>
      <c r="D15" s="6">
        <f>IFERROR(__xludf.DUMMYFUNCTION("""COMPUTED_VALUE"""),7.67878913879394)</f>
        <v>7.678789139</v>
      </c>
      <c r="E15" s="6">
        <f>IFERROR(__xludf.DUMMYFUNCTION("""COMPUTED_VALUE"""),0.046875)</f>
        <v>0.046875</v>
      </c>
      <c r="F15" s="6" t="str">
        <f>IFERROR(__xludf.DUMMYFUNCTION("""COMPUTED_VALUE"""),"RuntimeError")</f>
        <v>RuntimeError</v>
      </c>
      <c r="G15" s="6" t="str">
        <f>IFERROR(__xludf.DUMMYFUNCTION("""COMPUTED_VALUE"""),"AssertionError: This prints if this assert fails 1 (good for debugging!)")</f>
        <v>AssertionError: This prints if this assert fails 1 (good for debugging!)</v>
      </c>
    </row>
    <row r="16">
      <c r="A16" s="6" t="str">
        <f>IFERROR(__xludf.DUMMYFUNCTION("""COMPUTED_VALUE"""),"HumanEval/94")</f>
        <v>HumanEval/94</v>
      </c>
      <c r="B16" s="6">
        <f>IFERROR(__xludf.DUMMYFUNCTION("""COMPUTED_VALUE"""),0.068586961010054)</f>
        <v>0.06858696101</v>
      </c>
      <c r="C16" s="6">
        <f>IFERROR(__xludf.DUMMYFUNCTION("""COMPUTED_VALUE"""),1.03109443187713)</f>
        <v>1.031094432</v>
      </c>
      <c r="D16" s="6">
        <f>IFERROR(__xludf.DUMMYFUNCTION("""COMPUTED_VALUE"""),10.0519577691314)</f>
        <v>10.05195777</v>
      </c>
      <c r="E16" s="6">
        <f>IFERROR(__xludf.DUMMYFUNCTION("""COMPUTED_VALUE"""),0.282669067382812)</f>
        <v>0.2826690674</v>
      </c>
      <c r="F16" s="6" t="str">
        <f>IFERROR(__xludf.DUMMYFUNCTION("""COMPUTED_VALUE"""),"RuntimeError")</f>
        <v>RuntimeError</v>
      </c>
      <c r="G16" s="6" t="str">
        <f>IFERROR(__xludf.DUMMYFUNCTION("""COMPUTED_VALUE"""),"NameError: name 'is_prime' is not defined. Did you mean: 'max_prime'?")</f>
        <v>NameError: name 'is_prime' is not defined. Did you mean: 'max_prime'?</v>
      </c>
    </row>
    <row r="17">
      <c r="A17" s="6" t="str">
        <f>IFERROR(__xludf.DUMMYFUNCTION("""COMPUTED_VALUE"""),"HumanEval/95")</f>
        <v>HumanEval/95</v>
      </c>
      <c r="B17" s="6">
        <f>IFERROR(__xludf.DUMMYFUNCTION("""COMPUTED_VALUE"""),0.141982416122556)</f>
        <v>0.1419824161</v>
      </c>
      <c r="C17" s="6">
        <f>IFERROR(__xludf.DUMMYFUNCTION("""COMPUTED_VALUE"""),1.45643067359924)</f>
        <v>1.456430674</v>
      </c>
      <c r="D17" s="6">
        <f>IFERROR(__xludf.DUMMYFUNCTION("""COMPUTED_VALUE"""),8.85250993208451)</f>
        <v>8.852509932</v>
      </c>
      <c r="E17" s="6">
        <f>IFERROR(__xludf.DUMMYFUNCTION("""COMPUTED_VALUE"""),0.078125)</f>
        <v>0.078125</v>
      </c>
      <c r="F17" s="6" t="str">
        <f>IFERROR(__xludf.DUMMYFUNCTION("""COMPUTED_VALUE"""),"RuntimeError")</f>
        <v>RuntimeError</v>
      </c>
      <c r="G17" s="6" t="str">
        <f>IFERROR(__xludf.DUMMYFUNCTION("""COMPUTED_VALUE"""),"AssertionError: Third test error: True")</f>
        <v>AssertionError: Third test error: True</v>
      </c>
    </row>
    <row r="18">
      <c r="A18" s="6" t="str">
        <f>IFERROR(__xludf.DUMMYFUNCTION("""COMPUTED_VALUE"""),"HumanEval/96")</f>
        <v>HumanEval/96</v>
      </c>
      <c r="B18" s="6">
        <f>IFERROR(__xludf.DUMMYFUNCTION("""COMPUTED_VALUE"""),0.067704655903466)</f>
        <v>0.0677046559</v>
      </c>
      <c r="C18" s="6">
        <f>IFERROR(__xludf.DUMMYFUNCTION("""COMPUTED_VALUE"""),1.02152836322784)</f>
        <v>1.021528363</v>
      </c>
      <c r="D18" s="6">
        <f>IFERROR(__xludf.DUMMYFUNCTION("""COMPUTED_VALUE"""),10.3503431548242)</f>
        <v>10.35034315</v>
      </c>
      <c r="E18" s="6">
        <f>IFERROR(__xludf.DUMMYFUNCTION("""COMPUTED_VALUE"""),0.082386016845703)</f>
        <v>0.08238601685</v>
      </c>
      <c r="F18" s="6" t="str">
        <f>IFERROR(__xludf.DUMMYFUNCTION("""COMPUTED_VALUE"""),"RuntimeError")</f>
        <v>RuntimeError</v>
      </c>
      <c r="G18" s="6" t="str">
        <f>IFERROR(__xludf.DUMMYFUNCTION("""COMPUTED_VALUE"""),"NameError: name 'is_prime' is not defined")</f>
        <v>NameError: name 'is_prime' is not defined</v>
      </c>
    </row>
    <row r="19">
      <c r="A19" s="6" t="str">
        <f>IFERROR(__xludf.DUMMYFUNCTION("""COMPUTED_VALUE"""),"HumanEval/108")</f>
        <v>HumanEval/108</v>
      </c>
      <c r="B19" s="6">
        <f>IFERROR(__xludf.DUMMYFUNCTION("""COMPUTED_VALUE"""),0.122429677336084)</f>
        <v>0.1224296773</v>
      </c>
      <c r="C19" s="6">
        <f>IFERROR(__xludf.DUMMYFUNCTION("""COMPUTED_VALUE"""),0.777848243713378)</f>
        <v>0.7778482437</v>
      </c>
      <c r="D19" s="6">
        <f>IFERROR(__xludf.DUMMYFUNCTION("""COMPUTED_VALUE"""),6.8615059322781)</f>
        <v>6.861505932</v>
      </c>
      <c r="E19" s="6">
        <f>IFERROR(__xludf.DUMMYFUNCTION("""COMPUTED_VALUE"""),0.3125)</f>
        <v>0.3125</v>
      </c>
      <c r="F19" s="6" t="str">
        <f>IFERROR(__xludf.DUMMYFUNCTION("""COMPUTED_VALUE"""),"RuntimeError")</f>
        <v>RuntimeError</v>
      </c>
      <c r="G19" s="6" t="str">
        <f>IFERROR(__xludf.DUMMYFUNCTION("""COMPUTED_VALUE"""),"AssertionError")</f>
        <v>AssertionError</v>
      </c>
    </row>
    <row r="20">
      <c r="A20" s="6" t="str">
        <f>IFERROR(__xludf.DUMMYFUNCTION("""COMPUTED_VALUE"""),"HumanEval/120")</f>
        <v>HumanEval/120</v>
      </c>
      <c r="B20" s="6">
        <f>IFERROR(__xludf.DUMMYFUNCTION("""COMPUTED_VALUE"""),0.183088722047816)</f>
        <v>0.183088722</v>
      </c>
      <c r="C20" s="6">
        <f>IFERROR(__xludf.DUMMYFUNCTION("""COMPUTED_VALUE"""),1.07205879688262)</f>
        <v>1.072058797</v>
      </c>
      <c r="D20" s="6">
        <f>IFERROR(__xludf.DUMMYFUNCTION("""COMPUTED_VALUE"""),6.80058447519938)</f>
        <v>6.800584475</v>
      </c>
      <c r="E20" s="6">
        <f>IFERROR(__xludf.DUMMYFUNCTION("""COMPUTED_VALUE"""),0.865056991577148)</f>
        <v>0.8650569916</v>
      </c>
      <c r="F20" s="6" t="str">
        <f>IFERROR(__xludf.DUMMYFUNCTION("""COMPUTED_VALUE"""),"RuntimeError")</f>
        <v>RuntimeError</v>
      </c>
      <c r="G20" s="6" t="str">
        <f>IFERROR(__xludf.DUMMYFUNCTION("""COMPUTED_VALUE"""),"AssertionError")</f>
        <v>AssertionError</v>
      </c>
    </row>
    <row r="21">
      <c r="A21" s="6" t="str">
        <f>IFERROR(__xludf.DUMMYFUNCTION("""COMPUTED_VALUE"""),"HumanEval/121")</f>
        <v>HumanEval/121</v>
      </c>
      <c r="B21" s="6">
        <f>IFERROR(__xludf.DUMMYFUNCTION("""COMPUTED_VALUE"""),0.07684037855393)</f>
        <v>0.07684037855</v>
      </c>
      <c r="C21" s="6">
        <f>IFERROR(__xludf.DUMMYFUNCTION("""COMPUTED_VALUE"""),0.719308137893676)</f>
        <v>0.7193081379</v>
      </c>
      <c r="D21" s="6">
        <f>IFERROR(__xludf.DUMMYFUNCTION("""COMPUTED_VALUE"""),9.35666518462331)</f>
        <v>9.356665185</v>
      </c>
      <c r="E21" s="6">
        <f>IFERROR(__xludf.DUMMYFUNCTION("""COMPUTED_VALUE"""),0.525568008422851)</f>
        <v>0.5255680084</v>
      </c>
      <c r="F21" s="6" t="str">
        <f>IFERROR(__xludf.DUMMYFUNCTION("""COMPUTED_VALUE"""),"RuntimeError")</f>
        <v>RuntimeError</v>
      </c>
      <c r="G21" s="6" t="str">
        <f>IFERROR(__xludf.DUMMYFUNCTION("""COMPUTED_VALUE"""),"AssertionError")</f>
        <v>AssertionError</v>
      </c>
    </row>
    <row r="22">
      <c r="A22" s="6" t="str">
        <f>IFERROR(__xludf.DUMMYFUNCTION("""COMPUTED_VALUE"""),"HumanEval/127")</f>
        <v>HumanEval/127</v>
      </c>
      <c r="B22" s="6">
        <f>IFERROR(__xludf.DUMMYFUNCTION("""COMPUTED_VALUE"""),0.069339108838757)</f>
        <v>0.06933910884</v>
      </c>
      <c r="C22" s="6">
        <f>IFERROR(__xludf.DUMMYFUNCTION("""COMPUTED_VALUE"""),1.29441714286804)</f>
        <v>1.294417143</v>
      </c>
      <c r="D22" s="6">
        <f>IFERROR(__xludf.DUMMYFUNCTION("""COMPUTED_VALUE"""),10.2182750863544)</f>
        <v>10.21827509</v>
      </c>
      <c r="E22" s="6">
        <f>IFERROR(__xludf.DUMMYFUNCTION("""COMPUTED_VALUE"""),0.142045974731445)</f>
        <v>0.1420459747</v>
      </c>
      <c r="F22" s="6" t="str">
        <f>IFERROR(__xludf.DUMMYFUNCTION("""COMPUTED_VALUE"""),"RuntimeError")</f>
        <v>RuntimeError</v>
      </c>
      <c r="G22" s="6" t="str">
        <f>IFERROR(__xludf.DUMMYFUNCTION("""COMPUTED_VALUE"""),"AssertionError")</f>
        <v>AssertionError</v>
      </c>
    </row>
    <row r="23">
      <c r="A23" s="6" t="str">
        <f>IFERROR(__xludf.DUMMYFUNCTION("""COMPUTED_VALUE"""),"HumanEval/129")</f>
        <v>HumanEval/129</v>
      </c>
      <c r="B23" s="6">
        <f>IFERROR(__xludf.DUMMYFUNCTION("""COMPUTED_VALUE"""),0.12516192493961)</f>
        <v>0.1251619249</v>
      </c>
      <c r="C23" s="6">
        <f>IFERROR(__xludf.DUMMYFUNCTION("""COMPUTED_VALUE"""),1.39042448997497)</f>
        <v>1.39042449</v>
      </c>
      <c r="D23" s="6">
        <f>IFERROR(__xludf.DUMMYFUNCTION("""COMPUTED_VALUE"""),8.97891182606446)</f>
        <v>8.978911826</v>
      </c>
      <c r="E23" s="6">
        <f>IFERROR(__xludf.DUMMYFUNCTION("""COMPUTED_VALUE"""),0.014204025268554)</f>
        <v>0.01420402527</v>
      </c>
      <c r="F23" s="6" t="str">
        <f>IFERROR(__xludf.DUMMYFUNCTION("""COMPUTED_VALUE"""),"RuntimeError")</f>
        <v>RuntimeError</v>
      </c>
      <c r="G23" s="6" t="str">
        <f>IFERROR(__xludf.DUMMYFUNCTION("""COMPUTED_VALUE"""),"AssertionError")</f>
        <v>AssertionError</v>
      </c>
    </row>
    <row r="24">
      <c r="A24" s="6" t="str">
        <f>IFERROR(__xludf.DUMMYFUNCTION("""COMPUTED_VALUE"""),"HumanEval/130")</f>
        <v>HumanEval/130</v>
      </c>
      <c r="B24" s="6">
        <f>IFERROR(__xludf.DUMMYFUNCTION("""COMPUTED_VALUE"""),0.133576534004778)</f>
        <v>0.133576534</v>
      </c>
      <c r="C24" s="6">
        <f>IFERROR(__xludf.DUMMYFUNCTION("""COMPUTED_VALUE"""),1.6010113954544)</f>
        <v>1.601011395</v>
      </c>
      <c r="D24" s="6">
        <f>IFERROR(__xludf.DUMMYFUNCTION("""COMPUTED_VALUE"""),7.63421413490364)</f>
        <v>7.634214135</v>
      </c>
      <c r="E24" s="6">
        <f>IFERROR(__xludf.DUMMYFUNCTION("""COMPUTED_VALUE"""),0.173294067382812)</f>
        <v>0.1732940674</v>
      </c>
      <c r="F24" s="6" t="str">
        <f>IFERROR(__xludf.DUMMYFUNCTION("""COMPUTED_VALUE"""),"RuntimeError")</f>
        <v>RuntimeError</v>
      </c>
      <c r="G24" s="6" t="str">
        <f>IFERROR(__xludf.DUMMYFUNCTION("""COMPUTED_VALUE"""),"IndexError: list index out of range")</f>
        <v>IndexError: list index out of range</v>
      </c>
    </row>
    <row r="25">
      <c r="A25" s="6" t="str">
        <f>IFERROR(__xludf.DUMMYFUNCTION("""COMPUTED_VALUE"""),"HumanEval/132")</f>
        <v>HumanEval/132</v>
      </c>
      <c r="B25" s="6">
        <f>IFERROR(__xludf.DUMMYFUNCTION("""COMPUTED_VALUE"""),0.123496816566878)</f>
        <v>0.1234968166</v>
      </c>
      <c r="C25" s="6">
        <f>IFERROR(__xludf.DUMMYFUNCTION("""COMPUTED_VALUE"""),1.27018249034881)</f>
        <v>1.27018249</v>
      </c>
      <c r="D25" s="6">
        <f>IFERROR(__xludf.DUMMYFUNCTION("""COMPUTED_VALUE"""),7.62756967544555)</f>
        <v>7.627569675</v>
      </c>
      <c r="E25" s="6">
        <f>IFERROR(__xludf.DUMMYFUNCTION("""COMPUTED_VALUE"""),0.046875)</f>
        <v>0.046875</v>
      </c>
      <c r="F25" s="6" t="str">
        <f>IFERROR(__xludf.DUMMYFUNCTION("""COMPUTED_VALUE"""),"RuntimeError")</f>
        <v>RuntimeError</v>
      </c>
      <c r="G25" s="6" t="str">
        <f>IFERROR(__xludf.DUMMYFUNCTION("""COMPUTED_VALUE"""),"AssertionError")</f>
        <v>AssertionError</v>
      </c>
    </row>
    <row r="26">
      <c r="A26" s="6" t="str">
        <f>IFERROR(__xludf.DUMMYFUNCTION("""COMPUTED_VALUE"""),"HumanEval/140")</f>
        <v>HumanEval/140</v>
      </c>
      <c r="B26" s="6">
        <f>IFERROR(__xludf.DUMMYFUNCTION("""COMPUTED_VALUE"""),0.105470973587443)</f>
        <v>0.1054709736</v>
      </c>
      <c r="C26" s="6">
        <f>IFERROR(__xludf.DUMMYFUNCTION("""COMPUTED_VALUE"""),0.743021011352539)</f>
        <v>0.7430210114</v>
      </c>
      <c r="D26" s="6">
        <f>IFERROR(__xludf.DUMMYFUNCTION("""COMPUTED_VALUE"""),7.25625908374786)</f>
        <v>7.256259084</v>
      </c>
      <c r="E26" s="6">
        <f>IFERROR(__xludf.DUMMYFUNCTION("""COMPUTED_VALUE"""),0.768465042114257)</f>
        <v>0.7684650421</v>
      </c>
      <c r="F26" s="6" t="str">
        <f>IFERROR(__xludf.DUMMYFUNCTION("""COMPUTED_VALUE"""),"RuntimeError")</f>
        <v>RuntimeError</v>
      </c>
      <c r="G26" s="6" t="str">
        <f>IFERROR(__xludf.DUMMYFUNCTION("""COMPUTED_VALUE"""),"AssertionError: This prints if this assert fails 4 (good for debugging!)")</f>
        <v>AssertionError: This prints if this assert fails 4 (good for debugging!)</v>
      </c>
    </row>
    <row r="27">
      <c r="A27" s="6" t="str">
        <f>IFERROR(__xludf.DUMMYFUNCTION("""COMPUTED_VALUE"""),"HumanEval/141")</f>
        <v>HumanEval/141</v>
      </c>
      <c r="B27" s="6">
        <f>IFERROR(__xludf.DUMMYFUNCTION("""COMPUTED_VALUE"""),0.077056494621111)</f>
        <v>0.07705649462</v>
      </c>
      <c r="C27" s="6">
        <f>IFERROR(__xludf.DUMMYFUNCTION("""COMPUTED_VALUE"""),1.287606716156)</f>
        <v>1.287606716</v>
      </c>
      <c r="D27" s="6">
        <f>IFERROR(__xludf.DUMMYFUNCTION("""COMPUTED_VALUE"""),8.65059984431547)</f>
        <v>8.650599844</v>
      </c>
      <c r="E27" s="6">
        <f>IFERROR(__xludf.DUMMYFUNCTION("""COMPUTED_VALUE"""),0.03125)</f>
        <v>0.03125</v>
      </c>
      <c r="F27" s="6" t="str">
        <f>IFERROR(__xludf.DUMMYFUNCTION("""COMPUTED_VALUE"""),"RuntimeError")</f>
        <v>RuntimeError</v>
      </c>
      <c r="G27" s="6" t="str">
        <f>IFERROR(__xludf.DUMMYFUNCTION("""COMPUTED_VALUE"""),"AssertionError")</f>
        <v>AssertionError</v>
      </c>
    </row>
    <row r="28">
      <c r="A28" s="6" t="str">
        <f>IFERROR(__xludf.DUMMYFUNCTION("""COMPUTED_VALUE"""),"HumanEval/145")</f>
        <v>HumanEval/145</v>
      </c>
      <c r="B28" s="6">
        <f>IFERROR(__xludf.DUMMYFUNCTION("""COMPUTED_VALUE"""),0.080057986925345)</f>
        <v>0.08005798693</v>
      </c>
      <c r="C28" s="6">
        <f>IFERROR(__xludf.DUMMYFUNCTION("""COMPUTED_VALUE"""),1.17739069461822)</f>
        <v>1.177390695</v>
      </c>
      <c r="D28" s="6">
        <f>IFERROR(__xludf.DUMMYFUNCTION("""COMPUTED_VALUE"""),7.99641073072278)</f>
        <v>7.996410731</v>
      </c>
      <c r="E28" s="6">
        <f>IFERROR(__xludf.DUMMYFUNCTION("""COMPUTED_VALUE"""),0.284090042114257)</f>
        <v>0.2840900421</v>
      </c>
      <c r="F28" s="6" t="str">
        <f>IFERROR(__xludf.DUMMYFUNCTION("""COMPUTED_VALUE"""),"RuntimeError")</f>
        <v>RuntimeError</v>
      </c>
      <c r="G28" s="6" t="str">
        <f>IFERROR(__xludf.DUMMYFUNCTION("""COMPUTED_VALUE"""),"AssertionError")</f>
        <v>AssertionError</v>
      </c>
    </row>
    <row r="29">
      <c r="A29" s="6" t="str">
        <f>IFERROR(__xludf.DUMMYFUNCTION("""COMPUTED_VALUE"""),"HumanEval/160")</f>
        <v>HumanEval/160</v>
      </c>
      <c r="B29" s="6">
        <f>IFERROR(__xludf.DUMMYFUNCTION("""COMPUTED_VALUE"""),0.094621331798313)</f>
        <v>0.0946213318</v>
      </c>
      <c r="C29" s="6">
        <f>IFERROR(__xludf.DUMMYFUNCTION("""COMPUTED_VALUE"""),1.42701244354248)</f>
        <v>1.427012444</v>
      </c>
      <c r="D29" s="6">
        <f>IFERROR(__xludf.DUMMYFUNCTION("""COMPUTED_VALUE"""),8.81710858677708)</f>
        <v>8.817108587</v>
      </c>
      <c r="E29" s="6">
        <f>IFERROR(__xludf.DUMMYFUNCTION("""COMPUTED_VALUE"""),0.071023941040039)</f>
        <v>0.07102394104</v>
      </c>
      <c r="F29" s="6" t="str">
        <f>IFERROR(__xludf.DUMMYFUNCTION("""COMPUTED_VALUE"""),"RuntimeError")</f>
        <v>RuntimeError</v>
      </c>
      <c r="G29" s="6" t="str">
        <f>IFERROR(__xludf.DUMMYFUNCTION("""COMPUTED_VALUE"""),"AssertionError")</f>
        <v>AssertionError</v>
      </c>
    </row>
    <row r="30">
      <c r="A30" s="6" t="str">
        <f>IFERROR(__xludf.DUMMYFUNCTION("""COMPUTED_VALUE"""),"HumanEval/163")</f>
        <v>HumanEval/163</v>
      </c>
      <c r="B30" s="6">
        <f>IFERROR(__xludf.DUMMYFUNCTION("""COMPUTED_VALUE"""),0.075082691329245)</f>
        <v>0.07508269133</v>
      </c>
      <c r="C30" s="6">
        <f>IFERROR(__xludf.DUMMYFUNCTION("""COMPUTED_VALUE"""),1.07480692863464)</f>
        <v>1.074806929</v>
      </c>
      <c r="D30" s="6">
        <f>IFERROR(__xludf.DUMMYFUNCTION("""COMPUTED_VALUE"""),9.51881469870513)</f>
        <v>9.518814699</v>
      </c>
      <c r="E30" s="6">
        <f>IFERROR(__xludf.DUMMYFUNCTION("""COMPUTED_VALUE"""),0.5625)</f>
        <v>0.5625</v>
      </c>
      <c r="F30" s="6" t="str">
        <f>IFERROR(__xludf.DUMMYFUNCTION("""COMPUTED_VALUE"""),"RuntimeError")</f>
        <v>RuntimeError</v>
      </c>
      <c r="G30" s="6" t="str">
        <f>IFERROR(__xludf.DUMMYFUNCTION("""COMPUTED_VALUE"""),"AssertionError: Test 1")</f>
        <v>AssertionError: Test 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2.38"/>
    <col customWidth="1" min="3" max="3" width="10.5"/>
    <col customWidth="1" min="4" max="4" width="10.88"/>
    <col customWidth="1" min="5" max="5" width="13.25"/>
    <col customWidth="1" min="6" max="6" width="10.38"/>
    <col customWidth="1" min="7" max="7" width="41.38"/>
  </cols>
  <sheetData>
    <row r="1">
      <c r="A1" s="4" t="s">
        <v>75</v>
      </c>
      <c r="B1" s="4" t="s">
        <v>90</v>
      </c>
      <c r="C1" s="4" t="s">
        <v>93</v>
      </c>
      <c r="D1" s="4" t="s">
        <v>96</v>
      </c>
      <c r="E1" s="4" t="s">
        <v>100</v>
      </c>
      <c r="F1" s="6"/>
      <c r="G1" s="6"/>
    </row>
    <row r="2">
      <c r="A2" s="7" t="s">
        <v>111</v>
      </c>
      <c r="B2" s="6">
        <f>AVERAGEIF(mbpp!F:F, TRUE, mbpp!W:W)</f>
        <v>0.1718009806</v>
      </c>
      <c r="C2" s="6">
        <f>AVERAGEIF(mbpp!F:F, TRUE, mbpp!X:X)</f>
        <v>1.479132556</v>
      </c>
      <c r="D2" s="6">
        <f>AVERAGEIF(mbpp!F:F, TRUE, mbpp!Y:Y)</f>
        <v>7.821598796</v>
      </c>
      <c r="E2" s="6">
        <f>AVERAGEIF(mbpp!F:F, TRUE, mbpp!Z:Z)</f>
        <v>0.2300300374</v>
      </c>
      <c r="F2" s="6"/>
      <c r="G2" s="6"/>
    </row>
    <row r="3">
      <c r="A3" s="6"/>
      <c r="B3" s="6">
        <f t="shared" ref="B3:E3" si="1">AVERAGE(B6:B20)</f>
        <v>0.2013038717</v>
      </c>
      <c r="C3" s="6">
        <f t="shared" si="1"/>
        <v>1.78005422</v>
      </c>
      <c r="D3" s="6">
        <f t="shared" si="1"/>
        <v>7.406283034</v>
      </c>
      <c r="E3" s="6">
        <f t="shared" si="1"/>
        <v>0.1001895905</v>
      </c>
      <c r="F3" s="6"/>
      <c r="G3" s="6"/>
    </row>
    <row r="4">
      <c r="A4" s="4" t="s">
        <v>187</v>
      </c>
      <c r="B4" s="6"/>
      <c r="C4" s="6"/>
      <c r="D4" s="6"/>
      <c r="E4" s="6"/>
      <c r="F4" s="6"/>
      <c r="G4" s="6"/>
    </row>
    <row r="5">
      <c r="A5" s="14" t="str">
        <f>IFERROR(__xludf.DUMMYFUNCTION("QUERY(mbpp!A:Z, ""SELECT A, W, X, Y, Z, G, H WHERE F = false"", 1)"),"task_id")</f>
        <v>task_id</v>
      </c>
      <c r="B5" s="14" t="str">
        <f>IFERROR(__xludf.DUMMYFUNCTION("""COMPUTED_VALUE"""),"mean_entropy")</f>
        <v>mean_entropy</v>
      </c>
      <c r="C5" s="14" t="str">
        <f>IFERROR(__xludf.DUMMYFUNCTION("""COMPUTED_VALUE"""),"max_entropy")</f>
        <v>max_entropy</v>
      </c>
      <c r="D5" s="14" t="str">
        <f>IFERROR(__xludf.DUMMYFUNCTION("""COMPUTED_VALUE"""),"mean_margin")</f>
        <v>mean_margin</v>
      </c>
      <c r="E5" s="14" t="str">
        <f>IFERROR(__xludf.DUMMYFUNCTION("""COMPUTED_VALUE"""),"min_margin")</f>
        <v>min_margin</v>
      </c>
      <c r="F5" s="14" t="str">
        <f>IFERROR(__xludf.DUMMYFUNCTION("""COMPUTED_VALUE"""),"error_type")</f>
        <v>error_type</v>
      </c>
      <c r="G5" s="14" t="str">
        <f>IFERROR(__xludf.DUMMYFUNCTION("""COMPUTED_VALUE"""),"error_message")</f>
        <v>error_message</v>
      </c>
    </row>
    <row r="6">
      <c r="A6" s="6" t="str">
        <f>IFERROR(__xludf.DUMMYFUNCTION("""COMPUTED_VALUE"""),"mbpp_20")</f>
        <v>mbpp_20</v>
      </c>
      <c r="B6" s="6">
        <f>IFERROR(__xludf.DUMMYFUNCTION("""COMPUTED_VALUE"""),0.194283933048975)</f>
        <v>0.194283933</v>
      </c>
      <c r="C6" s="6">
        <f>IFERROR(__xludf.DUMMYFUNCTION("""COMPUTED_VALUE"""),2.3966474533081)</f>
        <v>2.396647453</v>
      </c>
      <c r="D6" s="6">
        <f>IFERROR(__xludf.DUMMYFUNCTION("""COMPUTED_VALUE"""),7.33605026684219)</f>
        <v>7.336050267</v>
      </c>
      <c r="E6" s="6">
        <f>IFERROR(__xludf.DUMMYFUNCTION("""COMPUTED_VALUE"""),0.00284194946289062)</f>
        <v>0.002841949463</v>
      </c>
      <c r="F6" s="6" t="str">
        <f>IFERROR(__xludf.DUMMYFUNCTION("""COMPUTED_VALUE"""),"RuntimeError")</f>
        <v>RuntimeError</v>
      </c>
      <c r="G6" s="6" t="str">
        <f>IFERROR(__xludf.DUMMYFUNCTION("""COMPUTED_VALUE"""),"AssertionError")</f>
        <v>AssertionError</v>
      </c>
    </row>
    <row r="7">
      <c r="A7" s="6" t="str">
        <f>IFERROR(__xludf.DUMMYFUNCTION("""COMPUTED_VALUE"""),"mbpp_63")</f>
        <v>mbpp_63</v>
      </c>
      <c r="B7" s="6">
        <f>IFERROR(__xludf.DUMMYFUNCTION("""COMPUTED_VALUE"""),0.290157160801408)</f>
        <v>0.2901571608</v>
      </c>
      <c r="C7" s="6">
        <f>IFERROR(__xludf.DUMMYFUNCTION("""COMPUTED_VALUE"""),2.22744083404541)</f>
        <v>2.227440834</v>
      </c>
      <c r="D7" s="6">
        <f>IFERROR(__xludf.DUMMYFUNCTION("""COMPUTED_VALUE"""),5.47796621776762)</f>
        <v>5.477966218</v>
      </c>
      <c r="E7" s="6">
        <f>IFERROR(__xludf.DUMMYFUNCTION("""COMPUTED_VALUE"""),0.03125)</f>
        <v>0.03125</v>
      </c>
      <c r="F7" s="6" t="str">
        <f>IFERROR(__xludf.DUMMYFUNCTION("""COMPUTED_VALUE"""),"RuntimeError")</f>
        <v>RuntimeError</v>
      </c>
      <c r="G7" s="6" t="str">
        <f>IFERROR(__xludf.DUMMYFUNCTION("""COMPUTED_VALUE"""),"TypeError: bad operand type for abs(): 'tuple'")</f>
        <v>TypeError: bad operand type for abs(): 'tuple'</v>
      </c>
    </row>
    <row r="8">
      <c r="A8" s="6" t="str">
        <f>IFERROR(__xludf.DUMMYFUNCTION("""COMPUTED_VALUE"""),"mbpp_67")</f>
        <v>mbpp_67</v>
      </c>
      <c r="B8" s="6">
        <f>IFERROR(__xludf.DUMMYFUNCTION("""COMPUTED_VALUE"""),0.244513645677781)</f>
        <v>0.2445136457</v>
      </c>
      <c r="C8" s="6">
        <f>IFERROR(__xludf.DUMMYFUNCTION("""COMPUTED_VALUE"""),2.94356346130371)</f>
        <v>2.943563461</v>
      </c>
      <c r="D8" s="6">
        <f>IFERROR(__xludf.DUMMYFUNCTION("""COMPUTED_VALUE"""),5.86903563749443)</f>
        <v>5.869035637</v>
      </c>
      <c r="E8" s="6">
        <f>IFERROR(__xludf.DUMMYFUNCTION("""COMPUTED_VALUE"""),0.078125)</f>
        <v>0.078125</v>
      </c>
      <c r="F8" s="6" t="str">
        <f>IFERROR(__xludf.DUMMYFUNCTION("""COMPUTED_VALUE"""),"RuntimeError")</f>
        <v>RuntimeError</v>
      </c>
      <c r="G8" s="6" t="str">
        <f>IFERROR(__xludf.DUMMYFUNCTION("""COMPUTED_VALUE"""),"AssertionError")</f>
        <v>AssertionError</v>
      </c>
    </row>
    <row r="9">
      <c r="A9" s="6" t="str">
        <f>IFERROR(__xludf.DUMMYFUNCTION("""COMPUTED_VALUE"""),"mbpp_72")</f>
        <v>mbpp_72</v>
      </c>
      <c r="B9" s="6">
        <f>IFERROR(__xludf.DUMMYFUNCTION("""COMPUTED_VALUE"""),0.349911750352475)</f>
        <v>0.3499117504</v>
      </c>
      <c r="C9" s="6">
        <f>IFERROR(__xludf.DUMMYFUNCTION("""COMPUTED_VALUE"""),1.16661715507507)</f>
        <v>1.166617155</v>
      </c>
      <c r="D9" s="6">
        <f>IFERROR(__xludf.DUMMYFUNCTION("""COMPUTED_VALUE"""),4.28844137986501)</f>
        <v>4.28844138</v>
      </c>
      <c r="E9" s="6">
        <f>IFERROR(__xludf.DUMMYFUNCTION("""COMPUTED_VALUE"""),0.125)</f>
        <v>0.125</v>
      </c>
      <c r="F9" s="6" t="str">
        <f>IFERROR(__xludf.DUMMYFUNCTION("""COMPUTED_VALUE"""),"RuntimeError")</f>
        <v>RuntimeError</v>
      </c>
      <c r="G9" s="6" t="str">
        <f>IFERROR(__xludf.DUMMYFUNCTION("""COMPUTED_VALUE"""),"AssertionError")</f>
        <v>AssertionError</v>
      </c>
    </row>
    <row r="10">
      <c r="A10" s="6" t="str">
        <f>IFERROR(__xludf.DUMMYFUNCTION("""COMPUTED_VALUE"""),"mbpp_83")</f>
        <v>mbpp_83</v>
      </c>
      <c r="B10" s="6">
        <f>IFERROR(__xludf.DUMMYFUNCTION("""COMPUTED_VALUE"""),0.279826927293962)</f>
        <v>0.2798269273</v>
      </c>
      <c r="C10" s="6">
        <f>IFERROR(__xludf.DUMMYFUNCTION("""COMPUTED_VALUE"""),2.15607690811157)</f>
        <v>2.156076908</v>
      </c>
      <c r="D10" s="6">
        <f>IFERROR(__xludf.DUMMYFUNCTION("""COMPUTED_VALUE"""),6.42677165760713)</f>
        <v>6.426771658</v>
      </c>
      <c r="E10" s="6">
        <f>IFERROR(__xludf.DUMMYFUNCTION("""COMPUTED_VALUE"""),0.078125)</f>
        <v>0.078125</v>
      </c>
      <c r="F10" s="6" t="str">
        <f>IFERROR(__xludf.DUMMYFUNCTION("""COMPUTED_VALUE"""),"RuntimeError")</f>
        <v>RuntimeError</v>
      </c>
      <c r="G10" s="6" t="str">
        <f>IFERROR(__xludf.DUMMYFUNCTION("""COMPUTED_VALUE"""),"AssertionError")</f>
        <v>AssertionError</v>
      </c>
    </row>
    <row r="11">
      <c r="A11" s="6" t="str">
        <f>IFERROR(__xludf.DUMMYFUNCTION("""COMPUTED_VALUE"""),"mbpp_87")</f>
        <v>mbpp_87</v>
      </c>
      <c r="B11" s="6">
        <f>IFERROR(__xludf.DUMMYFUNCTION("""COMPUTED_VALUE"""),0.180962683397)</f>
        <v>0.1809626834</v>
      </c>
      <c r="C11" s="6">
        <f>IFERROR(__xludf.DUMMYFUNCTION("""COMPUTED_VALUE"""),1.19885993003845)</f>
        <v>1.19885993</v>
      </c>
      <c r="D11" s="6">
        <f>IFERROR(__xludf.DUMMYFUNCTION("""COMPUTED_VALUE"""),7.42076413862166)</f>
        <v>7.420764139</v>
      </c>
      <c r="E11" s="6">
        <f>IFERROR(__xludf.DUMMYFUNCTION("""COMPUTED_VALUE"""),0.171875)</f>
        <v>0.171875</v>
      </c>
      <c r="F11" s="6" t="str">
        <f>IFERROR(__xludf.DUMMYFUNCTION("""COMPUTED_VALUE"""),"RuntimeError")</f>
        <v>RuntimeError</v>
      </c>
      <c r="G11" s="6" t="str">
        <f>IFERROR(__xludf.DUMMYFUNCTION("""COMPUTED_VALUE"""),"AssertionError")</f>
        <v>AssertionError</v>
      </c>
    </row>
    <row r="12">
      <c r="A12" s="6" t="str">
        <f>IFERROR(__xludf.DUMMYFUNCTION("""COMPUTED_VALUE"""),"mbpp_106")</f>
        <v>mbpp_106</v>
      </c>
      <c r="B12" s="6">
        <f>IFERROR(__xludf.DUMMYFUNCTION("""COMPUTED_VALUE"""),0.407957357694613)</f>
        <v>0.4079573577</v>
      </c>
      <c r="C12" s="6">
        <f>IFERROR(__xludf.DUMMYFUNCTION("""COMPUTED_VALUE"""),1.96741724014282)</f>
        <v>1.96741724</v>
      </c>
      <c r="D12" s="6">
        <f>IFERROR(__xludf.DUMMYFUNCTION("""COMPUTED_VALUE"""),4.45383518934249)</f>
        <v>4.453835189</v>
      </c>
      <c r="E12" s="6">
        <f>IFERROR(__xludf.DUMMYFUNCTION("""COMPUTED_VALUE"""),0.15625)</f>
        <v>0.15625</v>
      </c>
      <c r="F12" s="6" t="str">
        <f>IFERROR(__xludf.DUMMYFUNCTION("""COMPUTED_VALUE"""),"RuntimeError")</f>
        <v>RuntimeError</v>
      </c>
      <c r="G12" s="6" t="str">
        <f>IFERROR(__xludf.DUMMYFUNCTION("""COMPUTED_VALUE"""),"TypeError: can only concatenate tuple (not ""list"") to tuple")</f>
        <v>TypeError: can only concatenate tuple (not "list") to tuple</v>
      </c>
    </row>
    <row r="13">
      <c r="A13" s="6" t="str">
        <f>IFERROR(__xludf.DUMMYFUNCTION("""COMPUTED_VALUE"""),"mbpp_117")</f>
        <v>mbpp_117</v>
      </c>
      <c r="B13" s="6">
        <f>IFERROR(__xludf.DUMMYFUNCTION("""COMPUTED_VALUE"""),0.236854702166918)</f>
        <v>0.2368547022</v>
      </c>
      <c r="C13" s="6">
        <f>IFERROR(__xludf.DUMMYFUNCTION("""COMPUTED_VALUE"""),1.76570320129394)</f>
        <v>1.765703201</v>
      </c>
      <c r="D13" s="6">
        <f>IFERROR(__xludf.DUMMYFUNCTION("""COMPUTED_VALUE"""),6.5589126195663)</f>
        <v>6.55891262</v>
      </c>
      <c r="E13" s="6">
        <f>IFERROR(__xludf.DUMMYFUNCTION("""COMPUTED_VALUE"""),0.09375)</f>
        <v>0.09375</v>
      </c>
      <c r="F13" s="6" t="str">
        <f>IFERROR(__xludf.DUMMYFUNCTION("""COMPUTED_VALUE"""),"RuntimeError")</f>
        <v>RuntimeError</v>
      </c>
      <c r="G13" s="6" t="str">
        <f>IFERROR(__xludf.DUMMYFUNCTION("""COMPUTED_VALUE"""),"AssertionError")</f>
        <v>AssertionError</v>
      </c>
    </row>
    <row r="14">
      <c r="A14" s="6" t="str">
        <f>IFERROR(__xludf.DUMMYFUNCTION("""COMPUTED_VALUE"""),"mbpp_123")</f>
        <v>mbpp_123</v>
      </c>
      <c r="B14" s="6">
        <f>IFERROR(__xludf.DUMMYFUNCTION("""COMPUTED_VALUE"""),0.131473892676161)</f>
        <v>0.1314738927</v>
      </c>
      <c r="C14" s="6">
        <f>IFERROR(__xludf.DUMMYFUNCTION("""COMPUTED_VALUE"""),1.68509471416473)</f>
        <v>1.685094714</v>
      </c>
      <c r="D14" s="6">
        <f>IFERROR(__xludf.DUMMYFUNCTION("""COMPUTED_VALUE"""),9.1599661972349)</f>
        <v>9.159966197</v>
      </c>
      <c r="E14" s="6">
        <f>IFERROR(__xludf.DUMMYFUNCTION("""COMPUTED_VALUE"""),0.0767059326171875)</f>
        <v>0.07670593262</v>
      </c>
      <c r="F14" s="6" t="str">
        <f>IFERROR(__xludf.DUMMYFUNCTION("""COMPUTED_VALUE"""),"RuntimeError")</f>
        <v>RuntimeError</v>
      </c>
      <c r="G14" s="6" t="str">
        <f>IFERROR(__xludf.DUMMYFUNCTION("""COMPUTED_VALUE"""),"AssertionError")</f>
        <v>AssertionError</v>
      </c>
    </row>
    <row r="15">
      <c r="A15" s="6" t="str">
        <f>IFERROR(__xludf.DUMMYFUNCTION("""COMPUTED_VALUE"""),"mbpp_124")</f>
        <v>mbpp_124</v>
      </c>
      <c r="B15" s="6">
        <f>IFERROR(__xludf.DUMMYFUNCTION("""COMPUTED_VALUE"""),0.0999618084877021)</f>
        <v>0.09996180849</v>
      </c>
      <c r="C15" s="6">
        <f>IFERROR(__xludf.DUMMYFUNCTION("""COMPUTED_VALUE"""),1.77491199970245)</f>
        <v>1.774912</v>
      </c>
      <c r="D15" s="6">
        <f>IFERROR(__xludf.DUMMYFUNCTION("""COMPUTED_VALUE"""),9.88749010945848)</f>
        <v>9.887490109</v>
      </c>
      <c r="E15" s="6">
        <f>IFERROR(__xludf.DUMMYFUNCTION("""COMPUTED_VALUE"""),0.03125)</f>
        <v>0.03125</v>
      </c>
      <c r="F15" s="6" t="str">
        <f>IFERROR(__xludf.DUMMYFUNCTION("""COMPUTED_VALUE"""),"RuntimeError")</f>
        <v>RuntimeError</v>
      </c>
      <c r="G15" s="6" t="str">
        <f>IFERROR(__xludf.DUMMYFUNCTION("""COMPUTED_VALUE"""),"AssertionError")</f>
        <v>AssertionError</v>
      </c>
    </row>
    <row r="16">
      <c r="A16" s="6" t="str">
        <f>IFERROR(__xludf.DUMMYFUNCTION("""COMPUTED_VALUE"""),"mbpp_137")</f>
        <v>mbpp_137</v>
      </c>
      <c r="B16" s="6">
        <f>IFERROR(__xludf.DUMMYFUNCTION("""COMPUTED_VALUE"""),0.0553697516474353)</f>
        <v>0.05536975165</v>
      </c>
      <c r="C16" s="6">
        <f>IFERROR(__xludf.DUMMYFUNCTION("""COMPUTED_VALUE"""),1.35703492164611)</f>
        <v>1.357034922</v>
      </c>
      <c r="D16" s="6">
        <f>IFERROR(__xludf.DUMMYFUNCTION("""COMPUTED_VALUE"""),10.6175573306613)</f>
        <v>10.61755733</v>
      </c>
      <c r="E16" s="6">
        <f>IFERROR(__xludf.DUMMYFUNCTION("""COMPUTED_VALUE"""),0.15625)</f>
        <v>0.15625</v>
      </c>
      <c r="F16" s="6" t="str">
        <f>IFERROR(__xludf.DUMMYFUNCTION("""COMPUTED_VALUE"""),"RuntimeError")</f>
        <v>RuntimeError</v>
      </c>
      <c r="G16" s="6" t="str">
        <f>IFERROR(__xludf.DUMMYFUNCTION("""COMPUTED_VALUE"""),"AssertionError")</f>
        <v>AssertionError</v>
      </c>
    </row>
    <row r="17">
      <c r="A17" s="6" t="str">
        <f>IFERROR(__xludf.DUMMYFUNCTION("""COMPUTED_VALUE"""),"mbpp_138")</f>
        <v>mbpp_138</v>
      </c>
      <c r="B17" s="6">
        <f>IFERROR(__xludf.DUMMYFUNCTION("""COMPUTED_VALUE"""),0.259396360810869)</f>
        <v>0.2593963608</v>
      </c>
      <c r="C17" s="6">
        <f>IFERROR(__xludf.DUMMYFUNCTION("""COMPUTED_VALUE"""),1.54653012752532)</f>
        <v>1.546530128</v>
      </c>
      <c r="D17" s="6">
        <f>IFERROR(__xludf.DUMMYFUNCTION("""COMPUTED_VALUE"""),5.32635320274575)</f>
        <v>5.326353203</v>
      </c>
      <c r="E17" s="6">
        <f>IFERROR(__xludf.DUMMYFUNCTION("""COMPUTED_VALUE"""),0.0568180084228515)</f>
        <v>0.05681800842</v>
      </c>
      <c r="F17" s="6" t="str">
        <f>IFERROR(__xludf.DUMMYFUNCTION("""COMPUTED_VALUE"""),"RuntimeError")</f>
        <v>RuntimeError</v>
      </c>
      <c r="G17" s="6" t="str">
        <f>IFERROR(__xludf.DUMMYFUNCTION("""COMPUTED_VALUE"""),"AssertionError")</f>
        <v>AssertionError</v>
      </c>
    </row>
    <row r="18">
      <c r="A18" s="6" t="str">
        <f>IFERROR(__xludf.DUMMYFUNCTION("""COMPUTED_VALUE"""),"mbpp_143")</f>
        <v>mbpp_143</v>
      </c>
      <c r="B18" s="6">
        <f>IFERROR(__xludf.DUMMYFUNCTION("""COMPUTED_VALUE"""),0.0544752293419425)</f>
        <v>0.05447522934</v>
      </c>
      <c r="C18" s="6">
        <f>IFERROR(__xludf.DUMMYFUNCTION("""COMPUTED_VALUE"""),1.15978848934173)</f>
        <v>1.159788489</v>
      </c>
      <c r="D18" s="6">
        <f>IFERROR(__xludf.DUMMYFUNCTION("""COMPUTED_VALUE"""),10.3849943100459)</f>
        <v>10.38499431</v>
      </c>
      <c r="E18" s="6">
        <f>IFERROR(__xludf.DUMMYFUNCTION("""COMPUTED_VALUE"""),0.305398941040039)</f>
        <v>0.305398941</v>
      </c>
      <c r="F18" s="6" t="str">
        <f>IFERROR(__xludf.DUMMYFUNCTION("""COMPUTED_VALUE"""),"RuntimeError")</f>
        <v>RuntimeError</v>
      </c>
      <c r="G18" s="6" t="str">
        <f>IFERROR(__xludf.DUMMYFUNCTION("""COMPUTED_VALUE"""),"AssertionError")</f>
        <v>AssertionError</v>
      </c>
    </row>
    <row r="19">
      <c r="A19" s="6" t="str">
        <f>IFERROR(__xludf.DUMMYFUNCTION("""COMPUTED_VALUE"""),"mbpp_164")</f>
        <v>mbpp_164</v>
      </c>
      <c r="B19" s="6">
        <f>IFERROR(__xludf.DUMMYFUNCTION("""COMPUTED_VALUE"""),0.110089334915725)</f>
        <v>0.1100893349</v>
      </c>
      <c r="C19" s="6">
        <f>IFERROR(__xludf.DUMMYFUNCTION("""COMPUTED_VALUE"""),1.63876032829284)</f>
        <v>1.638760328</v>
      </c>
      <c r="D19" s="6">
        <f>IFERROR(__xludf.DUMMYFUNCTION("""COMPUTED_VALUE"""),8.98372862725284)</f>
        <v>8.983728627</v>
      </c>
      <c r="E19" s="6">
        <f>IFERROR(__xludf.DUMMYFUNCTION("""COMPUTED_VALUE"""),0.125)</f>
        <v>0.125</v>
      </c>
      <c r="F19" s="6" t="str">
        <f>IFERROR(__xludf.DUMMYFUNCTION("""COMPUTED_VALUE"""),"RuntimeError")</f>
        <v>RuntimeError</v>
      </c>
      <c r="G19" s="6" t="str">
        <f>IFERROR(__xludf.DUMMYFUNCTION("""COMPUTED_VALUE"""),"AssertionError")</f>
        <v>AssertionError</v>
      </c>
    </row>
    <row r="20">
      <c r="A20" s="6" t="str">
        <f>IFERROR(__xludf.DUMMYFUNCTION("""COMPUTED_VALUE"""),"mbpp_167")</f>
        <v>mbpp_167</v>
      </c>
      <c r="B20" s="6">
        <f>IFERROR(__xludf.DUMMYFUNCTION("""COMPUTED_VALUE"""),0.124323537381583)</f>
        <v>0.1243235374</v>
      </c>
      <c r="C20" s="6">
        <f>IFERROR(__xludf.DUMMYFUNCTION("""COMPUTED_VALUE"""),1.71636652946472)</f>
        <v>1.716366529</v>
      </c>
      <c r="D20" s="6">
        <f>IFERROR(__xludf.DUMMYFUNCTION("""COMPUTED_VALUE"""),8.90237861871719)</f>
        <v>8.902378619</v>
      </c>
      <c r="E20" s="6">
        <f>IFERROR(__xludf.DUMMYFUNCTION("""COMPUTED_VALUE"""),0.0142040252685546)</f>
        <v>0.01420402527</v>
      </c>
      <c r="F20" s="6" t="str">
        <f>IFERROR(__xludf.DUMMYFUNCTION("""COMPUTED_VALUE"""),"RuntimeError")</f>
        <v>RuntimeError</v>
      </c>
      <c r="G20" s="6" t="str">
        <f>IFERROR(__xludf.DUMMYFUNCTION("""COMPUTED_VALUE"""),"AssertionError")</f>
        <v>AssertionError</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121</v>
      </c>
    </row>
    <row r="3">
      <c r="B3" s="17" t="s">
        <v>431</v>
      </c>
      <c r="C3" s="17" t="s">
        <v>434</v>
      </c>
      <c r="D3" s="17" t="s">
        <v>436</v>
      </c>
      <c r="E3" s="17" t="s">
        <v>12</v>
      </c>
      <c r="F3" s="17" t="s">
        <v>15</v>
      </c>
    </row>
    <row r="4">
      <c r="B4" s="18">
        <v>-1.0</v>
      </c>
      <c r="C4" s="19">
        <v>4.0</v>
      </c>
      <c r="D4" s="19">
        <v>1.0</v>
      </c>
      <c r="E4" s="19">
        <v>1.091868</v>
      </c>
      <c r="F4" s="19">
        <v>0.736861</v>
      </c>
    </row>
    <row r="5">
      <c r="B5" s="18">
        <v>0.0</v>
      </c>
      <c r="C5" s="19">
        <v>10.0</v>
      </c>
      <c r="D5" s="19">
        <v>1.0</v>
      </c>
      <c r="E5" s="19">
        <v>1.043582</v>
      </c>
      <c r="F5" s="19">
        <v>0.7</v>
      </c>
    </row>
    <row r="6">
      <c r="B6" s="18">
        <v>1.0</v>
      </c>
      <c r="C6" s="19">
        <v>36.0</v>
      </c>
      <c r="D6" s="19">
        <v>0.833333</v>
      </c>
      <c r="E6" s="19">
        <v>0.985</v>
      </c>
      <c r="F6" s="19">
        <v>0.636837</v>
      </c>
    </row>
    <row r="7">
      <c r="B7" s="18">
        <v>2.0</v>
      </c>
      <c r="C7" s="19">
        <v>114.0</v>
      </c>
      <c r="D7" s="19">
        <v>0.833333</v>
      </c>
      <c r="E7" s="19">
        <v>1.105903</v>
      </c>
      <c r="F7" s="19">
        <v>0.502666</v>
      </c>
    </row>
    <row r="11">
      <c r="A11" s="1" t="s">
        <v>70</v>
      </c>
    </row>
    <row r="13">
      <c r="B13" s="17" t="s">
        <v>431</v>
      </c>
      <c r="C13" s="17" t="s">
        <v>434</v>
      </c>
      <c r="D13" s="17" t="s">
        <v>12</v>
      </c>
      <c r="E13" s="17" t="s">
        <v>15</v>
      </c>
      <c r="F13" s="17" t="s">
        <v>436</v>
      </c>
      <c r="G13" s="17"/>
    </row>
    <row r="14">
      <c r="B14" s="18">
        <v>1.0</v>
      </c>
      <c r="C14" s="19">
        <v>35.0</v>
      </c>
      <c r="D14" s="19">
        <v>1.567616</v>
      </c>
      <c r="E14" s="19">
        <v>0.212053</v>
      </c>
      <c r="F14" s="19">
        <v>0.857143</v>
      </c>
    </row>
    <row r="15">
      <c r="B15" s="18">
        <v>2.0</v>
      </c>
      <c r="C15" s="19">
        <v>33.0</v>
      </c>
      <c r="D15" s="19">
        <v>1.701883</v>
      </c>
      <c r="E15" s="19">
        <v>0.270059</v>
      </c>
      <c r="F15" s="19">
        <v>0.818182</v>
      </c>
    </row>
    <row r="16">
      <c r="B16" s="18">
        <v>0.0</v>
      </c>
      <c r="C16" s="19">
        <v>16.0</v>
      </c>
      <c r="D16" s="19">
        <v>1.15135</v>
      </c>
      <c r="E16" s="19">
        <v>0.104758</v>
      </c>
      <c r="F16" s="19">
        <v>0.875</v>
      </c>
    </row>
    <row r="17">
      <c r="B17" s="18">
        <v>-1.0</v>
      </c>
      <c r="C17" s="19">
        <v>16.0</v>
      </c>
      <c r="D17" s="19">
        <v>1.436048</v>
      </c>
      <c r="E17" s="19">
        <v>0.190341</v>
      </c>
      <c r="F17" s="19">
        <v>0.875</v>
      </c>
    </row>
  </sheetData>
  <drawing r:id="rId1"/>
</worksheet>
</file>