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odología" sheetId="1" r:id="rId5"/>
    <sheet state="visible" name="Resumen" sheetId="2" r:id="rId6"/>
    <sheet state="visible" name="Presupuesto" sheetId="3" r:id="rId7"/>
    <sheet state="visible" name="Problemas" sheetId="4" r:id="rId8"/>
    <sheet state="visible" name="Ramas" sheetId="5" r:id="rId9"/>
    <sheet state="visible" name="Lookaheads" sheetId="6" r:id="rId10"/>
  </sheets>
  <definedNames>
    <definedName hidden="1" localSheetId="4" name="_xlnm._FilterDatabase">Ramas!$A$1:$O$256</definedName>
  </definedNames>
  <calcPr/>
</workbook>
</file>

<file path=xl/sharedStrings.xml><?xml version="1.0" encoding="utf-8"?>
<sst xmlns="http://schemas.openxmlformats.org/spreadsheetml/2006/main" count="8794" uniqueCount="1291">
  <si>
    <t>Cómo leer esta validación</t>
  </si>
  <si>
    <t>task_id</t>
  </si>
  <si>
    <t>Elemento</t>
  </si>
  <si>
    <t>Semántico</t>
  </si>
  <si>
    <t>Entropía</t>
  </si>
  <si>
    <t>Definición</t>
  </si>
  <si>
    <t>Margen</t>
  </si>
  <si>
    <t>Interpretación</t>
  </si>
  <si>
    <t>Aleatorio</t>
  </si>
  <si>
    <t>Nº selectores</t>
  </si>
  <si>
    <t>Baseline greedy</t>
  </si>
  <si>
    <t>Consenso</t>
  </si>
  <si>
    <t>Semántico exclusivo</t>
  </si>
  <si>
    <t>El modelo elige top-1 en cada paso.</t>
  </si>
  <si>
    <t>Entropía exclusiva</t>
  </si>
  <si>
    <t>Los 20 problemas incluidos fallaron con este baseline.</t>
  </si>
  <si>
    <t>Rama top-2</t>
  </si>
  <si>
    <t>HumanEval/140</t>
  </si>
  <si>
    <t>Se mantiene el prefijo, se fuerza top-2 en una posición y se continúa greedy.</t>
  </si>
  <si>
    <t>Una rama PASS constituye una recuperación local contrafactual.</t>
  </si>
  <si>
    <t>Lookahead</t>
  </si>
  <si>
    <t>Continuación corta de 12 tokens para todas las posiciones elegibles.</t>
  </si>
  <si>
    <t>Sirve para ordenar; no determina por sí mismo si el programa pasa.</t>
  </si>
  <si>
    <t>Presupuesto k</t>
  </si>
  <si>
    <t>Cantidad máxima de ramas completas por problema.</t>
  </si>
  <si>
    <t>Todos los selectores se comparan con el mismo k.</t>
  </si>
  <si>
    <t>Problema recuperado</t>
  </si>
  <si>
    <t>Al menos una rama seleccionada pasó los tests base.</t>
  </si>
  <si>
    <t>Es la métrica primaria por problema.</t>
  </si>
  <si>
    <t>Precisión de rama</t>
  </si>
  <si>
    <t>Ramas PASS / ramas nominales seleccionadas.</t>
  </si>
  <si>
    <t>Mide densidad de ramas útiles, no cobertura del oracle.</t>
  </si>
  <si>
    <t>No evaluada completa</t>
  </si>
  <si>
    <t>La posición tiene lookahead pero no rama completa.</t>
  </si>
  <si>
    <t>No debe interpretarse como FAIL.</t>
  </si>
  <si>
    <t>Límite</t>
  </si>
  <si>
    <t>No se completaron todas las 1.649 posiciones ni se ejecutó HumanEval+.</t>
  </si>
  <si>
    <t>Todavía no conocemos el oracle exhaustivo ni la robustez reforzada.</t>
  </si>
  <si>
    <t>Fuentes reproducibles</t>
  </si>
  <si>
    <t>Archivo</t>
  </si>
  <si>
    <t>Contenido</t>
  </si>
  <si>
    <t>Ruta de origen</t>
  </si>
  <si>
    <t>validation_report.json</t>
  </si>
  <si>
    <t>Configuración y resultados agregados</t>
  </si>
  <si>
    <t>frozen_selector_validation_checkpoint (1).zip</t>
  </si>
  <si>
    <t>branches.jsonl</t>
  </si>
  <si>
    <t>255 ramas completas únicas</t>
  </si>
  <si>
    <t>lookaheads.jsonl</t>
  </si>
  <si>
    <t>1.649 posiciones con continuación corta</t>
  </si>
  <si>
    <t>HumanEval/93</t>
  </si>
  <si>
    <t>HumanEval/10</t>
  </si>
  <si>
    <t>HumanEval/77</t>
  </si>
  <si>
    <t>HumanEval/141</t>
  </si>
  <si>
    <t>HumanEval/154</t>
  </si>
  <si>
    <t>HumanEval/50</t>
  </si>
  <si>
    <t>HumanEval/145</t>
  </si>
  <si>
    <t>HumanEval/163</t>
  </si>
  <si>
    <t>HumanEval/81</t>
  </si>
  <si>
    <t>HumanEval/130</t>
  </si>
  <si>
    <t>HumanEval/121</t>
  </si>
  <si>
    <t>HumanEval/38</t>
  </si>
  <si>
    <t>HumanEval/127</t>
  </si>
  <si>
    <t>HumanEval/142</t>
  </si>
  <si>
    <t>HumanEval/32</t>
  </si>
  <si>
    <t>HumanEval/137</t>
  </si>
  <si>
    <t>HumanEval/33</t>
  </si>
  <si>
    <t>HumanEval/65</t>
  </si>
  <si>
    <t>HumanEval/95</t>
  </si>
  <si>
    <t>position</t>
  </si>
  <si>
    <t>top1_token</t>
  </si>
  <si>
    <t>top2_token</t>
  </si>
  <si>
    <t>entropy</t>
  </si>
  <si>
    <t>probability_margin</t>
  </si>
  <si>
    <t>semantic_score</t>
  </si>
  <si>
    <t>passed</t>
  </si>
  <si>
    <t>sel_semantic</t>
  </si>
  <si>
    <t>sel_entropy</t>
  </si>
  <si>
    <t>sel_margin</t>
  </si>
  <si>
    <t>sel_random</t>
  </si>
  <si>
    <t>latency_s</t>
  </si>
  <si>
    <t>error</t>
  </si>
  <si>
    <t>code</t>
  </si>
  <si>
    <t xml:space="preserve"> make</t>
  </si>
  <si>
    <t xml:space="preserve"> is</t>
  </si>
  <si>
    <t>Traceback (most recent call last):
  File "/tmp/tmpue2nszzl/candidate.py", line 48, in &lt;module&gt;
    check(make_palindrome)
  File "/tmp/tmpue2nszzl/candidate.py", line 41, in check
    assert candidate('') == ''
           ^^^^^^^^^^^^^
  File "/tmp/tmpue2nszzl/candidate.py", line 25, in make_palindrome
    if is_palindrome(string):
       ^^^^^^^^^^^^^
NameError: name 'is_palindrome' is not defined. Did you mean: 'make_palindrome'?</t>
  </si>
  <si>
    <t>```python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is_palindrome(string[i:]):
            return string + string[:i][::-1]
    return string
```</t>
  </si>
  <si>
    <t xml:space="preserve"> -</t>
  </si>
  <si>
    <t xml:space="preserve"> """
</t>
  </si>
  <si>
    <t>Traceback (most recent call last):
  File "/tmp/tmpu93yl7ru/candidate.py", line 39, in &lt;module&gt;
    check(make_palindrome)
  File "/tmp/tmpu93yl7ru/candidate.py", line 32, in check
    assert candidate('') == ''
           ^^^^^^^^^^^^^
  File "/tmp/tmpu93yl7ru/candidate.py", line 19, in make_palindrome
    if is_palindrome(string[:i]):
       ^^^^^^^^^^^^^
NameError: name 'is_palindrome' is not defined. Did you mean: 'make_palindrome'?</t>
  </si>
  <si>
    <t>```python
def make_palindrome(string: str) -&gt; str:
    """ Find the shortest palindrome that begins with a supplied string.
    Algorithm idea is simple:
    """
    n = len(string)
    for i in range(n, -1, -1):
        if is_palindrome(string[:i]):
            return string + string[i-1::-1]
    return string
```</t>
  </si>
  <si>
    <t xml:space="preserve"> before</t>
  </si>
  <si>
    <t xml:space="preserve"> after</t>
  </si>
  <si>
    <t>Traceback (most recent call last):
  File "/tmp/tmpqi3agcgk/candidate.py", line 47, in &lt;module&gt;
    check(make_palindrome)
  File "/tmp/tmpqi3agcgk/candidate.py", line 40, in check
    assert candidate('') == ''
           ^^^^^^^^^^^^^
  File "/tmp/tmpqi3agcgk/candidate.py", line 27, in make_palindrome
    if is_palindrome(string[:i]):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</si>
  <si>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after the palindromic suffix.
    &gt;&gt;&gt; make_palindrome('')
    ''
    &gt;&gt;&gt; make_palindrome('cat')
    'catac'
    &gt;&gt;&gt; make_palindrome('cata')
    'catac'
    """
    n = len(string)
    for i in range(n, -1, -1):
        if is_palindrome(string[:i]):
            return string + string[i-1::-1]
    return string
```</t>
  </si>
  <si>
    <t xml:space="preserve"> if</t>
  </si>
  <si>
    <t xml:space="preserve"> n</t>
  </si>
  <si>
    <t>selector</t>
  </si>
  <si>
    <t>Traceback (most recent call last):
  File "/tmp/tmpq2tbbpc9/candidate.py", line 47, in &lt;module&gt;
    check(make_palindrome)
  File "/tmp/tmpq2tbbpc9/candidate.py", line 40, in check
    assert candidate('') == ''
           ^^^^^^^^^^^^^
  File "/tmp/tmpq2tbbpc9/candidate.py", line 27, in make_palindrome
    if is_palindrome(string[:i]):
       ^^^^^^^^^^^^^
NameError: name 'is_palindrome' is not defined. Did you mean: 'make_palindrome'?</t>
  </si>
  <si>
    <t>rank</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</si>
  <si>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t>
  </si>
  <si>
    <t>('</t>
  </si>
  <si>
    <t>("</t>
  </si>
  <si>
    <t>branch_passed</t>
  </si>
  <si>
    <t>recovered_within_k</t>
  </si>
  <si>
    <t>Ramas permitidas</t>
  </si>
  <si>
    <t>Traceback (most recent call last):
  File "/tmp/tmppyx_qmtw/candidate.py", line 47, in &lt;module&gt;
    check(make_palindrome)
  File "/tmp/tmppyx_qmtw/candidate.py", line 40, in check
    assert candidate('') == ''
           ^^^^^^^^^^^^^
  File "/tmp/tmppyx_qmtw/candidate.py", line 27, in make_palindrome
    if is_palindrome(string[:i]):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</si>
  <si>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t>
  </si>
  <si>
    <t>ata</t>
  </si>
  <si>
    <t>ATA</t>
  </si>
  <si>
    <t>Traceback (most recent call last):
  File "/tmp/tmpncukrvap/candidate.py", line 47, in &lt;module&gt;
    check(make_palindrome)
  File "/tmp/tmpncukrvap/candidate.py", line 40, in check
    assert candidate('') == ''
           ^^^^^^^^^^^^^
  File "/tmp/tmpncukrvap/candidate.py", line 27, in make_palindrome
    if is_palindrome(string[:i]):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</si>
  <si>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t>
  </si>
  <si>
    <t xml:space="preserve"> """</t>
  </si>
  <si>
    <t>Traceback (most recent call last):
  File "/tmp/tmpn9oec4x4/candidate.py", line 37, in &lt;module&gt;
    check(make_palindrome)
  File "/tmp/tmpn9oec4x4/candidate.py", line 30, in check
    assert candidate('') == ''
           ^^^^^^^^^^^^^
  File "/tmp/tmpn9oec4x4/candidate.py", line 14, in make_palindrome
    if is_palindrome(string):
       ^^^^^^^^^^^^^
NameError: name 'is_palindrome' is not defined. Did you mean: 'make_palindrome'?</t>
  </si>
  <si>
    <t>```python
def make_palindrome(string: str) -&gt; str:
    if is_palindrome(string):
        return string
    for i in range(len(string), -1, -1):
        if is_palindrome(string[i:]):
            return string + string[:i][::-1]
    return string
```</t>
  </si>
  <si>
    <t xml:space="preserve">.
</t>
  </si>
  <si>
    <t>.</t>
  </si>
  <si>
    <t>Traceback (most recent call last):
  File "/tmp/tmplj1boa8n/candidate.py", line 38, in &lt;module&gt;
    check(make_palindrome)
  File "/tmp/tmplj1boa8n/candidate.py", line 31, in check
    assert candidate('') == ''
           ^^^^^^^^^^^^^
  File "/tmp/tmplj1boa8n/candidate.py", line 15, in make_palindrome
    if is_palindrome(string):
       ^^^^^^^^^^^^^
NameError: name 'is_palindrome' is not defined. Did you mean: 'make_palindrome'?</t>
  </si>
  <si>
    <t>```python
def make_palindrome(string: str) -&gt; str:
    """ Find the shortest palindrome that begins with a supplied string. """
    if is_palindrome(string):
        return string
    for i in range(len(string), -1, -1):
        if is_palindrome(string[:i]):
            return string + string[i-1::-1]
    return string
```</t>
  </si>
  <si>
    <t>),</t>
  </si>
  <si>
    <t xml:space="preserve">)):
</t>
  </si>
  <si>
    <t>Traceback (most recent call last):
  File "/tmp/tmpg58cw_vv/candidate.py", line 48, in &lt;module&gt;
    check(make_palindrome)
  File "/tmp/tmpg58cw_vv/candidate.py", line 41, in check
    assert candidate('') == ''
           ^^^^^^^^^^^^^
  File "/tmp/tmpg58cw_vv/candidate.py", line 25, in make_palindrome
    if is_palindrome(string):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</si>
  <si>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
    return string
```</t>
  </si>
  <si>
    <t xml:space="preserve">
</t>
  </si>
  <si>
    <t xml:space="preserve">
</t>
  </si>
  <si>
    <t>Traceback (most recent call last):
  File "/tmp/tmp8__blhf2/candidate.py", line 48, in &lt;module&gt;
    check(make_palindrome)
  File "/tmp/tmp8__blhf2/candidate.py", line 41, in check
    assert candidate('') == ''
           ^^^^^^^^^^^^^
  File "/tmp/tmp8__blhf2/candidate.py", line 25, in make_palindrome
    if is_palindrome(string):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</si>
  <si>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is_palindrome(string[i:]):
            return string + string[:i][::-1]
```</t>
  </si>
  <si>
    <t xml:space="preserve"> assert</t>
  </si>
  <si>
    <t>Traceback (most recent call last):
  File "/tmp/tmp7r77g615/candidate.py", line 44, in &lt;module&gt;
    check(make_palindrome)
  File "/tmp/tmp7r77g615/candidate.py", line 37, in check
    assert candidate('') == ''
           ^^^^^^^^^^^^^
  File "/tmp/tmp7r77g615/candidate.py", line 24, in make_palindrome
    if is_palindrome(string[:i]):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</si>
  <si>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assert make_palindrome('') == ''
    &gt;&gt;&gt; assert make_palindrome('cat') == 'catac'
    &gt;&gt;&gt; assert make_palindrome('cata') == 'catac'
    """
    n = len(string)
    for i in range(n, -1, -1):
        if is_palindrome(string[:i]):
            return string + string[i-1::-1]
    return string
```</t>
  </si>
  <si>
    <t xml:space="preserve"> Algorithm</t>
  </si>
  <si>
    <t>Traceback (most recent call last):
  File "/tmp/tmp0xc776e3/candidate.py", line 40, in &lt;module&gt;
    check(make_palindrome)
  File "/tmp/tmp0xc776e3/candidate.py", line 33, in check
    assert candidate('') == ''
           ^^^^^^^^^^^^^
  File "/tmp/tmp0xc776e3/candidate.py", line 16, in make_palindrome
    if is_palindrome(string):
       ^^^^^^^^^^^^^
NameError: name 'is_palindrome' is not defined. Did you mean: 'make_palindrome'?</t>
  </si>
  <si>
    <t>```python
def make_palindrome(string: str) -&gt; str:
    """ Find the shortest palindrome that begins with a supplied string.
    """
    if is_palindrome(string):
        return string
    for i in range(len(string), -1, -1):
        if is_palindrome(string[:i]):
            prefix = string[i:]
            return string + prefix[::-1]
```</t>
  </si>
  <si>
    <t xml:space="preserve"> string</t>
  </si>
  <si>
    <t>Traceback (most recent call last):
  File "/tmp/tmp_zu3t31_/candidate.py", line 48, in &lt;module&gt;
    check(make_palindrome)
  File "/tmp/tmp_zu3t31_/candidate.py", line 41, in check
    assert candidate('') == ''
           ^^^^^^^^^^^^^
  File "/tmp/tmp_zu3t31_/candidate.py", line 25, in make_palindrome
    if is_palindrome(string):
       ^^^^^^^^^^^^^
NameError: name 'is_palindrome' is not defined. Did you mean: 'make_palindrome'?</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</si>
  <si>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string[:i] == string[:i][::-1]:
            return string + string[i:][::-1]
    return string
```</t>
  </si>
  <si>
    <t xml:space="preserve"> longest</t>
  </si>
  <si>
    <t xml:space="preserve"> long</t>
  </si>
  <si>
    <t>SyntaxError: unterminated triple-quoted string literal (detected at line 4) at line 2</t>
  </si>
  <si>
    <t>```python
def make_palindrome(string: str) -&gt; str:
    """ Find the shortest palindrome that begins with a supplied string.
    Algorithm idea is simple:
    - Find the longes
```</t>
  </si>
  <si>
    <t xml:space="preserve">):
</t>
  </si>
  <si>
    <t>):</t>
  </si>
  <si>
    <t>Traceback (most recent call last):
  File "/tmp/tmpzae3fsbd/candidate.py", line 31, in &lt;module&gt;
    check(solution)
  File "/tmp/tmpzae3fsbd/candidate.py", line 19, in check
    assert candidate([5, 8, 7, 1])    == 12
           ^^^^^^^^^^^^^^^^^^^^^^^^^^^^^^^^
AssertionError</t>
  </si>
  <si>
    <t>def solution(lst): 
    return sum(x for i, x in enumerate(lst) if i % 2 == 1 and x % 2 == 1)</t>
  </si>
  <si>
    <t xml:space="preserve"> ==</t>
  </si>
  <si>
    <t xml:space="preserve"> !=</t>
  </si>
  <si>
    <t>Traceback (most recent call last):
  File "/tmp/tmpxhuvxapt/candidate.py", line 31, in &lt;module&gt;
    check(solution)
  File "/tmp/tmpxhuvxapt/candidate.py", line 19, in check
    assert candidate([5, 8, 7, 1])    == 12
           ^^^^^^^^^^^^^^^^^^^^^^^^^^^^^^^^
AssertionError</t>
  </si>
  <si>
    <t>def solution(lst):
    return sum(x for i, x in enumerate(lst) if i % 2 != 0 and x % 2 != 0)</t>
  </si>
  <si>
    <t xml:space="preserve"> i</t>
  </si>
  <si>
    <t xml:space="preserve"> idx</t>
  </si>
  <si>
    <t>Traceback (most recent call last):
  File "/tmp/tmpu3gw4yz1/candidate.py", line 31, in &lt;module&gt;
    check(solution)
  File "/tmp/tmpu3gw4yz1/candidate.py", line 19, in check
    assert candidate([5, 8, 7, 1])    == 12
           ^^^^^^^^^^^^^^^^^^^^^^^^^^^^^^^^
AssertionError</t>
  </si>
  <si>
    <t>def solution(lst):
    return sum(x for idx, x in enumerate(lst) if idx % 2 == 1 and x % 2 == 1)</t>
  </si>
  <si>
    <t>,</t>
  </si>
  <si>
    <t>,x</t>
  </si>
  <si>
    <t>Traceback (most recent call last):
  File "/tmp/tmpq2k1y2ll/candidate.py", line 31, in &lt;module&gt;
    check(solution)
  File "/tmp/tmpq2k1y2ll/candidate.py", line 19, in check
    assert candidate([5, 8, 7, 1])    == 12
           ^^^^^^^^^^^^^^^^^^^^^^^^^^^^^^^^
AssertionError</t>
  </si>
  <si>
    <t>def solution(lst):
    return sum(x for i,x in enumerate(lst) if i % 2 == 1 and x % 2 == 1)</t>
  </si>
  <si>
    <t>(x</t>
  </si>
  <si>
    <t>(lst</t>
  </si>
  <si>
    <t>Traceback (most recent call last):
  File "/tmp/tmpi4hx_voi/candidate.py", line 31, in &lt;module&gt;
    check(solution)
  File "/tmp/tmpi4hx_voi/candidate.py", line 19, in check
    assert candidate([5, 8, 7, 1])    == 12
           ^^^^^^^^^^^^^^^^^^^^^^^^^^^^^^^^
AssertionError</t>
  </si>
  <si>
    <t>def solution(lst):
    return sum(lst[i] for i in range(1, len(lst), 2) if lst[i] % 2 != 0)</t>
  </si>
  <si>
    <t xml:space="preserve"> </t>
  </si>
  <si>
    <t>2</t>
  </si>
  <si>
    <t>Traceback (most recent call last):
  File "/tmp/tmpcaira2i2/candidate.py", line 31, in &lt;module&gt;
    check(solution)
  File "/tmp/tmpcaira2i2/candidate.py", line 19, in check
    assert candidate([5, 8, 7, 1])    == 12
           ^^^^^^^^^^^^^^^^^^^^^^^^^^^^^^^^
AssertionError</t>
  </si>
  <si>
    <t>def solution(lst):
    return sum(x for i, x in enumerate(lst) if i %2 == 1 and x % 2 == 1)</t>
  </si>
  <si>
    <t xml:space="preserve"> return</t>
  </si>
  <si>
    <t>Traceback (most recent call last):
  File "/tmp/tmpb_si98xo/candidate.py", line 39, in &lt;module&gt;
    check(solution)
  File "/tmp/tmpb_si98xo/candidate.py", line 27, in check
    assert candidate([5, 8, 7, 1])    == 12
           ^^^^^^^^^^^^^^^^^^^^^^^^^^^^^^^^
AssertionError</t>
  </si>
  <si>
    <t>def solution(lst):
    """Given a non-empty list of integers, return the sum of all of the odd elements that are in even positions.
    Examples
    solution([5, 8, 7, 1]) ==&gt; 12
    solution([3, 3, 3, 3, 3]) ==&gt; 9
    solution([30, 13, 24, 321]) ==&gt;0
    """
    return sum(x for i, x in enumerate(lst) if i % 2 == 1 and x % 2 == 1)</t>
  </si>
  <si>
    <t xml:space="preserve">	if</t>
  </si>
  <si>
    <t>Traceback (most recent call last):
  File "/tmp/tmp91688d4f/candidate.py", line 31, in &lt;module&gt;
    check(solution)
  File "/tmp/tmp91688d4f/candidate.py", line 19, in check
    assert candidate([5, 8, 7, 1])    == 12
           ^^^^^^^^^^^^^^^^^^^^^^^^^^^^^^^^
AssertionError</t>
  </si>
  <si>
    <t>def solution(lst):
    return sum(x for i, x in enumerate(lst)	if i % 2 == 1 and x % 2 == 1)</t>
  </si>
  <si>
    <t>)</t>
  </si>
  <si>
    <t>Traceback (most recent call last):
  File "/tmp/tmp7b7xevqo/candidate.py", line 31, in &lt;module&gt;
    check(solution)
  File "/tmp/tmp7b7xevqo/candidate.py", line 19, in check
    assert candidate([5, 8, 7, 1])    == 12
           ^^^^^^^^^^^^^^^^^^^^^^^^^^^^^^^^
AssertionError</t>
  </si>
  <si>
    <t>def solution(lst):
    return sum(x for i, x in enumerate(lst, start=1) if i % 2 == 0 and x % 2 != 0)</t>
  </si>
  <si>
    <t xml:space="preserve"> in</t>
  </si>
  <si>
    <t>Traceback (most recent call last):
  File "/tmp/tmp3cvhs9go/candidate.py", line 31, in &lt;module&gt;
    check(solution)
  File "/tmp/tmp3cvhs9go/candidate.py", line 19, in check
    assert candidate([5, 8, 7, 1])    == 12
           ^^^^^^^^^^^^^^^^^^^^^^^^^^^^^^^^
AssertionError</t>
  </si>
  <si>
    <t>def solution(lst):
    return sum(x for i, x  in enumerate(lst) if i % 2 == 1 and x % 2 == 1)</t>
  </si>
  <si>
    <t xml:space="preserve"> enumerate</t>
  </si>
  <si>
    <t>enumerate</t>
  </si>
  <si>
    <t>SyntaxError: invalid syntax. Perhaps you forgot a comma? at line 2</t>
  </si>
  <si>
    <t>def solution(lst):
    return sum(x for i, x inenumerate(lst) if i % 2 == 1 and x % 2 == 1)</t>
  </si>
  <si>
    <t>def solution(lst):
    return sum(x for i, x in enumerate(lst) if i %  2 == 0 and x % 2 != 0)</t>
  </si>
  <si>
    <t xml:space="preserve"> =</t>
  </si>
  <si>
    <t>1</t>
  </si>
  <si>
    <t>score</t>
  </si>
  <si>
    <t>Traceback (most recent call last):
  File "/tmp/tmpzr58v98n/candidate.py", line 44, in &lt;module&gt;
    check(intersection)
  File "/tmp/tmpzr58v98n/candidate.py", line 32, in check
    assert candidate((-1, 1), (0, 4)) == "NO"
           ^^^^^^^^^^^^^^^^^^^^^^^^^^^^^^^^^^
AssertionError</t>
  </si>
  <si>
    <t>```python
def intersection(interval1, interval2):
    start1, end1 = interval1
    start2, end2 = interval2
    max_start = max(start1, start2)
    min_end = min(end1, end2)
    if max_start &gt; min_end:
        return "NO"
    intersection_length = min_end - max_start + 1
    if intersection_length &lt; 2:
        return "NO"
    for i in range(2, int(intersection_length**0.5) + 1):
        if intersection_length % i == 0:
            return "NO"
    return "YES"
```</t>
  </si>
  <si>
    <t>Traceback (most recent call last):
  File "/tmp/tmpybt1l3sj/candidate.py", line 42, in &lt;module&gt;
    check(intersection)
  File "/tmp/tmpybt1l3sj/candidate.py", line 30, in check
    assert candidate((-1, 1), (0, 4)) == "NO"
           ^^^^^^^^^^^^^^^^^^^^^^^^^^^^^^^^^^
AssertionError</t>
  </si>
  <si>
    <t>```python
def intersection(interval1, interval2):
    start = max(interval1[0], interval2[0])
    end = min(interval1[1], interval2[1])
    if start &gt; end:
        return "NO"
    length = end - start + 1
    if length &lt; 2:
        return "NO"
    for i in range(2, int(length**0.5) + 1):
        if length % 2 == 0:
            return "NO"
    return "YES"
```</t>
  </si>
  <si>
    <t xml:space="preserve"> length</t>
  </si>
  <si>
    <t>(length</t>
  </si>
  <si>
    <t>Traceback (most recent call last):
  File "/tmp/tmpumtqm5yo/candidate.py", line 42, in &lt;module&gt;
    check(intersection)
  File "/tmp/tmpumtqm5yo/candidate.py", line 30, in check
    assert candidate((-1, 1), (0, 4)) == "NO"
           ^^^^^^^^^^^^^^^^^^^^^^^^^^^^^^^^^^
AssertionError</t>
  </si>
  <si>
    <t>```python
def intersection(interval1, interval2):
    start = max(interval1[0], interval2[0])
    end = min(interval1[1], interval2[1])
    if start &gt; end:
        return "NO"
    length = end - start + 1
    if length &lt; 2:
        return "NO"
    for i in range(2, int(length**0.5) + 1):
        if(length % i == 0):
            return "NO"
    return "YES"
```</t>
  </si>
  <si>
    <t>Traceback (most recent call last):
  File "/tmp/tmpuet4yzcw/candidate.py", line 40, in &lt;module&gt;
    check(intersection)
  File "/tmp/tmpuet4yzcw/candidate.py", line 28, in check
    assert candidate((-1, 1), (0, 4)) == "NO"
           ^^^^^^^^^^^^^^^^^^^^^^^^^^^^^^^^^^
AssertionError</t>
  </si>
  <si>
    <t>```python
def intersection(interval1, interval2):
    start = max(interval1[0], interval2[0])
    end = min(interval1[1], interval2[1])
    length = end - start
    if length &lt;= 0:
        return "NO"
    for i in range(2, int(length**0.5) + 1):
        if length % i == 0:
            return "NO"
    return "YES"
```</t>
  </si>
  <si>
    <t>],</t>
  </si>
  <si>
    <t>]</t>
  </si>
  <si>
    <t>Traceback (most recent call last):
  File "/tmp/tmpstqddtij/candidate.py", line 40, in &lt;module&gt;
    check(intersection)
  File "/tmp/tmpstqddtij/candidate.py", line 27, in check
    assert candidate((1, 2), (2, 3)) == "NO"
           ^^^^^^^^^^^^^^^^^^^^^^^^^^^^^^^^^
AssertionError</t>
  </si>
  <si>
    <t>```python
def intersection(interval1, interval2):
    start = max(interval1[0] - 1, interval2[0] - 1)
    end = min(interval1[1] + 1, interval2[1] + 1)
    length = end - start
    if length &lt;= 0:
        return "NO"
    for i in range(2, int(length**0.5) + 1):
        if length % i == 0:
            return "NO"
    return "YES"
```</t>
  </si>
  <si>
    <t xml:space="preserve"> intersection</t>
  </si>
  <si>
    <t>Traceback (most recent call last):
  File "/tmp/tmplt1yvc86/candidate.py", line 37, in &lt;module&gt;
    check(intersection)
  File "/tmp/tmplt1yvc86/candidate.py", line 24, in check
    assert candidate((1, 2), (2, 3)) == "NO"
           ^^^^^^^^^^^^^^^^^^^^^^^^^
  File "/tmp/tmplt1yvc86/candidate.py", line 19, in intersection
    return "YES" if is_prime(length) else "NO"
                    ^^^^^^^^
NameError: name 'is_prime' is not defined</t>
  </si>
  <si>
    <t>```python
def is_prime(n):
    if n &lt;= 1:
        return False
    if n &lt;= 3:
        return True
    if n % 2 == 0 or n % 3 == 0:
        return False
    i = 5
    while i * i &lt;= n:
        if n % i == 0 or n % (i + 2) == 0:
            return False
        i += 6
    return True
def intersection(interval1, interval2):
    start = max(interval1[0], interval2[0])
    end = min(interval1[1], interval2[1])
    if start &gt; end:
        return "NO"
    length = end - start + 1
    return "YES" if is_prime(length) else "NO"
```</t>
  </si>
  <si>
    <t xml:space="preserve"> start</t>
  </si>
  <si>
    <t xml:space="preserve"> def</t>
  </si>
  <si>
    <t>Pasas:</t>
  </si>
  <si>
    <t>Nota</t>
  </si>
  <si>
    <t>Traceback (most recent call last):
  File "/tmp/tmpgwlqcafs/candidate.py", line 45, in &lt;module&gt;
    check(intersection)
  File "/tmp/tmpgwlqcafs/candidate.py", line 33, in check
    assert candidate((-1, 1), (0, 4)) == "NO"
           ^^^^^^^^^^^^^^^^^^^^^^^^^^^^^^^^^^
AssertionError</t>
  </si>
  <si>
    <t>```python
def intersection(interval1, interval2):
    def is_prime(n):
        if n &lt;= 1:
            return False
        for i in range(2, int(n**0.5) + 1):
            if n % i == 0:
                return False
        return True
    start = max(interval1[0], interval2[0])
    end = min(interval1[1], interval2[1])
    if start &gt; end:
        return "NO"
    length = end - start + 1
    return "YES" if is_prime(length) else "NO"
```</t>
  </si>
  <si>
    <t>l0</t>
  </si>
  <si>
    <t>Asigno 7</t>
  </si>
  <si>
    <t>persistence</t>
  </si>
  <si>
    <t>semantic_divergence</t>
  </si>
  <si>
    <t>l1</t>
  </si>
  <si>
    <t>anchor_score</t>
  </si>
  <si>
    <t>Traceback (most recent call last):
  File "/tmp/tmpc2w5e72o/candidate.py", line 40, in &lt;module&gt;
    check(intersection)
  File "/tmp/tmpc2w5e72o/candidate.py", line 27, in check
    assert candidate((1, 2), (2, 3)) == "NO"
           ^^^^^^^^^^^^^^^^^^^^^^^^^^^^^^^^^
AssertionError</t>
  </si>
  <si>
    <t>Validación de branching adaptativo — 20 problemas</t>
  </si>
  <si>
    <t>full_branch_evaluated</t>
  </si>
  <si>
    <t>```python
def intersection(interval1, interval2):
    start = max(interval1[0], interval2[0])
    end = min(interval1[1] + 1, interval2[1] + 1)
    length = end - start
    if length &lt;= 0:
        return "NO"
    for i in range(2, int(length**0.5) + 1):
        if length % i == 0:
            return "NO"
    return "YES"
```</t>
  </si>
  <si>
    <t>estado</t>
  </si>
  <si>
    <t>[</t>
  </si>
  <si>
    <t>[-</t>
  </si>
  <si>
    <t>l2</t>
  </si>
  <si>
    <t xml:space="preserve">
</t>
  </si>
  <si>
    <t>Traceback (most recent call last):
  File "/tmp/tmpb0s_5agm/candidate.py", line 42, in &lt;module&gt;
    check(intersection)
  File "/tmp/tmpb0s_5agm/candidate.py", line 30, in check
    assert candidate((-1, 1), (0, 4)) == "NO"
           ^^^^^^^^^^^^^^^^^^^^^^^^^^^^^^^^^^
AssertionError</t>
  </si>
  <si>
    <t>l3</t>
  </si>
  <si>
    <t>```python
def intersection(interval1, interval2):
    start = max(interval1[0], interval2[0])
    end = min(interval1[-1], interval2[-1])
    if start &gt; end:
        return "NO"
    length = end - start + 1
    if length &lt; 2:
        return "NO"
    for i in range(2, int(length**0.5) + 1):
        if length % i == 0:
            return "NO"
    return "YES"
```</t>
  </si>
  <si>
    <t>Qwen2.5-Coder-7B · HumanEval/26 excluido por desarrollo · tests base de HumanEval</t>
  </si>
  <si>
    <t xml:space="preserve">:
</t>
  </si>
  <si>
    <t xml:space="preserve"> or</t>
  </si>
  <si>
    <t>l</t>
  </si>
  <si>
    <t>Traceback (most recent call last):
  File "/tmp/tmp9ska_djk/candidate.py", line 39, in &lt;module&gt;
    check(intersection)
  File "/tmp/tmp9ska_djk/candidate.py", line 27, in check
    assert candidate((-1, 1), (0, 4)) == "NO"
           ^^^^^^^^^^^^^^^^^^^^^^^^^^^^^^^^^^
AssertionError</t>
  </si>
  <si>
    <t>```python
def intersection(interval1, interval2):
    start = max(interval1[0], interval2[0])
    end = min(interval1[1], interval2[1])
    if start &gt; end:
        return "NO"
    length = end - start + 1
    if length &lt; 2 or any(length % i == 0 for i in range(2, int(length**0.5) + 1)):
        return "NO"
    return "YES"
```</t>
  </si>
  <si>
    <t>Selector</t>
  </si>
  <si>
    <t>def</t>
  </si>
  <si>
    <t xml:space="preserve">   </t>
  </si>
  <si>
    <t>Problemas recuperados</t>
  </si>
  <si>
    <t>from</t>
  </si>
  <si>
    <t>Traceback (most recent call last):
  File "/tmp/tmp8qgnih1k/candidate.py", line 39, in &lt;module&gt;
    check(intersection)
  File "/tmp/tmp8qgnih1k/candidate.py", line 26, in check
    assert candidate((1, 2), (2, 3)) == "NO"
           ^^^^^^^^^^^^^^^^^^^^^^^^^
  File "/tmp/tmp8qgnih1k/candidate.py", line 21, in intersection
    return "YES" if is_prime(length) else "NO"
                    ^^^^^^^^
NameError: name 'is_prime' is not defined</t>
  </si>
  <si>
    <t>```python
from math import sqrt
def is_prime(n):
    if n &lt;= 1:
        return False
    if n &lt;= 3:
        return True
    if n % 2 == 0 or n % 3 == 0:
        return False
    i = 5
    while i * i &lt;= n:
        if n % i == 0 or n % (i + 2) == 0:
            return False
        i += 6
    return True
def intersection(interval1, interval2):
    start = max(interval1[0], interval2[0])
    end = min(interval1[1], interval2[1])
    if start &gt; end:
        return "NO"
    length = end - start + 1
    return "YES" if is_prime(length) else "NO"
```</t>
  </si>
  <si>
    <t xml:space="preserve"> &lt;</t>
  </si>
  <si>
    <t xml:space="preserve"> &lt;=</t>
  </si>
  <si>
    <t>FAIL</t>
  </si>
  <si>
    <t>Traceback (most recent call last):
  File "/tmp/tmp7lbnqnye/candidate.py", line 42, in &lt;module&gt;
    check(intersection)
  File "/tmp/tmp7lbnqnye/candidate.py", line 30, in check
    assert candidate((-1, 1), (0, 4)) == "NO"
           ^^^^^^^^^^^^^^^^^^^^^^^^^^^^^^^^^^
AssertionError</t>
  </si>
  <si>
    <t>_pal</t>
  </si>
  <si>
    <t>_short</t>
  </si>
  <si>
    <t>```python
def intersection(interval1, interval2):
    start = max(interval1[0], interval2[0])
    end = min(interval1[1], interval2[1])
    if start &gt; end:
        return "NO"
    length = end - start + 1
    if length &lt;= 1:
        return "NO"
    for i in range(2, int(length**0.5) + 1):
        if length % i == 0:
            return "NO"
    return "YES"
```</t>
  </si>
  <si>
    <t>**</t>
  </si>
  <si>
    <t xml:space="preserve"> **</t>
  </si>
  <si>
    <t>indrome</t>
  </si>
  <si>
    <t>Traceback (most recent call last):
  File "/tmp/tmp64g9smfh/candidate.py", line 42, in &lt;module&gt;
    check(intersection)
  File "/tmp/tmp64g9smfh/candidate.py", line 30, in check
    assert candidate((-1, 1), (0, 4)) == "NO"
           ^^^^^^^^^^^^^^^^^^^^^^^^^^^^^^^^^^
AssertionError</t>
  </si>
  <si>
    <t>ind</t>
  </si>
  <si>
    <t>```python
def intersection(interval1, interval2):
    start = max(interval1[0], interval2[0])
    end = min(interval1[1], interval2[1])
    if start &gt; end:
        return "NO"
    length = end - start + 1
    if length &lt; 2:
        return "NO"
    for i in range(2, int(length ** 0.5) + 1):
        if length % i == 0:
            return "NO"
    return "YES"
```</t>
  </si>
  <si>
    <t>start</t>
  </si>
  <si>
    <t>Traceback (most recent call last):
  File "/tmp/tmp3gi0ve8r/candidate.py", line 42, in &lt;module&gt;
    check(intersection)
  File "/tmp/tmp3gi0ve8r/candidate.py", line 30, in check
    assert candidate((-1, 1), (0, 4)) == "NO"
           ^^^^^^^^^^^^^^^^^^^^^^^^^^^^^^^^^^
AssertionError</t>
  </si>
  <si>
    <t>(string</t>
  </si>
  <si>
    <t>```python
def intersection(interval1, interval2):
    start = max(interval1[0], interval2[0])
    end = min(interval1[1], interval2[1])
    if start &gt; end:
        return "NO"
    length = end -start + 1
    if length &lt; 2:
        return "NO"
    for i in range(2, int(length**0.5) + 1):
        if length % i == 0:
            return "NO"
    return "YES"
```</t>
  </si>
  <si>
    <t>(s</t>
  </si>
  <si>
    <t>Problemas</t>
  </si>
  <si>
    <t xml:space="preserve"> end</t>
  </si>
  <si>
    <t>.end</t>
  </si>
  <si>
    <t>:</t>
  </si>
  <si>
    <t>SyntaxError: invalid syntax at line 4</t>
  </si>
  <si>
    <t>```python
def intersection(interval1, interval2):
    start = max(interval1[0], interval2[0])
    end = min(interval1[1], interval2[1])
    if start &gt;.end:
        return "NO"
    length = end - start + 1
    if length &lt; 2:
        return "NO"
    for i in range(2, int(length**0.5) + 1):
        if length % i == 0:
            return "NO"
    return "YES"
```</t>
  </si>
  <si>
    <t xml:space="preserve"> else</t>
  </si>
  <si>
    <t xml:space="preserve"> elif</t>
  </si>
  <si>
    <t xml:space="preserve"> str</t>
  </si>
  <si>
    <t xml:space="preserve"> 
</t>
  </si>
  <si>
    <t>Lookaheads cortos</t>
  </si>
  <si>
    <t>Traceback (most recent call last):
  File "/tmp/tmpzcr2fce0/candidate.py", line 47, in &lt;module&gt;
    check(tri)
  File "/tmp/tmpzcr2fce0/candidate.py", line 33, in check
    assert candidate(3) == [1, 3, 2.0, 8.0]
           ^^^^^^^^^^^^
  File "/tmp/tmpzcr2fce0/candidate.py", line 26, in tri
    result.append(result[i - 1] + result[i - 2] + result[i + 1])
                                                  ~~~~~~^^^^^^^
IndexError: list index out of range</t>
  </si>
  <si>
    <t>Ramas completas</t>
  </si>
  <si>
    <t>```python
def tri(n):
    if n == 0:
        return [1]
    elif n == 1:
        return [1, 3]
    elif n == 2:
        return [1, 3, 2]
    result = [1, 3, 2]
    for i in range(3, n + 1):
        if i % 2 == 0:
            result.append(1 + i / 2)
        elif i % 2 != 0:
            result.append(result[i - 1] + result[i - 2] + result[i + 1])
    return result
```</t>
  </si>
  <si>
    <t>Posiciones sin rama completa</t>
  </si>
  <si>
    <t>3</t>
  </si>
  <si>
    <t>Traceback (most recent call last):
  File "/tmp/tmpvgho5yii/candidate.py", line 47, in &lt;module&gt;
    check(tri)
  File "/tmp/tmpvgho5yii/candidate.py", line 33, in check
    assert candidate(3) == [1, 3, 2.0, 8.0]
           ^^^^^^^^^^^^
  File "/tmp/tmpvgho5yii/candidate.py", line 26, in tri
    result.append(result[i - 1] + result[i - 2] + result[i + 1])
                                                  ~~~~~~^^^^^^^
IndexError: list index out of range</t>
  </si>
  <si>
    <t xml:space="preserve"> -&gt;</t>
  </si>
  <si>
    <t>```python
def tri(n):
    if n == 0:
        return [3]
    elif n == 1:
        return [3, 2]
    elif n == 2:
        return [3, 2, 8]
    else:
        result = [3, 2, 8]
        for i in range(3, n + 1):
            if i % 2 == 0:
                result.append(1 + i / 2)
            else:
                result.append(result[i - 1] + result[i - 2] + result[i + 1])
        return result
```</t>
  </si>
  <si>
    <t>(result</t>
  </si>
  <si>
    <t>(sum</t>
  </si>
  <si>
    <t>Traceback (most recent call last):
  File "/tmp/tmpuus2eoqs/candidate.py", line 47, in &lt;module&gt;
    check(tri)
  File "/tmp/tmpuus2eoqs/candidate.py", line 33, in check
    assert candidate(3) == [1, 3, 2.0, 8.0]
           ^^^^^^^^^^^^^^^^^^^^^^^^^^^^^^^^
AssertionError</t>
  </si>
  <si>
    <t>str</t>
  </si>
  <si>
    <t>```python
def tri(n):
    if n == 0:
        return [1]
    elif n == 1:
        return [1, 3]
    elif n == 2:
        return [1, 3, 2]
    result = [1, 3, 2]
    for i in range(3, n + 1):
        if i % 2 == 0:
            result.append(1 + i / 2)
        else:
            result.append(sum(result[-3:]))
    return result
```</t>
  </si>
  <si>
    <t>Traceback (most recent call last):
  File "/tmp/tmpq94kk7d5/candidate.py", line 47, in &lt;module&gt;
    check(tri)
  File "/tmp/tmpq94kk7d5/candidate.py", line 33, in check
    assert candidate(3) == [1, 3, 2.0, 8.0]
           ^^^^^^^^^^^^
  File "/tmp/tmpq94kk7d5/candidate.py", line 26, in tri
    result.append(result[i - 1] + result[i - 2] + result[i + 1])
                                                  ~~~~~~^^^^^^^
IndexError: list index out of range</t>
  </si>
  <si>
    <t>```python
def tri(n):
    if n == 0:
        return [1]
    elif n == 1:
        return [1, 3]
    elif n == 2:
        return [1, 3, 2]
    result = [1, 3, 2]
    for i in range(3, n + 1):
        if i %2 == 0:
            result.append(1 + i / 2)
        else:
            result.append(result[i - 1] + result[i - 2] + result[i + 1])
    return result
```</t>
  </si>
  <si>
    <t xml:space="preserve"> result</t>
  </si>
  <si>
    <t xml:space="preserve"> sequence</t>
  </si>
  <si>
    <t>Traceback (most recent call last):
  File "/tmp/tmpf89h30ku/candidate.py", line 47, in &lt;module&gt;
    check(tri)
  File "/tmp/tmpf89h30ku/candidate.py", line 33, in check
    assert candidate(3) == [1, 3, 2.0, 8.0]
           ^^^^^^^^^^^^
  File "/tmp/tmpf89h30ku/candidate.py", line 26, in tri
    sequence.append(sequence[i - 1] + sequence[i - 2] + sequence[i + 1])
                                                        ~~~~~~~~^^^^^^^
IndexError: list index out of range</t>
  </si>
  <si>
    <t>```python
def tri(n):
    if n == 0:
        return [1]
    elif n == 1:
        return [1, 3]
    elif n == 2:
        return [1, 3, 2]
    sequence = [1, 3, 2]
    for i in range(3, n + 1):
        if i % 2 == 0:
            sequence.append(1 + i / 2)
        else:
            sequence.append(sequence[i - 1] + sequence[i - 2] + sequence[i + 1])
    return sequence
```</t>
  </si>
  <si>
    <t>Traceback (most recent call last):
  File "/tmp/tmpf6l8szsb/candidate.py", line 47, in &lt;module&gt;
    check(tri)
  File "/tmp/tmpf6l8szsb/candidate.py", line 33, in check
    assert candidate(3) == [1, 3, 2.0, 8.0]
           ^^^^^^^^^^^^^^^^^^^^^^^^^^^^^^^^
AssertionError</t>
  </si>
  <si>
    <t>```python
def tri(n):
    if n == 0:
        return [1]
    elif n == 1:
        return [1, 3]
    elif n == 2:
        return [1, 3, 2]
    result = [1, 3, 2]
    for i in range(3, n + 1):
        if i % 2 == 0:
            result.append(1 + i / 2)
        else:
            result.append(result[i - 1] + result[i - 3] + result[i - 2])
    return result
```</t>
  </si>
  <si>
    <t xml:space="preserve"> Find</t>
  </si>
  <si>
    <t>Find</t>
  </si>
  <si>
    <t xml:space="preserve">    
</t>
  </si>
  <si>
    <t xml:space="preserve"> the</t>
  </si>
  <si>
    <t>Traceback (most recent call last):
  File "/tmp/tmpf1jx69z8/candidate.py", line 47, in &lt;module&gt;
    check(tri)
  File "/tmp/tmpf1jx69z8/candidate.py", line 33, in check
    assert candidate(3) == [1, 3, 2.0, 8.0]
           ^^^^^^^^^^^^
  File "/tmp/tmpf1jx69z8/candidate.py", line 26, in tri
    result.append(result[i - 1] + result[i - 2] + result[i + 1])
                                                  ~~~~~~^^^^^^^
IndexError: list index out of range</t>
  </si>
  <si>
    <t xml:space="preserve"> shortest</t>
  </si>
  <si>
    <t>```python
def tri(n):
    if n == 0:
        return [1]
    elif n == 1:
        return [1, 3]
    elif n == 2:
        return [1, 3, 2]
    else:
        result = [1, 3, 2]
        for i in range(3, n + 1):
            if i % 2 == 0:
                result.append(1 + i / 2)
            else:
                result.append(result[i - 1] + result[i - 2] + result[i + 1])
        return result
```</t>
  </si>
  <si>
    <t xml:space="preserve"> short</t>
  </si>
  <si>
    <t>Traceback (most recent call last):
  File "/tmp/tmp8bch90sg/candidate.py", line 45, in &lt;module&gt;
    check(tri)
  File "/tmp/tmp8bch90sg/candidate.py", line 31, in check
    assert candidate(3) == [1, 3, 2.0, 8.0]
           ^^^^^^^^^^^^
  File "/tmp/tmp8bch90sg/candidate.py", line 24, in tri
    result.append(result[i - 1] + result[i - 2] + result[i + 1])
                                                  ~~~~~~^^^^^^^
IndexError: list index out of range</t>
  </si>
  <si>
    <t>```python
def tri(n):
    if n == 0:
        return [1]
    elif n == 1:
        return [1, 3]
    result = [1, 3, 2]
    for i in range(3, n + 1):
        if i % 2 == 0:
            result.append(1 + i / 2)
        else:
            result.append(result[i - 1] + result[i - 2] + result[i + 1])
    return result
```</t>
  </si>
  <si>
    <t xml:space="preserve"> palindrome</t>
  </si>
  <si>
    <t xml:space="preserve"> palette</t>
  </si>
  <si>
    <t>Traceback (most recent call last):
  File "/tmp/tmp7z8km2ad/candidate.py", line 44, in &lt;module&gt;
    check(tri)
  File "/tmp/tmp7z8km2ad/candidate.py", line 30, in check
    assert candidate(3) == [1, 3, 2.0, 8.0]
           ^^^^^^^^^^^^
  File "/tmp/tmp7z8km2ad/candidate.py", line 23, in tri
    result.append(result[i - 1] + result[i - 2] + result[i + 1])
                                                  ~~~~~~^^^^^^^
IndexError: list index out of range</t>
  </si>
  <si>
    <t>```python
def tri(n):
    if n == 0:
        return [1]
    elif n == 1:
        return [1, 3]
    result = [1, 3, 2]
    for i in range(3, n + 1):
        if i % 2 == 0:
            result.append(1 + i / 2)
        else:
            result.append(result[i - 1] + result[i - 2] + result[i + 1])
    return result
```</t>
  </si>
  <si>
    <t xml:space="preserve"> that</t>
  </si>
  <si>
    <t xml:space="preserve"> starting</t>
  </si>
  <si>
    <t>Traceback (most recent call last):
  File "/tmp/tmp5mcs1oju/candidate.py", line 47, in &lt;module&gt;
    check(tri)
  File "/tmp/tmp5mcs1oju/candidate.py", line 35, in check
    assert candidate(5) == [1, 3, 2.0, 8.0, 3.0, 15.0]
           ^^^^^^^^^^^^^^^^^^^^^^^^^^^^^^^^^^^^^^^^^^^
AssertionError</t>
  </si>
  <si>
    <t xml:space="preserve"> begins</t>
  </si>
  <si>
    <t>```python
def tri(n):
    if n == 0:
        return [1]
    elif n == 1:
        return [1, 3]
    elif n == 2:
        return [1, 3, 2]
    result = [1, 3, 2]
    for i in range(3, n + 1):
        if i % 2 == 0:
            result.append(1 + i / 2)
        else:
            result.append(result[i - 1] + 3 + result[i - 2])
    return result
```</t>
  </si>
  <si>
    <t xml:space="preserve"> beings</t>
  </si>
  <si>
    <t>Traceback (most recent call last):
  File "/tmp/tmp1qy2alj4/candidate.py", line 46, in &lt;module&gt;
    check(tri)
  File "/tmp/tmp1qy2alj4/candidate.py", line 32, in check
    assert candidate(3) == [1, 3, 2.0, 8.0]
           ^^^^^^^^^^^^^^^^^^^^^^^^^^^^^^^^
AssertionError</t>
  </si>
  <si>
    <t>```python
def tri(n):
    if n == 0:
        return [1]
    elif n == 1:
        return [1, 3]
    elif n == 2:
        return [1, 3, 2]
    result = [1, 3, 2]
    for i in range(3, n + 1, 2):
        result.append(result[i - 1] + result[i - 2] + result[i - 3])
        result.append(1 + i / 2)
    return result
```</t>
  </si>
  <si>
    <t xml:space="preserve"> with</t>
  </si>
  <si>
    <t>with</t>
  </si>
  <si>
    <t>(</t>
  </si>
  <si>
    <t>(n</t>
  </si>
  <si>
    <t>Traceback (most recent call last):
  File "/tmp/tmp0z7_1jd2/candidate.py", line 47, in &lt;module&gt;
    check(tri)
  File "/tmp/tmp0z7_1jd2/candidate.py", line 33, in check
    assert candidate(3) == [1, 3, 2.0, 8.0]
           ^^^^^^^^^^^^^^^^^^^^^^^^^^^^^^^^
AssertionError</t>
  </si>
  <si>
    <t xml:space="preserve"> a</t>
  </si>
  <si>
    <t>```python
def tri(n):
    if n == 0:
        return [1]
    elif n == 1:
        return [1, 3]
    elif n == 2:
        return [1, 3, 2]
    result = [1, 3, 2]
    for i in range(n - 2):
        if i % 2 == 0:
            result.append(1 + (i + 4) / 2)
        else:
            result.append(result[i - 1] + result[i - 2] + result[i + 1])
    return result
```</t>
  </si>
  <si>
    <t xml:space="preserve"> supplied</t>
  </si>
  <si>
    <t>Traceback (most recent call last):
  File "/tmp/tmp0axasn0j/candidate.py", line 47, in &lt;module&gt;
    check(tri)
  File "/tmp/tmp0axasn0j/candidate.py", line 33, in check
    assert candidate(3) == [1, 3, 2.0, 8.0]
           ^^^^^^^^^^^^
  File "/tmp/tmp0axasn0j/candidate.py", line 26, in tri
    result.append(result[i - 1] + result[i - 2] + result[i + 1])
                                                  ~~~~~~^^^^^^^
IndexError: list index out of range</t>
  </si>
  <si>
    <t xml:space="preserve"> given</t>
  </si>
  <si>
    <t>```python
def tri(n):
    if n == 0:
        return [1]
    elif n ==1:
        return [1, 3]
    elif n == 2:
        return [1, 3, 2]
    else:
        result = [1, 3, 2]
        for i in range(3, n + 1):
            if i % 2 == 0:
                result.append(1 + i / 2)
            else:
                result.append(result[i - 1] + result[i - 2] + result[i + 1])
        return result
```</t>
  </si>
  <si>
    <t>_float</t>
  </si>
  <si>
    <t>Traceback (most recent call last):
  File "/tmp/tmpzo37h0_l/candidate.py", line 37, in &lt;module&gt;
    check(compare_one)
  File "/tmp/tmpzo37h0_l/candidate.py", line 23, in check
    assert candidate(1, 2) == 2
           ^^^^^^^^^^^^^^^
  File "/tmp/tmpzo37h0_l/candidate.py", line 14, in compare_one
    a = float(a.replace(',', '.'))
              ^^^^^^^^^
AttributeError: 'int' object has no attribute 'replace'</t>
  </si>
  <si>
    <t>def compare_one(a, b):
    a = float(a.replace(',', '.'))
    b = float(b.replace(',', '.'))
    if a == b:
        return None
    return a if a &gt; b else b</t>
  </si>
  <si>
    <t xml:space="preserve">	return</t>
  </si>
  <si>
    <t>Traceback (most recent call last):
  File "/tmp/tmpyfeifz7a/candidate.py", line 41, in &lt;module&gt;
    check(compare_one)
  File "/tmp/tmpyfeifz7a/candidate.py", line 27, in check
    assert candidate(1, 2) == 2
           ^^^^^^^^^^^^^^^
  File "/tmp/tmpyfeifz7a/candidate.py", line 14, in compare_one
    a_float = float(a.replace(',', '.'))
                    ^^^^^^^^^
AttributeError: 'int' object has no attribute 'replace'</t>
  </si>
  <si>
    <t>def compare_one(a, b):
    a_float = float(a.replace(',', '.'))
    b_float = float(b.replace(',', '.'))
    if a_float == b_float:
       	return None
    elif a_float &gt; b_float:
       	return a
    else:
       	return b</t>
  </si>
  <si>
    <t xml:space="preserve">       </t>
  </si>
  <si>
    <t xml:space="preserve"> &gt;</t>
  </si>
  <si>
    <t>Traceback (most recent call last):
  File "/tmp/tmpuh4cmi_c/candidate.py", line 41, in &lt;module&gt;
    check(compare_one)
  File "/tmp/tmpuh4cmi_c/candidate.py", line 27, in check
    assert candidate(1, 2) == 2
           ^^^^^^^^^^^^^^^
  File "/tmp/tmpuh4cmi_c/candidate.py", line 14, in compare_one
    a_float = float(a.replace(',', '.'))
                    ^^^^^^^^^
AttributeError: 'int' object has no attribute 'replace'</t>
  </si>
  <si>
    <t>def compare_one(a, b):
    a_float = float(a.replace(',', '.'))
    b_float = float(b.replace(',', '.'))
    if a_float &gt; b_float:
        return a
    elif b_float &gt; a_float:
        return b
    else:
        return None</t>
  </si>
  <si>
    <t xml:space="preserve"> abs</t>
  </si>
  <si>
    <t xml:space="preserve"> idea</t>
  </si>
  <si>
    <t>Traceback (most recent call last):
  File "/tmp/tmppkecnc3z/candidate.py", line 41, in &lt;module&gt;
    check(compare_one)
  File "/tmp/tmppkecnc3z/candidate.py", line 27, in check
    assert candidate(1, 2) == 2
           ^^^^^^^^^^^^^^^
  File "/tmp/tmppkecnc3z/candidate.py", line 14, in compare_one
    a_float = float(a.replace(',', '.'))
                    ^^^^^^^^^
AttributeError: 'int' object has no attribute 'replace'</t>
  </si>
  <si>
    <t>def compare_one(a, b):
    a_float = float(a.replace(',', '.'))
    b_float = float(b.replace(',', '.'))
    if abs(a_float - b_float) &lt; 1e-9:
        return None
    elif a_float &gt; b_float:
        return a
    else:
        return b</t>
  </si>
  <si>
    <t xml:space="preserve"> b</t>
  </si>
  <si>
    <t>Traceback (most recent call last):
  File "/tmp/tmpjvvy5tym/candidate.py", line 41, in &lt;module&gt;
    check(compare_one)
  File "/tmp/tmpjvvy5tym/candidate.py", line 27, in check
    assert candidate(1, 2) == 2
           ^^^^^^^^^^^^^^^
  File "/tmp/tmpjvvy5tym/candidate.py", line 14, in compare_one
    a_float = float(a.replace(',', '.'))
                    ^^^^^^^^^
AttributeError: 'int' object has no attribute 'replace'</t>
  </si>
  <si>
    <t>def compare_one(a, b):
    a_float = float(a.replace(',', '.'))
    b_float = float(b.replace(',', '.'))
    if a_float == a and b_float == b:
        return None
    elif a_float &gt; b_float:
        return a
    else:
        return b</t>
  </si>
  <si>
    <t xml:space="preserve"> simple</t>
  </si>
  <si>
    <t xml:space="preserve"> as</t>
  </si>
  <si>
    <t>Traceback (most recent call last):
  File "/tmp/tmpfysq_rtf/candidate.py", line 39, in &lt;module&gt;
    check(compare_one)
  File "/tmp/tmpfysq_rtf/candidate.py", line 25, in check
    assert candidate(1, 2) == 2
           ^^^^^^^^^^^^^^^
  File "/tmp/tmpfysq_rtf/candidate.py", line 14, in compare_one
    a_float = float(a.replace(',', '.'))
                    ^^^^^^^^^
AttributeError: 'int' object has no attribute 'replace'</t>
  </si>
  <si>
    <t>Tasa</t>
  </si>
  <si>
    <t>def compare_one(a, b):
    a_float = float(a.replace(',', '.'))
    b_float = float(b.replace(',', '.'))
    if a_float == b_float:
        return None
    else:
        return a if a_float &gt; b_float else b</t>
  </si>
  <si>
    <t>Ramas PASS</t>
  </si>
  <si>
    <t>Ramas nominales</t>
  </si>
  <si>
    <t>Brecha vs random</t>
  </si>
  <si>
    <t>Lectura</t>
  </si>
  <si>
    <t>Traceback (most recent call last):
  File "/tmp/tmpapz4a891/candidate.py", line 41, in &lt;module&gt;
    check(compare_one)
  File "/tmp/tmpapz4a891/candidate.py", line 27, in check
    assert candidate(1, 2) == 2
           ^^^^^^^^^^^^^^^
  File "/tmp/tmpapz4a891/candidate.py", line 14, in compare_one
    a_float = float(a.replace(',', '.'))
                    ^^^^^^^^^
AttributeError: 'int' object has no attribute 'replace'</t>
  </si>
  <si>
    <t>def compare_one(a, b):
    a_float = float(a.replace(',', '.'))
    b_float = float(b.replace(',', '.'))
    if a_float == b_float:
        return None
    elif abs(a_float - b_float) &lt; 1e-9:
        return None
    else:
        return a if a_float &gt; b_float else b</t>
  </si>
  <si>
    <t>Traceback (most recent call last):
  File "/tmp/tmp85wgzr8y/candidate.py", line 40, in &lt;module&gt;
    check(compare_one)
  File "/tmp/tmp85wgzr8y/candidate.py", line 26, in check
    assert candidate(1, 2) == 2
           ^^^^^^^^^^^^^^^
  File "/tmp/tmp85wgzr8y/candidate.py", line 14, in compare_one
    a_float = float(a.replace(',', '.'))
                    ^^^^^^^^^
AttributeError: 'int' object has no attribute 'replace'</t>
  </si>
  <si>
    <t>def compare_one(a, b):
    a_float = float(a.replace(',', '.'))
    b_float = float(b.replace(',', '.'))
    if a_float == b_float:
        return None
    elif a_float &gt; b_float:
        return a
    else:
        return b</t>
  </si>
  <si>
    <t xml:space="preserve"> '.</t>
  </si>
  <si>
    <t xml:space="preserve"> '.'</t>
  </si>
  <si>
    <t>Traceback (most recent call last):
  File "/tmp/tmp6jkkjbmj/candidate.py", line 41, in &lt;module&gt;
    check(compare_one)
  File "/tmp/tmp6jkkjbmj/candidate.py", line 27, in check
    assert candidate(1, 2) == 2
           ^^^^^^^^^^^^^^^
  File "/tmp/tmp6jkkjbmj/candidate.py", line 14, in compare_one
    a_float = float(a.replace(',', '.'))
                    ^^^^^^^^^
AttributeError: 'int' object has no attribute 'replace'</t>
  </si>
  <si>
    <t>def compare_one(a, b):
    a_float = float(a.replace(',', '.'))
    b_float = float(b.replace(',', '.'))
    if a_float == b_float:
        return None
    elif a_float &gt; b_float:
        return a
    else:
        return b</t>
  </si>
  <si>
    <t>Traceback (most recent call last):
  File "/tmp/tmp5f89iktp/candidate.py", line 36, in &lt;module&gt;
    check(compare_one)
  File "/tmp/tmp5f89iktp/candidate.py", line 22, in check
    assert candidate(1, 2) == 2
           ^^^^^^^^^^^^^^^
  File "/tmp/tmp5f89iktp/candidate.py", line 14, in compare_one
    a_float = float(a.replace(',', '.'))
                    ^^^^^^^^^
AttributeError: 'int' object has no attribute 'replace'</t>
  </si>
  <si>
    <t>def compare_one(a, b):
    a_float = float(a.replace(',', '.'))
    b_float = float(b.replace(',', '.'))
    return a if a_float &gt; b_float else b if b_float &gt; a_float else None</t>
  </si>
  <si>
    <t xml:space="preserve"> Float</t>
  </si>
  <si>
    <t>SyntaxError: invalid syntax at line 5</t>
  </si>
  <si>
    <t>def compare_one(a, b):
    a_float = float(a.replace(',', '.'))
    b_float = float(b.replace(',', '.'))
    if a_float == b Float:
        return None
    elif a_float &gt; b_float:
        return a
    else:
        return b</t>
  </si>
  <si>
    <t>(a</t>
  </si>
  <si>
    <t>(str</t>
  </si>
  <si>
    <t xml:space="preserve"> postfix</t>
  </si>
  <si>
    <t xml:space="preserve"> prefix</t>
  </si>
  <si>
    <t>def compare_one(a, b):
    a_float = float(str(a).replace(',', '.'))
    b_float = float(str(b).replace(',', '.'))
    if a_float == b_float:
        return None
    elif a_float &gt; b_float:
        return a
    else:
        return b</t>
  </si>
  <si>
    <t xml:space="preserve"> of</t>
  </si>
  <si>
    <t>def compare_one(a, b):
    def parse_value(val):
        if isinstance(val, str):
            val = val.replace(',', '.')
            return float(val)
        return float(val)
    a_val = parse_value(a)
    b_val = parse_value(b)
    if a_val == b_val:
        return None
    elif a_val &gt; b_val:
        return a
    else:
        return b</t>
  </si>
  <si>
    <t>string</t>
  </si>
  <si>
    <t>Traceback (most recent call last):
  File "/tmp/tmpy7_slroa/candidate.py", line 29, in &lt;module&gt;
    check(fix_spaces)
  File "/tmp/tmpy7_slroa/candidate.py", line 20, in check
    assert candidate("Mudasir Hanif ") == "Mudasir_Hanif_", "This prints if this assert fails 2 (good for debugging!)"
           ^^^^^^^^^^^^^^^^^^^^^^^^^^^^^^^^^^^^^^^^^^^^^^^
AssertionError: This prints if this assert fails 2 (good for debugging!)</t>
  </si>
  <si>
    <t>def fix_spaces(text): 
    return '-'.join(text.split(' ')).replace(' ', '_')</t>
  </si>
  <si>
    <t>'.</t>
  </si>
  <si>
    <t>'+</t>
  </si>
  <si>
    <t>Traceback (most recent call last):
  File "/tmp/tmpn7m99utl/candidate.py", line 29, in &lt;module&gt;
    check(fix_spaces)
  File "/tmp/tmpn7m99utl/candidate.py", line 19, in check
    assert candidate("Example") == "Example", "This prints if this assert fails 1 (good for debugging!)"
           ^^^^^^^^^^^^^^^^^^^^^^^^^^^^^^^^^
AssertionError: This prints if this assert fails 1 (good for debugging!)</t>
  </si>
  <si>
    <t>def fix_spaces(text):
    return '-'+text.replace('   ', '-').replace(' ', '_')</t>
  </si>
  <si>
    <t>Traceback (most recent call last):
  File "/tmp/tmp9dalwrlz/candidate.py", line 29, in &lt;module&gt;
    check(fix_spaces)
  File "/tmp/tmp9dalwrlz/candidate.py", line 20, in check
    assert candidate("Mudasir Hanif ") == "Mudasir_Hanif_", "This prints if this assert fails 2 (good for debugging!)"
           ^^^^^^^^^^^^^^^^^^^^^^^^^^^^^^^^^^^^^^^^^^^^^^^
AssertionError: This prints if this assert fails 2 (good for debugging!)</t>
  </si>
  <si>
    <t>def fix_spaces(text):
  return '-'.join(text.split(' ')).replace(' ', '_')</t>
  </si>
  <si>
    <t>join</t>
  </si>
  <si>
    <t xml:space="preserve"> join</t>
  </si>
  <si>
    <t>Traceback (most recent call last):
  File "/tmp/tmp4er7n_8d/candidate.py", line 29, in &lt;module&gt;
    check(fix_spaces)
  File "/tmp/tmp4er7n_8d/candidate.py", line 20, in check
    assert candidate("Mudasir Hanif ") == "Mudasir_Hanif_", "This prints if this assert fails 2 (good for debugging!)"
           ^^^^^^^^^^^^^^^^^^^^^^^^^^^^^^^^^^^^^^^^^^^^^^^
AssertionError: This prints if this assert fails 2 (good for debugging!)</t>
  </si>
  <si>
    <t xml:space="preserve"> pal</t>
  </si>
  <si>
    <t>def fix_spaces(text):
    return '-'. join(text.split(' ')).replace(' ', '_')</t>
  </si>
  <si>
    <t>(text</t>
  </si>
  <si>
    <t xml:space="preserve"> text</t>
  </si>
  <si>
    <t>SyntaxError: unmatched ')' at line 1</t>
  </si>
  <si>
    <t>def fix_spaces text):
    return text.replace('   ', '-').replace(' ', '_')</t>
  </si>
  <si>
    <t>_spaces</t>
  </si>
  <si>
    <t xml:space="preserve"> Spaces</t>
  </si>
  <si>
    <t>SyntaxError: expected '(' at line 1</t>
  </si>
  <si>
    <t>def fix Spaces(text):
    return text.replace("   ", "-").replace(" ", "_")</t>
  </si>
  <si>
    <t xml:space="preserve"> '-</t>
  </si>
  <si>
    <t>def fix_spaces(text):
    return text.replace('   ', '-').replace(' ', '_')</t>
  </si>
  <si>
    <t xml:space="preserve"> Append</t>
  </si>
  <si>
    <t>Append</t>
  </si>
  <si>
    <t>def fix_spaces(text):
    result = []
    consecutive_spaces = 0
    for char in text:
        if char == " ":
            consecutive_spaces += 1
        else:
            if consecutive_spaces &gt; 2:
                result.append('-')
            elif consecutive_spaces &gt; 0:
                result.extend(['_'] * consecutive_spaces)
            result.append(char)
            consecutive_spaces = 0
    if consecutive_spaces &gt; 2:
        result.append('-')
    elif consecutive_spaces &gt; 0:
        result.extend(['_'] * consecutive_spaces)
    return ''.join(result)</t>
  </si>
  <si>
    <t xml:space="preserve"> to</t>
  </si>
  <si>
    <t>Complementario, pero no superior a entropía</t>
  </si>
  <si>
    <t>Traceback (most recent call last):
  File "/tmp/tmpxse8bzj_/candidate.py", line 51, in &lt;module&gt;
    check(file_name_check)
          ^^^^^^^^^^^^^^^
NameError: name 'file_name_check' is not defined</t>
  </si>
  <si>
    <t>```python
```</t>
  </si>
  <si>
    <t>a</t>
  </si>
  <si>
    <t>A</t>
  </si>
  <si>
    <t>Traceback (most recent call last):
  File "/tmp/tmpwjktisd1/candidate.py", line 55, in &lt;module&gt;
    check(file_name_check)
  File "/tmp/tmpwjktisd1/candidate.py", line 27, in check
    assert candidate('His12FILE94.exe') == 'No'
           ^^^^^^^^^^^^^^^^^^^^^^^^^^^^^^^^^^^^
AssertionError</t>
  </si>
  <si>
    <t>```python
import re
def file_name_check(file_name):
    pattern = r'^[A-Za-z][A-Za-z0-9]{0,}(\d{0,3})\.(txt|exe|dll)$'
    return 'Yes' if re.match(pattern, file_name) else 'No'
```</t>
  </si>
  <si>
    <t>][</t>
  </si>
  <si>
    <t>]+</t>
  </si>
  <si>
    <t>Traceback (most recent call last):
  File "/tmp/tmpudgmco5t/candidate.py", line 55, in &lt;module&gt;
    check(file_name_check)
  File "/tmp/tmpudgmco5t/candidate.py", line 26, in check
    assert candidate('MY16FILE3.exe') == 'Yes'
           ^^^^^^^^^^^^^^^^^^^^^^^^^^^^^^^^^^^
AssertionError</t>
  </si>
  <si>
    <t>```python
import re
def file_name_check(file_name):
    pattern = r'^[a-zA-Z]+[a-zA-Z0-9]{0,2}\.[txt|exe|dll]{3}$'
    return 'Yes' if re.match(pattern, file_name) else 'No'
```</t>
  </si>
  <si>
    <t xml:space="preserve"> r</t>
  </si>
  <si>
    <t xml:space="preserve"> re</t>
  </si>
  <si>
    <t>Traceback (most recent call last):
  File "/tmp/tmpt6dcxy6_/candidate.py", line 55, in &lt;module&gt;
    check(file_name_check)
  File "/tmp/tmpt6dcxy6_/candidate.py", line 22, in check
    assert candidate("example.txt") == 'Yes'
           ^^^^^^^^^^^^^^^^^^^^^^^^^^^^^^^^^
AssertionError</t>
  </si>
  <si>
    <t>```python
import re
def file_name_check(file_name):
    pattern = re.compile(r'^[a-zA-Z][a-zA-Z0-9]{0,2}\.[txt|exe|dll]{3}$')
    return 'Yes' if pattern.match(file_name) else 'No'
```</t>
  </si>
  <si>
    <t>}</t>
  </si>
  <si>
    <t>Traceback (most recent call last):
  File "/tmp/tmprtwij9p6/candidate.py", line 55, in &lt;module&gt;
    check(file_name_check)
  File "/tmp/tmprtwij9p6/candidate.py", line 22, in check
    assert candidate("example.txt") == 'Yes'
           ^^^^^^^^^^^^^^^^^^^^^^^^^^^^^^^^^
AssertionError</t>
  </si>
  <si>
    <t>```python
import re
def file_name_check(file_name):
    pattern = r'^[a-zA-Z][a-zA-Z0-9]{0,2}\.[txt|exe|dll]{3}$'
    return 'Yes' if re.match(pattern, file_name) else 'No'
```</t>
  </si>
  <si>
    <t>-</t>
  </si>
  <si>
    <t xml:space="preserve"> reverse</t>
  </si>
  <si>
    <t>Traceback (most recent call last):
  File "/tmp/tmpodj9kxv7/candidate.py", line 55, in &lt;module&gt;
    check(file_name_check)
  File "/tmp/tmpodj9kxv7/candidate.py", line 22, in check
    assert candidate("example.txt") == 'Yes'
           ^^^^^^^^^^^^^^^^^^^^^^^^^^^^^^^^^
AssertionError</t>
  </si>
  <si>
    <t>```python
import re
def file_name_check(file_name):
    pattern = r'^[a-zA-Z][a-zA-Z0-9]{0-2}\.[txt|exe|dll]{3}$'
    return 'Yes' if re.match(pattern, file_name) else 'No'
```</t>
  </si>
  <si>
    <t>^\</t>
  </si>
  <si>
    <t>Traceback (most recent call last):
  File "/tmp/tmpno5pt5v1/candidate.py", line 55, in &lt;module&gt;
    check(file_name_check)
  File "/tmp/tmpno5pt5v1/candidate.py", line 26, in check
    assert candidate('MY16FILE3.exe') == 'Yes'
           ^^^^^^^^^^^^^^^^^^^^^^^^^^^^^^^^^^^
AssertionError</t>
  </si>
  <si>
    <t>```python
import re
def file_name_check(file_name):
    pattern = r'^[a-zA-Z][^\d]*\d{0,3}[^\d]*\.(txt|exe|dll)$'
    return 'Yes' if re.match(pattern, file_name) else 'No'
```</t>
  </si>
  <si>
    <t>Mejor con presupuestos pequeños</t>
  </si>
  <si>
    <t>Traceback (most recent call last):
  File "/tmp/tmphvddw9hu/candidate.py", line 55, in &lt;module&gt;
    check(file_name_check)
  File "/tmp/tmphvddw9hu/candidate.py", line 22, in check
    assert candidate("example.txt") == 'Yes'
           ^^^^^^^^^^^^^^^^^^^^^^^^^^^^^^^^^
AssertionError</t>
  </si>
  <si>
    <t>```python
import re
def file_name_check(file_name):
    pattern = r'^[a-zA-Z][a-zA-Z0-9]{0,}(\d{0-3})\.(txt|exe|dll)$'
    return 'Yes' if re.match(pattern, file_name) else 'No'
```</t>
  </si>
  <si>
    <t>})</t>
  </si>
  <si>
    <t>}\</t>
  </si>
  <si>
    <t xml:space="preserve"> suffix</t>
  </si>
  <si>
    <t>Traceback (most recent call last):
  File "/tmp/tmpfd8nfd8e/candidate.py", line 55, in &lt;module&gt;
    check(file_name_check)
  File "/tmp/tmpfd8nfd8e/candidate.py", line 22, in check
    assert candidate("example.txt") == 'Yes'
           ^^^^^^^^^^^^^^^^^^^^^^^^^^^^^^^^^
AssertionError</t>
  </si>
  <si>
    <t>```python
import re
def file_name_check(file_name):
    pattern = r'^[a-zA-Z][a-zA-Z0-9]{0,}(\d{0,3}\.)[a-zA-Z0-9]{0,}(\.(txt|exe|dll))$'
    return 'Yes' if re.match(pattern, file_name) else 'No'
```</t>
  </si>
  <si>
    <t>0</t>
  </si>
  <si>
    <t>]*</t>
  </si>
  <si>
    <t>Traceback (most recent call last):
  File "/tmp/tmpeu52dodq/candidate.py", line 55, in &lt;module&gt;
    check(file_name_check)
  File "/tmp/tmpeu52dodq/candidate.py", line 26, in check
    assert candidate('MY16FILE3.exe') == 'Yes'
           ^^^^^^^^^^^^^^^^^^^^^^^^^^^^^^^^^^^
AssertionError</t>
  </si>
  <si>
    <t>```python
import re
def file_name_check(file_name):
    pattern = r'^[a-zA-Z][a-zA-Z]*[0-9]{0,3}\.[txt|exe|dll]{3}$'
    return 'Yes' if re.match(pattern, file_name) else 'No'
```</t>
  </si>
  <si>
    <t xml:space="preserve"> comes</t>
  </si>
  <si>
    <t>d</t>
  </si>
  <si>
    <t>.[</t>
  </si>
  <si>
    <t>comes</t>
  </si>
  <si>
    <t>Traceback (most recent call last):
  File "/tmp/tmpaum08jgj/candidate.py", line 59, in &lt;module&gt;
    check(file_name_check)
  File "/tmp/tmpaum08jgj/candidate.py", line 36, in check
    assert candidate('this_is_valid.txt') == 'Yes'
           ^^^^^^^^^^^^^^^^^^^^^^^^^^^^^^^^^^^^^^^
AssertionError</t>
  </si>
  <si>
    <t>```python
import re
def file_name_check(file_name):
    pattern = r'^[a-zA-Z][a-zA-Z0-9]{0,}(\.[a-zA-Z0-9]{0,3})?$'
    if re.match(pattern, file_name):
        name, ext = file_name.rsplit('.', 1)
        if ext in ['txt', 'exe', 'dll'] and len(re.findall(r'\d', file_name)) &lt;= 3:
            return 'Yes'
    return 'No'
```</t>
  </si>
  <si>
    <t>exe</t>
  </si>
  <si>
    <t>dll</t>
  </si>
  <si>
    <t>Traceback (most recent call last):
  File "/tmp/tmp01zu77ru/candidate.py", line 55, in &lt;module&gt;
    check(file_name_check)
  File "/tmp/tmp01zu77ru/candidate.py", line 27, in check
    assert candidate('His12FILE94.exe') == 'No'
           ^^^^^^^^^^^^^^^^^^^^^^^^^^^^^^^^^^^^
AssertionError</t>
  </si>
  <si>
    <t>```python
import re
def file_name_check(file_name):
    pattern = r'^[a-zA-Z][a-zA-Z0-9]{0,}(\d{0,3})\.(txt|dll|exe)$'
    return 'Yes' if re.match(pattern, file_name) else 'No'
```</t>
  </si>
  <si>
    <t xml:space="preserve"> pattern</t>
  </si>
  <si>
    <t>pal</t>
  </si>
  <si>
    <t>Casi redundante con entropía</t>
  </si>
  <si>
    <t>```python
import re
def file_name_check(file_name):
    if len(re.findall(r'\d', file_name)) &gt; 3:
        return 'No'
    if file_name.count('.') != 1:
        return 'No'
    name, ext = file_name.split('.')
    if not name or not name[0].isalpha():
        return 'No'
    if ext not in ['txt', 'exe', 'dll']:
        return 'No'
    return 'Yes'
```</t>
  </si>
  <si>
    <t>import</t>
  </si>
  <si>
    <t>id</t>
  </si>
  <si>
    <t>```python
def file_name_check(file_name):
    parts = file_name.split('.')
    if len(parts) != 2:
        return 'No'
    name, ext = parts
    if not name or not name[0].isalpha():
        return 'No'
    if not ext in ['txt', 'exe', 'dll']:
        return 'No'
    if len([c for c in name if c.isdigit()]) &gt; 3:
        return 'No'
    return 'Yes'
```</t>
  </si>
  <si>
    <t>rom</t>
  </si>
  <si>
    <t xml:space="preserve"> rom</t>
  </si>
  <si>
    <t>Traceback (most recent call last):
  File "/tmp/tmpxrmfv548/candidate.py", line 42, in &lt;module&gt;
    check(sum_squares)
  File "/tmp/tmpxrmfv548/candidate.py", line 26, in check
    assert candidate([1,2,3]) == 6
           ^^^^^^^^^^^^^^^^^^^^^^^
AssertionError</t>
  </si>
  <si>
    <t>def sum_squares(lst):
    total = 0
    for i, num in enumerate(lst):
        if i % 3 ==0:
            total += num ** 2
        elif i % 4 == 0:
            total += num ** 3
    return total</t>
  </si>
  <si>
    <t>ic</t>
  </si>
  <si>
    <t xml:space="preserve"> for</t>
  </si>
  <si>
    <t>Traceback (most recent call last):
  File "/tmp/tmpo2r5nwr7/candidate.py", line 43, in &lt;module&gt;
    check(sum_squares)
  File "/tmp/tmpo2r5nwr7/candidate.py", line 27, in check
    assert candidate([1,2,3]) == 6
           ^^^^^^^^^^^^^^^^^^^^^^^
AssertionError</t>
  </si>
  <si>
    <t>def sum_squares(lst):
    total = 0
    n = len(lst)
    for i in range(n):
        if i % 3 == 0:
            total += lst[i] ** 2
        elif i % 4 == 0:
            total += lst[i] ** 3
    return total</t>
  </si>
  <si>
    <t xml:space="preserve"> (</t>
  </si>
  <si>
    <t xml:space="preserve">."""
</t>
  </si>
  <si>
    <t>Traceback (most recent call last):
  File "/tmp/tmpdkahxwnk/candidate.py", line 44, in &lt;module&gt;
    check(sum_squares)
  File "/tmp/tmpdkahxwnk/candidate.py", line 28, in check
    assert candidate([1,2,3]) == 6
           ^^^^^^^^^^^^^^^^^^^^^^^
AssertionError</t>
  </si>
  <si>
    <t>def sum_squares(lst):
    total = 0
    for i, num in enumerate(lst):
        if (i + 1) % 3 == 0:
            total += num ** 2
        elif (i + 1) % 4 == 0:
            total += num ** 3
        else:
            total += num
    return total</t>
  </si>
  <si>
    <t xml:space="preserve"> num</t>
  </si>
  <si>
    <t xml:space="preserve"> x</t>
  </si>
  <si>
    <t>Traceback (most recent call last):
  File "/tmp/tmpdf59l6ck/candidate.py", line 42, in &lt;module&gt;
    check(sum_squares)
  File "/tmp/tmpdf59l6ck/candidate.py", line 26, in check
    assert candidate([1,2,3]) == 6
           ^^^^^^^^^^^^^^^^^^^^^^^
AssertionError</t>
  </si>
  <si>
    <t>def sum_squares(lst):
    total = 0
    for i, x in enumerate(lst):
        if i % 3 == 0:
            total += x ** 2
        elif i % 4 == 0:
            total += x ** 3
    return total</t>
  </si>
  <si>
    <t xml:space="preserve"> &gt;&gt;&gt;</t>
  </si>
  <si>
    <t>Traceback (most recent call last):
  File "/tmp/tmpa1bgtg9o/candidate.py", line 44, in &lt;module&gt;
    check(sum_squares)
  File "/tmp/tmpa1bgtg9o/candidate.py", line 32, in check
    assert candidate([-1,-1,-1,-1,-1,-1,-1,-1,-1]) == -3
           ^^^^^^^^^^^^^^^^^^^^^^^^^^^^^^^^^^^^^^^^^^^^^
AssertionError</t>
  </si>
  <si>
    <t>def sum_squares(lst):
    total = 0
    for i, num in enumerate(lst):
        if i % 3 == 3:
            total += num ** 2
        elif i % 4 == 0:
            total += num ** 3
        else:
            total += num
    return total</t>
  </si>
  <si>
    <t xml:space="preserve"> and</t>
  </si>
  <si>
    <t>Control de referencia</t>
  </si>
  <si>
    <t>Traceback (most recent call last):
  File "/tmp/tmp9xqepr8l/candidate.py", line 44, in &lt;module&gt;
    check(sum_squares)
  File "/tmp/tmp9xqepr8l/candidate.py", line 32, in check
    assert candidate([-1,-1,-1,-1,-1,-1,-1,-1,-1]) == -3
           ^^^^^^^^^^^^^^^^^^^^^^^^^^^^^^^^^^^^^^^^^^^^^
AssertionError</t>
  </si>
  <si>
    <t>def sum_squares(lst):
    total = 0
    for i, num in enumerate(lst):
        if i % 3 == 0 and i % 4 != 0:
            total += num ** 2
        elif i % 4 == 0:
            total += num ** 3
        else:
            total += num
    return total</t>
  </si>
  <si>
    <t>Conclusión defendible</t>
  </si>
  <si>
    <t>Palindrome</t>
  </si>
  <si>
    <t>Traceback (most recent call last):
  File "/tmp/tmp70pnoq5b/candidate.py", line 42, in &lt;module&gt;
    check(sum_squares)
  File "/tmp/tmp70pnoq5b/candidate.py", line 26, in check
    assert candidate([1,2,3]) == 6
           ^^^^^^^^^^^^^^^^^^^^^^^
AssertionError</t>
  </si>
  <si>
    <t>def sum_squares(lst):
    total = 0
    for i in range(len(lst)):
        if i % 3 == 0:
            total += lst[i] ** 2
        elif i % 4 == 0:
            total += lst[i] ** 3
    return total</t>
  </si>
  <si>
    <t>Cambiar una decisión top-1 por top-2 recuperó 10 de 20 problemas con cinco ramas. El selector semántico superó al control aleatorio, pero empató con entropía y margen. Su valor potencial es aportar trayectorias diferentes para una política híbrida.</t>
  </si>
  <si>
    <t xml:space="preserve"> index</t>
  </si>
  <si>
    <t>Traceback (most recent call last):
  File "/tmp/tmp32q_vz8b/candidate.py", line 42, in &lt;module&gt;
    check(sum_squares)
  File "/tmp/tmp32q_vz8b/candidate.py", line 26, in check
    assert candidate([1,2,3]) == 6
           ^^^^^^^^^^^^^^^^^^^^^^^
AssertionError</t>
  </si>
  <si>
    <t xml:space="preserve">('')
</t>
  </si>
  <si>
    <t>def sum_squares(lst):
    total = 0
    for index, value in enumerate(lst):
        if index % 3 == 0:
            total += value ** 2
        elif index % 4 == 0:
            total += value ** 3
    return total</t>
  </si>
  <si>
    <t>SyntaxError: invalid syntax at line 3</t>
  </si>
  <si>
    <t>def sum_squares(lst):
    total = 0
    for i, num inenumerate(lst):
        if i % 3 == 0:
            total += num ** 2
        elif i % 4 == 0:
            total += num ** 3
        else:
            total += num
    return total</t>
  </si>
  <si>
    <t xml:space="preserve"> ''
</t>
  </si>
  <si>
    <t xml:space="preserve">=''
</t>
  </si>
  <si>
    <t>def sum_squares(lst):
    total = 0
    for i, num in enumerate(lst):
        if i % 3 == 0:
            total += num ** 2
        elif i % 4 == 0 and i % 3 != 0:
            total += num ** 3
        else:
            total += num
    return total</t>
  </si>
  <si>
    <t xml:space="preserve"> total</t>
  </si>
  <si>
    <t>PASS</t>
  </si>
  <si>
    <t>def sum_squares(lst):
    return sum(x**2 if i % 3 == 0 else x**3 if i % 4 == 0 else x for i, x in enumerate(lst))</t>
  </si>
  <si>
    <t>def sum_squares(lst):
  return sum(x**2 if i % 3 == 0 else x**3 if i % 4 == 0 else x for i, x in enumerate(lst))</t>
  </si>
  <si>
    <t>_sum</t>
  </si>
  <si>
    <t>def sum_squares(lst):
    total_sum = 0
    for i, num in enumerate(lst):
        if i % 3 == 0:
            total_sum += num ** 2
        elif i % 4 == 0:
            total_sum += num ** 3
        else:
            total_sum += num
    return total_sum</t>
  </si>
  <si>
    <t>sum</t>
  </si>
  <si>
    <t>abs</t>
  </si>
  <si>
    <t>Traceback (most recent call last):
  File "/tmp/tmpzi3zf73o/candidate.py", line 31, in &lt;module&gt;
    check(order_by_points)
  File "/tmp/tmpzi3zf73o/candidate.py", line 19, in check
    assert candidate([1, 11, -1, -11, -12]) == [-1, -11, 1, -12, 11]
           ^^^^^^^^^^^^^^^^^^^^^^^^^^^^^^^^^^^^^^^^^^^^^^^^^^^^^^^^^
AssertionError</t>
  </si>
  <si>
    <t>def order_by_points(nums):
    return sorted(nums, key=lambda x: (abs(x), nums.index(x)))</t>
  </si>
  <si>
    <t>(int</t>
  </si>
  <si>
    <t>(map</t>
  </si>
  <si>
    <t>Traceback (most recent call last):
  File "/tmp/tmpx2g5qsrs/candidate.py", line 31, in &lt;module&gt;
    check(order_by_points)
  File "/tmp/tmpx2g5qsrs/candidate.py", line 19, in check
    assert candidate([1, 11, -1, -11, -12]) == [-1, -11, 1, -12, 11]
           ^^^^^^^^^^^^^^^^^^^^^^^^^^^^^^^^^^^^^^^^^^^^^^^^^^^^^^^^^
AssertionError</t>
  </si>
  <si>
    <t>def order_by_points(nums):
    return sorted(nums, key=lambda x: (sum(map(int, str(abs(x)))), nums.index(x)))</t>
  </si>
  <si>
    <t>cat</t>
  </si>
  <si>
    <t>car</t>
  </si>
  <si>
    <t>Traceback (most recent call last):
  File "/tmp/tmpx0mfull8/candidate.py", line 31, in &lt;module&gt;
    check(order_by_points)
  File "/tmp/tmpx0mfull8/candidate.py", line 19, in check
    assert candidate([1, 11, -1, -11, -12]) == [-1, -11, 1, -12, 11]
           ^^^^^^^^^^^^^^^^^^^^^^^^^^^^^^^^^^^^^^^^^^^^^^^^^^^^^^^^^
AssertionError</t>
  </si>
  <si>
    <t>def order_by_points(nums):
    return sorted(nums, key=lambda x: (sum(int(digit) if digit != '-' else 0 for digit in str(abs(x))), nums.index(x)))</t>
  </si>
  <si>
    <t>igit</t>
  </si>
  <si>
    <t xml:space="preserve">')
</t>
  </si>
  <si>
    <t>')</t>
  </si>
  <si>
    <t>Traceback (most recent call last):
  File "/tmp/tmpqr0p0q_x/candidate.py", line 31, in &lt;module&gt;
    check(order_by_points)
  File "/tmp/tmpqr0p0q_x/candidate.py", line 19, in check
    assert candidate([1, 11, -1, -11, -12]) == [-1, -11, 1, -12, 11]
           ^^^^^^^^^^^^^^^^^^^^^^^^^^^^^^^^^^^^^^^^^^^^^^^^^^^^^^^^^
AssertionError</t>
  </si>
  <si>
    <t>def order_by_points(nums):
    return sorted(nums, key=lambda x: (sum(int(d) for d in str(abs(x))), nums.index(x)))</t>
  </si>
  <si>
    <t>Traceback (most recent call last):
  File "/tmp/tmpmspg6c7k/candidate.py", line 33, in &lt;module&gt;
    check(order_by_points)
  File "/tmp/tmpmspg6c7k/candidate.py", line 21, in check
    assert candidate([1, 11, -1, -11, -12]) == [-1, -11, 1, -12, 11]
           ^^^^^^^^^^^^^^^^^^^^^^^^^^^^^^^^^^^^^^^^^^^^^^^^^^^^^^^^^
AssertionError</t>
  </si>
  <si>
    <t xml:space="preserve"> '</t>
  </si>
  <si>
    <t xml:space="preserve"> "</t>
  </si>
  <si>
    <t>def order_by_points(nums):
    def digit_sum(n):
        return sum(int(digit) for digit in str(abs(n)))
    return sorted(nums, key=lambda x: (digit_sum(x), nums.index(x)))</t>
  </si>
  <si>
    <t>_by</t>
  </si>
  <si>
    <t>_BY</t>
  </si>
  <si>
    <t>c</t>
  </si>
  <si>
    <t>Traceback (most recent call last):
  File "/tmp/tmpi9igf31u/candidate.py", line 31, in &lt;module&gt;
    check(order_by_points)
          ^^^^^^^^^^^^^^^
NameError: name 'order_by_points' is not defined. Did you mean: 'order_BY_points'?</t>
  </si>
  <si>
    <t>def order_BY_points(nums):
    return sorted(nums, key=lambda x: (sum(int(digit) for digit in str(abs(x))), nums.index(x)))</t>
  </si>
  <si>
    <t xml:space="preserve"> sum</t>
  </si>
  <si>
    <t>atal</t>
  </si>
  <si>
    <t>Traceback (most recent call last):
  File "/tmp/tmpcwwl_3f3/candidate.py", line 31, in &lt;module&gt;
    check(order_by_points)
  File "/tmp/tmpcwwl_3f3/candidate.py", line 19, in check
    assert candidate([1, 11, -1, -11, -12]) == [-1, -11, 1, -12, 11]
           ^^^^^^^^^^^^^^^^^^^^^^^^^^^^^^^^^^^^^^^^^^^^^^^^^^^^^^^^^
AssertionError</t>
  </si>
  <si>
    <t>def order_by_points(nums):
    return sorted(nums, key=lambda x: sum(int(digit) for digit in str(abs(x))))</t>
  </si>
  <si>
    <t xml:space="preserve">'
</t>
  </si>
  <si>
    <t>Traceback (most recent call last):
  File "/tmp/tmp9qzsr98k/candidate.py", line 31, in &lt;module&gt;
    check(order_by_points)
  File "/tmp/tmp9qzsr98k/candidate.py", line 19, in check
    assert candidate([1, 11, -1, -11, -12]) == [-1, -11, 1, -12, 11]
           ^^^^^^^^^^^^^^^^^^^^^^^^^^^^^^^^^^^^^^^^^^^^^^^^^^^^^^^^^
AssertionError</t>
  </si>
  <si>
    <t>def order_by_points(nums):
    return sorted(nums, key=lambda num: (sum(int(digit) for digit in str(abs(num))), nums.index(num)))</t>
  </si>
  <si>
    <t>(d</t>
  </si>
  <si>
    <t>(i</t>
  </si>
  <si>
    <t>Traceback (most recent call last):
  File "/tmp/tmp7vurk9n3/candidate.py", line 31, in &lt;module&gt;
    check(order_by_points)
  File "/tmp/tmp7vurk9n3/candidate.py", line 19, in check
    assert candidate([1, 11, -1, -11, -12]) == [-1, -11, 1, -12, 11]
           ^^^^^^^^^^^^^^^^^^^^^^^^^^^^^^^^^^^^^^^^^^^^^^^^^^^^^^^^^
AssertionError</t>
  </si>
  <si>
    <t>def order_by_points(nums):
    return sorted(nums, key=lambda x: (sum(int(i) for i in str(abs(x))), nums.index(x)))</t>
  </si>
  <si>
    <t>Traceback (most recent call last):
  File "/tmp/tmp70ymfl_f/candidate.py", line 31, in &lt;module&gt;
    check(order_by_points)
  File "/tmp/tmp70ymfl_f/candidate.py", line 19, in check
    assert candidate([1, 11, -1, -11, -12]) == [-1, -11, 1, -12, 11]
           ^^^^^^^^^^^^^^^^^^^^^^^^^^^^^^^^^^^^^^^^^^^^^^^^^^^^^^^^^
AssertionError</t>
  </si>
  <si>
    <t>def order_by_points(nums):
  return sorted(nums, key=lambda x: (sum(int(digit) for digit in str(abs(x))), nums.index(x)))</t>
  </si>
  <si>
    <t>_points</t>
  </si>
  <si>
    <t>_digits</t>
  </si>
  <si>
    <t>Traceback (most recent call last):
  File "/tmp/tmp0erqw0vs/candidate.py", line 31, in &lt;module&gt;
    check(order_by_points)
          ^^^^^^^^^^^^^^^
NameError: name 'order_by_points' is not defined. Did you mean: 'order_by_digits'?</t>
  </si>
  <si>
    <t>def order_by_digits(nums):
    return sorted(nums, key=lambda x: (sum(int(digit) for digit in str(abs(x))), nums.index(x)))</t>
  </si>
  <si>
    <t xml:space="preserve"> Pal</t>
  </si>
  <si>
    <t>=lambda</t>
  </si>
  <si>
    <t>Traceback (most recent call last):
  File "/tmp/tmp_fy7m6ea/candidate.py", line 31, in &lt;module&gt;
    check(order_by_points)
  File "/tmp/tmp_fy7m6ea/candidate.py", line 19, in check
    assert candidate([1, 11, -1, -11, -12]) == [-1, -11, 1, -12, 11]
           ^^^^^^^^^^^^^^^^^^^^^^^^^^^^^^^^^^^^^^^^^^^^^^^^^^^^^^^^^
AssertionError</t>
  </si>
  <si>
    <t>def order_by_points(nums):
    return sorted(nums, key = lambda x: (sum(int(digit) for digit in str(abs(x))), nums.index(x)))</t>
  </si>
  <si>
    <t xml:space="preserve"> key</t>
  </si>
  <si>
    <t>def order_by_points(nums):
    return sorted(nums key=lambda x: (sum(int(digit) for digit in str(abs(x))), nums.index(x)))</t>
  </si>
  <si>
    <t>Traceback (most recent call last):
  File "/tmp/tmpyt0910mw/candidate.py", line 32, in &lt;module&gt;
    check(cycpattern_check)
  File "/tmp/tmpyt0910mw/candidate.py", line 26, in check
    assert  candidate("efef","fee") == True , "test #3"
            ^^^^^^^^^^^^^^^^^^^^^^^^^^^^^^^
AssertionError: test #3</t>
  </si>
  <si>
    <t>```python
def cycpattern_check(s1, s2):
    return any(s2 in s1[i:] + s1[:i] for i in range(len(s2)))
```</t>
  </si>
  <si>
    <t>[i</t>
  </si>
  <si>
    <t>Traceback (most recent call last):
  File "/tmp/tmpvvwvp1hm/candidate.py", line 32, in &lt;module&gt;
    check(cycpattern_check)
  File "/tmp/tmpvvwvp1hm/candidate.py", line 26, in check
    assert  candidate("efef","fee") == True , "test #3"
            ^^^^^^^^^^^^^^^^^^^^^^^^^^^^^^^
AssertionError: test #3</t>
  </si>
  <si>
    <t>```python
def cycpattern_check(a, b):
    return any(b in a for _ in range(len(b)))
```</t>
  </si>
  <si>
    <t xml:space="preserve"> ,</t>
  </si>
  <si>
    <t>Traceback (most recent call last):
  File "/tmp/tmpklevjmru/candidate.py", line 32, in &lt;module&gt;
    check(cycpattern_check)
  File "/tmp/tmpklevjmru/candidate.py", line 26, in check
    assert  candidate("efef","fee") == True , "test #3"
            ^^^^^^^^^^^^^^^^^^^^^^^^^^^^^^^
AssertionError: test #3</t>
  </si>
  <si>
    <t>```python
def cycpattern_check(a , b):
    return any(b in a[i:] + a[:i] for i in range(len(b)))
```</t>
  </si>
  <si>
    <t>(b</t>
  </si>
  <si>
    <t>Traceback (most recent call last):
  File "/tmp/tmpchpp362u/candidate.py", line 32, in &lt;module&gt;
    check(cycpattern_check)
  File "/tmp/tmpchpp362u/candidate.py", line 24, in check
    assert  candidate("yello","ell") == True , "test #1"
            ^^^^^^^^^^^^^^^^^^^^^^^^^^^^^^^^
AssertionError: test #1</t>
  </si>
  <si>
    <t>```python
def cycpattern_check(a, b):
    return any(a in b[i:] + b[:i] for i in range(len(b)))
```</t>
  </si>
  <si>
    <t>Traceback (most recent call last):
  File "/tmp/tmpauao3kdu/candidate.py", line 32, in &lt;module&gt;
    check(cycpattern_check)
  File "/tmp/tmpauao3kdu/candidate.py", line 26, in check
    assert  candidate("efef","fee") == True , "test #3"
            ^^^^^^^^^^^^^^^^^^^^^^^^^^^^^^^
AssertionError: test #3</t>
  </si>
  <si>
    <t>```python
def cycpattern_check(a, b):
    return any(b in a[i:] + b[:i] for i in range(len(b)))
```</t>
  </si>
  <si>
    <t>[:</t>
  </si>
  <si>
    <t>atab</t>
  </si>
  <si>
    <t>Traceback (most recent call last):
  File "/tmp/tmp55tniz5f/candidate.py", line 32, in &lt;module&gt;
    check(cycpattern_check)
  File "/tmp/tmp55tniz5f/candidate.py", line 26, in check
    assert  candidate("efef","fee") == True , "test #3"
            ^^^^^^^^^^^^^^^^^^^^^^^^^^^^^^^
AssertionError: test #3</t>
  </si>
  <si>
    <t>```python
def cycpattern_check(a, b):
    return any(b in a[i:] + a[0:i] for i in range(len(b)))
```</t>
  </si>
  <si>
    <t xml:space="preserve"> any</t>
  </si>
  <si>
    <t>Traceback (most recent call last):
  File "/tmp/tmp42awm0go/candidate.py", line 32, in &lt;module&gt;
    check(cycpattern_check)
  File "/tmp/tmp42awm0go/candidate.py", line 26, in check
    assert  candidate("efef","fee") == True , "test #3"
            ^^^^^^^^^^^^^^^^^^^^^^^^^^^^^^^
AssertionError: test #3</t>
  </si>
  <si>
    <t xml:space="preserve">'
</t>
  </si>
  <si>
    <t>```python
def cycpattern_check(a, b):
    return b in a or any(a[i:] + a[:i] in b for i in range(len(a)))
```</t>
  </si>
  <si>
    <t>File "/tmp/tmprhds1ojw/candidate.py", line 13
    return any(b in a[i:] + a[:i] for i in range(len(b)))
    ^^^^^^^^^^^^^^^^^^^^^^^^^^^^^^^^^^^^^^^^^^^^^^^^^^^^^
SyntaxError: 'return' outside function</t>
  </si>
  <si>
    <t>```python
    return any(b in a[i:] + a[:i] for i in range(len(b)))
```</t>
  </si>
  <si>
    <t xml:space="preserve"> """
</t>
  </si>
  <si>
    <t>```python
def cycpattern_check(a, b):
    return any(b[i:] + b[:i] in a for i in range(len(b)))
```</t>
  </si>
  <si>
    <t>```python
def cycpattern_check(a, b):
    if b in a:
        return True
    for i in range(1, len(b)):
        rotated = b[i:] + b[:i]
        if rotated in a:
            return True
    return False
```</t>
  </si>
  <si>
    <t xml:space="preserve"> even</t>
  </si>
  <si>
    <t>Traceback (most recent call last):
  File "/tmp/tmpve0krdhb/candidate.py", line 32, in &lt;module&gt;
    check(generate_integers)
  File "/tmp/tmpve0krdhb/candidate.py", line 22, in check
    assert candidate(2, 10) == [2, 4, 6, 8], "Test 1"
           ^^^^^^^^^^^^^^^^^^^^^^^^^^^^^^^^
AssertionError: Test 1</t>
  </si>
  <si>
    <t>def generate_integers(a, b):
    start = min(a, b)
    end = max(a, b)
    even_digits = [i for i in range(start, end + 1) if i % 2 == 0]
    return even_digits</t>
  </si>
  <si>
    <t>(start</t>
  </si>
  <si>
    <t>(max</t>
  </si>
  <si>
    <t>Traceback (most recent call last):
  File "/tmp/tmpt0ua97ci/candidate.py", line 31, in &lt;module&gt;
    check(generate_integers)
  File "/tmp/tmpt0ua97ci/candidate.py", line 21, in check
    assert candidate(2, 10) == [2, 4, 6, 8], "Test 1"
           ^^^^^^^^^^^^^^^^^^^^^^^^^^^^^^^^
AssertionError: Test 1</t>
  </si>
  <si>
    <t>def generate_integers(a, b):
    start = min(a, b)
    end = max(a, b)
    return [i for i in range(max(start, 2), end + 1, 2)]</t>
  </si>
  <si>
    <t>,b</t>
  </si>
  <si>
    <t>Traceback (most recent call last):
  File "/tmp/tmpse3t2gwy/candidate.py", line 31, in &lt;module&gt;
    check(generate_integers)
  File "/tmp/tmpse3t2gwy/candidate.py", line 21, in check
    assert candidate(2, 10) == [2, 4, 6, 8], "Test 1"
           ^^^^^^^^^^^^^^^^^^^^^^^^^^^^^^^^
AssertionError: Test 1</t>
  </si>
  <si>
    <t>def generate_integers(a, b):
    start = min(a,b)
    end = max(a,b)
    return [i for i in range(start, end+1) if i % 2 == 0]</t>
  </si>
  <si>
    <t>i</t>
  </si>
  <si>
    <t>x</t>
  </si>
  <si>
    <t>Traceback (most recent call last):
  File "/tmp/tmpme33ef33/candidate.py", line 31, in &lt;module&gt;
    check(generate_integers)
  File "/tmp/tmpme33ef33/candidate.py", line 21, in check
    assert candidate(2, 10) == [2, 4, 6, 8], "Test 1"
           ^^^^^^^^^^^^^^^^^^^^^^^^^^^^^^^^
AssertionError: Test 1</t>
  </si>
  <si>
    <t>def generate_integers(a, b):
    start = min(a, b)
    end = max(a, b)
    return [x for x in range(start, end + 1) if x % 2 == 0]</t>
  </si>
  <si>
    <t>Traceback (most recent call last):
  File "/tmp/tmpltq3s2j4/candidate.py", line 29, in &lt;module&gt;
    check(generate_integers)
  File "/tmp/tmpltq3s2j4/candidate.py", line 19, in check
    assert candidate(2, 10) == [2, 4, 6, 8], "Test 1"
           ^^^^^^^^^^^^^^^^^^^^^^^^^^^^^^^^
AssertionError: Test 1</t>
  </si>
  <si>
    <t>def generate_integers(a, b): 
    return sorted([i for i in range(min(a, b), max(a, b) + 1) if i % 2 == 0])</t>
  </si>
  <si>
    <t xml:space="preserve">           </t>
  </si>
  <si>
    <t>Traceback (most recent call last):
  File "/tmp/tmpk6asv1u6/candidate.py", line 31, in &lt;module&gt;
    check(generate_integers)
  File "/tmp/tmpk6asv1u6/candidate.py", line 21, in check
    assert candidate(2, 10) == [2, 4, 6, 8], "Test 1"
           ^^^^^^^^^^^^^^^^^^^^^^^^^^^^^^^^
AssertionError: Test 1</t>
  </si>
  <si>
    <t>def generate_integers(a, b):
    start = min(a, b)
    end = max(a, b)
    return [i if i % 2 == 0 else None for i in range(start, end + 1)] if start &lt;= end else []</t>
  </si>
  <si>
    <t>return</t>
  </si>
  <si>
    <t>Traceback (most recent call last):
  File "/tmp/tmpi64sih2q/candidate.py", line 30, in &lt;module&gt;
    check(generate_integers)
  File "/tmp/tmpi64sih2q/candidate.py", line 20, in check
    assert candidate(2, 10) == [2, 4, 6, 8], "Test 1"
           ^^^^^^^^^^^^^^^^^^^^^^^^^^^^^^^^
AssertionError: Test 1</t>
  </si>
  <si>
    <t xml:space="preserve"> s</t>
  </si>
  <si>
    <t>def generate_integers(a, b):
    start, end = sorted([a, b])
    return [i for i in range(start, end + 1) if i % 2 == 0]</t>
  </si>
  <si>
    <t>Traceback (most recent call last):
  File "/tmp/tmpi3abc0tn/candidate.py", line 39, in &lt;module&gt;
    check(generate_integers)
  File "/tmp/tmpi3abc0tn/candidate.py", line 29, in check
    assert candidate(2, 10) == [2, 4, 6, 8], "Test 1"
           ^^^^^^^^^^^^^^^^^^^^^^^^^^^^^^^^
AssertionError: Test 1</t>
  </si>
  <si>
    <t>def generate_integers(a, b):
    """
    Given two positive integers a and b, return the even digits between a
    and b, in ascending order.
    For example:
    generate_integers(2, 8) =&gt; [2, 4, 6, 8]
    generate_integers(8, 2) =&gt; [2, 4, 6, 8]
    generate_integers(10, 14) =&gt; []
    """
    start, end = sorted([a, b])
    return [i for i in range(start, end + 1) if i % 2 == 0]</t>
  </si>
  <si>
    <t xml:space="preserve">)
</t>
  </si>
  <si>
    <t xml:space="preserve">    </t>
  </si>
  <si>
    <t>Traceback (most recent call last):
  File "/tmp/tmpfwy5nf5i/candidate.py", line 31, in &lt;module&gt;
    check(generate_integers)
  File "/tmp/tmpfwy5nf5i/candidate.py", line 21, in check
    assert candidate(2, 10) == [2, 4, 6, 8], "Test 1"
           ^^^^^^^^^^^^^^^^^^^^^^^^^^^^^^^^
AssertionError: Test 1</t>
  </si>
  <si>
    <t>def generate_integers(a, b):
    start = min(a, b)
    end = max(a, b) + 1
    return [i for i in range(start, end) if i % 2 == 0]</t>
  </si>
  <si>
    <t>Traceback (most recent call last):
  File "/tmp/tmp88kdovmi/candidate.py", line 31, in &lt;module&gt;
    check(generate_integers)
  File "/tmp/tmp88kdovmi/candidate.py", line 21, in check
    assert candidate(2, 10) == [2, 4, 6, 8], "Test 1"
           ^^^^^^^^^^^^^^^^^^^^^^^^^^^^^^^^
AssertionError: Test 1</t>
  </si>
  <si>
    <t>def generate_integers(a, b):
    start = min(a, 2) if a % 2 == 0 else min(a, 4)
    end = max(b, 8) if b % 2 == 0 else max(b, 6)
    return list(range(start, end + 1, 2))</t>
  </si>
  <si>
    <t>Traceback (most recent call last):
  File "/tmp/tmp7ohkqwzl/candidate.py", line 32, in &lt;module&gt;
    check(generate_integers)
  File "/tmp/tmp7ohkqwzl/candidate.py", line 22, in check
    assert candidate(2, 10) == [2, 4, 6, 8], "Test 1"
           ^^^^^^^^^^^^^^^^^^^^^^^^^^^^^^^^
AssertionError: Test 1</t>
  </si>
  <si>
    <t>def generate_integers(a, b):
    start = min(a, b)
    end = max(a, b)
    return [i for i in range(start, end + 1) if i % 2 == 0]</t>
  </si>
  <si>
    <t xml:space="preserve"> range</t>
  </si>
  <si>
    <t xml:space="preserve"> reversed</t>
  </si>
  <si>
    <t>def generate_integers(a, 
```python
    b):
    """
    Given two positive integers a and b, return the even digits between a
    and b, in ascending order.
    For example:
    generate_integers(2, 8) =&gt; [2, 4, 6, 8]
    generate_integers(8, 2) =&gt; [2, 4, 6, 8]
    generate_integers(10, 14) =&gt; []
    """
    result = []
    for num in range(min(a, b), max(a, b) + 1):
        if num % 2 == 0:
            result.append(num)
    return result
```</t>
  </si>
  <si>
    <t>(find</t>
  </si>
  <si>
    <t>/find</t>
  </si>
  <si>
    <t>(len</t>
  </si>
  <si>
    <t>Traceback (most recent call last):
  File "/tmp/tmpyv0vtldx/candidate.py", line 51, in &lt;module&gt;
    check(find_zero)
  File "/tmp/tmpyv0vtldx/candidate.py", line 47, in check
    assert math.fabs(poly(coeffs, solution)) &lt; 1e-4
                     ^^^^
NameError: name 'poly' is not defined</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</si>
  <si>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</si>
  <si>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Traceback (most recent call last):
  File "/tmp/tmplsskp0rt/candidate.py", line 58, in &lt;module&gt;
    check(find_zero)
  File "/tmp/tmplsskp0rt/candidate.py", line 54, in check
    assert math.fabs(poly(coeffs, solution)) &lt; 1e-4
                     ^^^^
NameError: name 'poly' is not defined</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</si>
  <si>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
    if len(xs) % 2 != 0:
        raise ValueError("List must have an even number of coefficients")
    if xs[-1] == 0:
        raise ValueError("Largest non-zero coefficient must be present")
    def f(x):
        return poly(xs, x)
    def df(x):
        return sum([i * coeff * math.pow(x, i - 1) for i, coeff in enumerate(xs) if i &gt; 0])
</t>
  </si>
  <si>
    <t xml:space="preserve"> one</t>
  </si>
  <si>
    <t xml:space="preserve"> only</t>
  </si>
  <si>
    <t>Traceback (most recent call last):
  File "/tmp/tmpjsspvwiw/candidate.py", line 51, in &lt;module&gt;
    check(find_zero)
  File "/tmp/tmpjsspvwiw/candidate.py", line 47, in check
    assert math.fabs(poly(coeffs, solution)) &lt; 1e-4
                     ^^^^
NameError: name 'poly' is not defined</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</si>
  <si>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</si>
  <si>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Traceback (most recent call last):
  File "/tmp/tmpbb8f77jt/candidate.py", line 56, in &lt;module&gt;
    check(find_zero)
  File "/tmp/tmpbb8f77jt/candidate.py", line 51, in check
    solution = candidate(copy.deepcopy(coeffs))
               ^^^^^^^^^^^^^^^^^^^^^^^^^^^^^^^^
  File "/tmp/tmpbb8f77jt/candidate.py", line 27, in find_zero
    fx = f(x)
         ^^^^
  File "/tmp/tmpbb8f77jt/candidate.py", line 20, in f
    return poly(xs, x)
           ^^^^
NameError: name 'poly' is not defined</t>
  </si>
  <si>
    <t>import math
def poly(xs: list, x: float):
    return sum([coeff * math.pow(x, i) for i, coeff in enumerate(xs)])
def find_zero(xs: list):
    if len(xs) % 2 != 0 or xs[-1] == 0:
        raise ValueError("Invalid input: xs must have an even number of coefficients and a non-zero leading coefficient.")
    def f(x):
        return poly(xs, x)
    def df(x):
        return sum([i * coeff * math.pow(x, i - 1) for i, coeff in enumerate(xs) if i &gt; 0])
    x = 0.0
    while True:
        fx = f(x)
        dfx = df(x)
        if abs(fx) &lt; 1e-6:
            return round(x, 2)
        x -= fx / dfx</t>
  </si>
  <si>
    <t>Traceback (most recent call last):
  File "/tmp/tmpas7xzsel/candidate.py", line 51, in &lt;module&gt;
    check(find_zero)
  File "/tmp/tmpas7xzsel/candidate.py", line 47, in check
    assert math.fabs(poly(coeffs, solution)) &lt; 1e-4
                     ^^^^
NameError: name 'poly' is not defined</t>
  </si>
  <si>
    <t>,-</t>
  </si>
  <si>
    <t xml:space="preserve">import math
def poly(xs: list, x: float):
    """
    Evaluates polynomial with coefficients xs at point x.
    return xs[0] + xs[1] * x + xs[2]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</si>
  <si>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 xml:space="preserve">
</t>
  </si>
  <si>
    <t>Traceback (most recent call last):
  File "/tmp/tmp108awqu2/candidate.py", line 42, in &lt;module&gt;
    check(find_zero)
  File "/tmp/tmp108awqu2/candidate.py", line 37, in check
    solution = candidate(copy.deepcopy(coeffs))
               ^^^^^^^^^^^^^^^^^^^^^^^^^^^^^^^^
  File "/tmp/tmp108awqu2/candidate.py", line 17, in find_zero
    return fsolve(poly, 0, args=(xs))[0]
                  ^^^^
NameError: name 'poly' is not defined</t>
  </si>
  <si>
    <t>import math
from scipy.optimize import fsolve
def poly(xs: list, x: float):
    return sum([coeff * math.pow(x, i) for i, coeff in enumerate(xs)])
def find_zero(xs: list):
    return fsolve(poly, 0, args=(xs))[0]</t>
  </si>
  <si>
    <t xml:space="preserve"> find</t>
  </si>
  <si>
    <t xml:space="preserve"> finds</t>
  </si>
  <si>
    <t>Traceback (most recent call last):
  File "/tmp/tmp_c_3n_f_/candidate.py", line 51, in &lt;module&gt;
    check(find_zero)
  File "/tmp/tmp_c_3n_f_/candidate.py", line 47, in check
    assert math.fabs(poly(coeffs, solution)) &lt; 1e-4
                     ^^^^
NameError: name 'poly' is not defined</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</si>
  <si>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finds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</si>
  <si>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 xml:space="preserve"> #</t>
  </si>
  <si>
    <t>SyntaxError: unterminated triple-quoted string literal (detected at line 13) at line 4</t>
  </si>
  <si>
    <t xml:space="preserve">        </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</si>
  <si>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</si>
  <si>
    <t xml:space="preserve"> *</t>
  </si>
  <si>
    <t xml:space="preserve"> +</t>
  </si>
  <si>
    <t xml:space="preserve">import math
def poly(xs: list, x: float):
    """
    Evaluates polynomial with coefficients xs at point x.
    return xs[0] + xs[1] * x + xs[1] * x^2 + .... xs[n] * x^n
    """
    return sum([coeff + xs[1] * x**i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</si>
  <si>
    <t>^</t>
  </si>
  <si>
    <t xml:space="preserve">import math
def poly(xs: list, x: float):
    """
    Evaluates polynomial with coefficients xs at point x.
    return xs[0] + xs[1] * x^2 + xs[2] * x^3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</si>
  <si>
    <t>6</t>
  </si>
  <si>
    <t>SyntaxError: unterminated triple-quoted string literal (detected at line 12) at line 4</t>
  </si>
  <si>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-16, 10, -3, 1]), 2) # (x - 1) * (x - 2) * (x - 3) * (x - 4) * (x - 5) = -6 + 1</t>
  </si>
  <si>
    <t xml:space="preserve"> f</t>
  </si>
  <si>
    <t>SyntaxError: unterminated string literal (detected at line 16) at line 16</t>
  </si>
  <si>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f(x) = -6 + 11x - 6x^2 + x^3
    1.0
    """
    if len(xs) % 2 != 0:
        raise ValueError("List must</t>
  </si>
  <si>
    <t>)(</t>
  </si>
  <si>
    <t>SyntaxError: expected ':' at line 15</t>
  </si>
  <si>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- 1)(x - 2)(x - 3) = -6 + 11x - 6x^2 + x^3
    1.0
    """
    if len(xs)</t>
  </si>
  <si>
    <t>SyntaxError: expected ':' at line 14</t>
  </si>
  <si>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if len</t>
  </si>
  <si>
    <t xml:space="preserve">]):
</t>
  </si>
  <si>
    <t>]):</t>
  </si>
  <si>
    <t>SyntaxError: '[' was never closed at line 15</t>
  </si>
  <si>
    <t>import math
def poly(xs: list, x: float):
    """
    Evaluates polynomial with coefficients xs at point x.
    return xs[0] + xs[1] x + xs[1] x^2 + .... xs[n]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xs[</t>
  </si>
  <si>
    <t xml:space="preserve">          </t>
  </si>
  <si>
    <t>Traceback (most recent call last):
  File "/tmp/tmpwss9my53/candidate.py", line 46, in &lt;module&gt;
    check(sort_third)
  File "/tmp/tmpwss9my53/candidate.py", line 39,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</si>
  <si>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t>
  </si>
  <si>
    <t xml:space="preserve"> values</t>
  </si>
  <si>
    <t>Traceback (most recent call last):
  File "/tmp/tmptu2_f7h5/candidate.py", line 46, in &lt;module&gt;
    check(sort_third)
  File "/tmp/tmptu2_f7h5/candidate.py", line 39,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</si>
  <si>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t>
  </si>
  <si>
    <t>Traceback (most recent call last):
  File "/tmp/tmpfldpl5dn/candidate.py", line 32, in &lt;module&gt;
    check(sort_third)
  File "/tmp/tmpfldpl5dn/candidate.py", line 25, in check
    assert tuple(candidate([5, 6, 3, 4, 8, 9, 2])) == tuple([2, 6, 3, 4, 8, 9, 5])
           ^^^^^^^^^^^^^^^^^^^^^^^^^^^^^^^^^^^^^^^^^^^^^^^^^^^^^^^^^^^^^^^^^^^^^^^
AssertionError</t>
  </si>
  <si>
    <t>def sort_third(l: list):
  return [sorted(l)[i//3] if i % 3 == 0 else l[i] for i in range(len(l))]</t>
  </si>
  <si>
    <t xml:space="preserve"> l</t>
  </si>
  <si>
    <t>Traceback (most recent call last):
  File "/tmp/tmpet9r103_/candidate.py", line 41, in &lt;module&gt;
    check(sort_third)
  File "/tmp/tmpet9r103_/candidate.py", line 34,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</si>
  <si>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l[x] if x % 3 == 0 else float('inf'))
    return [l[sorted_indices[i]] if i % 3 == 0 else l[i] for i in range(len(l))]</t>
  </si>
  <si>
    <t>Traceback (most recent call last):
  File "/tmp/tmpbmc13alf/candidate.py", line 45, in &lt;module&gt;
    check(sort_third)
  File "/tmp/tmpbmc13alf/candidate.py", line 38, in check
    assert tuple(candidate([5, 6, 3, 4, 8, 9, 2])) == tuple([2, 6, 3, 4, 8, 9, 5])
           ^^^^^^^^^^^^^^^^^^^^^^^^^^^^^^^^^^^^^^^^^^^^^^^^^^^^^^^^^^^^^^^^^^^^^^^
AssertionError</t>
  </si>
  <si>
    <t xml:space="preserve"> lst</t>
  </si>
  <si>
    <t>def sort_third(l: list):
    """This function takes a list l and returns a list l' such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t>
  </si>
  <si>
    <t xml:space="preserve"> three</t>
  </si>
  <si>
    <t>Traceback (most recent call last):
  File "/tmp/tmpaj3n63jt/candidate.py", line 45, in &lt;module&gt;
    check(sort_third)
  File "/tmp/tmpaj3n63jt/candidate.py", line 38,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</si>
  <si>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t>
  </si>
  <si>
    <t xml:space="preserve"> sorted</t>
  </si>
  <si>
    <t>Traceback (most recent call last):
  File "/tmp/tmp76618yx6/candidate.py", line 40, in &lt;module&gt;
    check(sort_third)
  File "/tmp/tmp76618yx6/candidate.py", line 33,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</si>
  <si>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[sorted(l)[i//3] if i % 3 == 0 else l[i] for i in range(len(l))]</t>
  </si>
  <si>
    <t xml:space="preserve"> value</t>
  </si>
  <si>
    <t xml:space="preserve"> v</t>
  </si>
  <si>
    <t>Traceback (most recent call last):
  File "/tmp/tmp56hkn9u6/candidate.py", line 45, in &lt;module&gt;
    check(sort_third)
  File "/tmp/tmp56hkn9u6/candidate.py", line 38,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</si>
  <si>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 in zip(sorted_indices, sorted_values):
        result[i] = v
    return result</t>
  </si>
  <si>
    <t>Traceback (most recent call last):
  File "/tmp/tmp2d92ra5h/candidate.py", line 44, in &lt;module&gt;
    check(sort_third)
  File "/tmp/tmp2d92ra5h/candidate.py", line 34, in check
    assert tuple(candidate([1, 2, 3])) == tuple(sort_third([1, 2, 3]))
                 ^^^^^^^^^^^^^^^^^^^^
  File "/tmp/tmp2d92ra5h/candidate.py", line 25, in sort_third
    result[sorted_indices] = sorted_values
    ~~~~~~^^^^^^^^^^^^^^^^
TypeError: list indices must be integers or slices, not list</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</si>
  <si>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result[sorted_indices] = sorted_values
    return result</t>
  </si>
  <si>
    <t xml:space="preserve"> old</t>
  </si>
  <si>
    <t>Traceback (most recent call last):
  File "/tmp/tmp16sg3912/candidate.py", line 45, in &lt;module&gt;
    check(sort_third)
  File "/tmp/tmp16sg3912/candidate.py", line 38, in check
    assert tuple(candidate([5, 6, 3, 4, 8, 9, 2])) == tuple([2, 6, 3, 4, 8, 9, 5])
           ^^^^^^^^^^^^^^^^^^^^^^^^^^^^^^^^^^^^^^^^^^^^^^^^^^^^^^^^^^^^^^^^^^^^^^^
AssertionError</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</si>
  <si>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old_index, new_index in zip(sorted_indices, range(len(result))):
        result[new_index] = sorted_values.pop(0)
    return result</t>
  </si>
  <si>
    <t>Traceback (most recent call last):
  File "/tmp/tmp_mcodzqq/candidate.py", line 45, in &lt;module&gt;
    check(sort_third)
  File "/tmp/tmp_mcodzqq/candidate.py", line 36, in check
    assert tuple(candidate([5, 3, -5, 2, -3, 3, 9, 0, 123, 1, -10])) == tuple(sort_third([5, 3, -5, 2, -3, 3, 9, 0, 123, 1, -10]))
                 ^^^^^^^^^^^^^^^^^^^^^^^^^^^^^^^^^^^^^^^^^^^^^^^^^^
  File "/tmp/tmp_mcodzqq/candidate.py", line 26, in sort_third
    l_sorted[j] = sorted(l[j::3])[i // 3]
                  ~~~~~~~~~~~~~~~^^^^^^^^
IndexError: list index out of range</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</si>
  <si>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l_sorted = l[:]
    for i, j in enumerate(sorted_indices):
        if i % 3 == 0:
            l_sorted[j] = sorted(l[j::3])[i // 3]
    return l_sorted</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</si>
  <si>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range(len(l)) if i % 3 == 0)
    result = l[:]
    for i, value in zip(sorted_indices, sorted_values):
        result[i] = value
    return result</t>
  </si>
  <si>
    <t>_indices</t>
  </si>
  <si>
    <t>_third</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</si>
  <si>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sorted_thirds = sorted(l[i] for i in range(len(l)) if i % 3 == 0)
    result = l[:]
    for i, value in enumerate(sorted_thirds):
        result[i * 3] = value
    return result</t>
  </si>
  <si>
    <t xml:space="preserve"> indices</t>
  </si>
  <si>
    <t>def sort_third(l: list):
    indices_divisible_by_three = [i for i in range(len(l)) if i % 3 == 0]
    values_at_divisible_indices = [l[i] for i in indices_divisible_by_three]
    sorted_values = sorted(values_at_divisible_indices)
    result = l[:]
    for i, value in zip(indices_divisible_by_three, sorted_values):
        result[i] = value
    return result</t>
  </si>
  <si>
    <t xml:space="preserve"> %</t>
  </si>
  <si>
    <t>def sort_third(l: list) -&gt; list:
    indices_divisible_by_three = [i for i in range(len(l)) if i % 3 == 0]
    values_at_divisible_indices = [l[i] for i in indices_divisible_by_three]
    sorted_values = sorted(values_at_divisible_indices)
    result = l[:]
    for i, value in zip(indices_divisible_by_three, sorted_values):
        result[i] = value
    return result</t>
  </si>
  <si>
    <t>%</t>
  </si>
  <si>
    <t>[:-</t>
  </si>
  <si>
    <t>Traceback (most recent call last):
  File "/tmp/tmpwxi7nk1k/candidate.py", line 40, in &lt;module&gt;
    check(decode_cyclic)
  File "/tmp/tmpwxi7nk1k/candidate.py",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</si>
  <si>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group[0:-1]) if len(group) == 3 else group for group in groups]
    return "".join(groups)</t>
  </si>
  <si>
    <t xml:space="preserve"> groups</t>
  </si>
  <si>
    <t>Traceback (most recent call last):
  File "/tmp/tmpvvm5559f/candidate.py", line 38, in &lt;module&gt;
    check(decode_cyclic)
  File "/tmp/tmpvvm5559f/candidate.py", line 33, in check
    encoded_str = encode_cyclic(str)
                  ^^^^^^^^^^^^^
NameError: name 'encode_cyclic' is not defined. Did you mean: 'decode_cyclic'?</t>
  </si>
  <si>
    <t>def decode_cyclic(s: str):
    """
    takes as input string encoded with encode_cyclic function. Returns decoded string.
    """
    groups = [s[(3 * i):min((3 * i + 3), len(s))] for i in range((len(s) + 2) // 3)]
    groups = [(group[-1] + group[:-1]) if len(group) == 3 else group for group in groups]
    return "".join(groups)</t>
  </si>
  <si>
    <t xml:space="preserve"> split</t>
  </si>
  <si>
    <t>Traceback (most recent call last):
  File "/tmp/tmpulda17i8/candidate.py", line 39, in &lt;module&gt;
    check(decode_cyclic)
  File "/tmp/tmpulda17i8/candidate.py", line 34, in check
    encoded_str = encode_cyclic(str)
                  ^^^^^^^^^^^^^
NameError: name 'encode_cyclic' is not defined. Did you mean: 'decode_cyclic'?</t>
  </si>
  <si>
    <t>def decode_cyclic(s: str):
    """
    takes as input string encoded with encode_cyclic function. Returns decoded string.
    """
    # reverse the cyclic encoding by reversing the process
    groups = [s[(3 * i):min((3 * i + 3), len(s))] for i in range((len(s) + 2) // 3)]
    groups = [(group[-1] + group[:-1]) if len(group) == 3 else group for group in groups]
    return "".join(groups)</t>
  </si>
  <si>
    <t>Traceback (most recent call last):
  File "/tmp/tmpsta8azl0/candidate.py", line 42, in &lt;module&gt;
    check(decode_cyclic)
  File "/tmp/tmpsta8azl0/candidate.py", line 37,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</si>
  <si>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len(group) == 3 else group for group in 
groups]
    return "".join(groups)</t>
  </si>
  <si>
    <t xml:space="preserve"> back</t>
  </si>
  <si>
    <t>Traceback (most recent call last):
  File "/tmp/tmpqyjao6c6/candidate.py", line 40, in &lt;module&gt;
    check(decode_cyclic)
  File "/tmp/tmpqyjao6c6/candidate.py",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</si>
  <si>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in each group back. Unless group has fewer elements than 3.
    groups = [(group[-1] + group[:-1]) if len(group) == 3 else group for group in groups]
    return "".join(groups)</t>
  </si>
  <si>
    <t xml:space="preserve"> cycle</t>
  </si>
  <si>
    <t>Traceback (most recent call last):
  File "/tmp/tmppmfh9fk5/candidate.py", line 40, in &lt;module&gt;
    check(decode_cyclic)
  File "/tmp/tmppmfh9fk5/candidate.py",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</si>
  <si>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[(group[-1] + group[:-1]) if len(group) == 3 else group for group in groups]
    return "".join(groups)</t>
  </si>
  <si>
    <t>(interval</t>
  </si>
  <si>
    <t>_length</t>
  </si>
  <si>
    <t>Traceback (most recent call last):
  File "/tmp/tmpnbsiw7z3/candidate.py", line 35, in &lt;module&gt;
    check(decode_cyclic)
  File "/tmp/tmpnbsiw7z3/candidate.py", line 30, in check
    encoded_str = encode_cyclic(str)
                  ^^^^^^^^^^^^^
NameError: name 'encode_cyclic' is not defined. Did you mean: 'decode_cyclic'?</t>
  </si>
  <si>
    <t>def decode_cyclic(s: str):
    groups = [s[(3 * i):min((3 * i + 3), len(s))] for i in range((len(s) + 2) // 3)]
    groups = [(group[-1] + group[:-1]) if len(group) == 3 else group for group in groups]
    return "".join(groups)</t>
  </si>
  <si>
    <t xml:space="preserve"> len</t>
  </si>
  <si>
    <t xml:space="preserve"> group</t>
  </si>
  <si>
    <t>Traceback (most recent call last):
  File "/tmp/tmplki0xg57/candidate.py", line 40, in &lt;module&gt;
    check(decode_cyclic)
  File "/tmp/tmplki0xg57/candidate.py",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</si>
  <si>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group[0] != group[-1] else group for group in groups]
    return "".join(groups)</t>
  </si>
  <si>
    <t xml:space="preserve"> input</t>
  </si>
  <si>
    <t>输入</t>
  </si>
  <si>
    <t xml:space="preserve"> interval</t>
  </si>
  <si>
    <t>Traceback (most recent call last):
  File "/tmp/tmpkr4isxb6/candidate.py", line 38, in &lt;module&gt;
    check(decode_cyclic)
  File "/tmp/tmpkr4isxb6/candidate.py", line 33, in check
    encoded_str = encode_cyclic(str)
                  ^^^^^^^^^^^^^
NameError: name 'encode_cyclic' is not defined. Did you mean: 'decode_cyclic'?</t>
  </si>
  <si>
    <t>def decode_cyclic(s: str):
    """
    takes as输入 string encoded with encode_cyclic function. Returns decoded string.
    """
    groups = [s[(3 * i):min((3 * i + 3), len(s))] for i in range((len(s) + 2) // 3)]
    groups = [(group[-1] + group[:-1]) if len(group) == 3 else group for group in groups]
    return "".join(groups)</t>
  </si>
  <si>
    <t>Traceback (most recent call last):
  File "/tmp/tmpegecyzdl/candidate.py", line 40, in &lt;module&gt;
    check(decode_cyclic)
  File "/tmp/tmpegecyzdl/candidate.py",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</si>
  <si>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back in each group. Unless group has fewer elements than 3.
    groups = [(group[-1] + group[:-1]) if len(group) == 3 else group for group in groups]
    return "".join(groups)</t>
  </si>
  <si>
    <t>Traceback (most recent call last):
  File "/tmp/tmpdygwow5l/candidate.py", line 40, in &lt;module&gt;
    check(decode_cyclic)
  File "/tmp/tmpdygwow5l/candidate.py",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</si>
  <si>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for group in groups]
    return "".join(groups)</t>
  </si>
  <si>
    <t>[(</t>
  </si>
  <si>
    <t>Traceback (most recent call last):
  File "/tmp/tmp9rsyjb81/candidate.py", line 40, in &lt;module&gt;
    check(decode_cyclic)
  File "/tmp/tmp9rsyjb81/candidate.py", line 35, in check
    encoded_str = encode_cyclic(str)
                  ^^^^^^^^^^^^^
NameError: name 'encode_cyclic' is not defined. Did you mean: 'decode_cyclic'?</t>
  </si>
  <si>
    <t>def decode_cyclic(s: str):
    """
    takes as input string encoded with encode_cyclic function. Returns decoded string.
    """
    # split string to groups. Each of length 3.
    groups = [s[i:i+3] for i in range(0, len(s), 3)]
    # cycle elements in each group back. Unless group has fewer elements than 3.
    groups = [(group[-1] + group[:-1]) if len(group) == 3 else group for group in groups]
    return "".join(groups)</t>
  </si>
  <si>
    <t xml:space="preserve"> max</t>
  </si>
  <si>
    <t>Traceback (most recent call last):
  File "/tmp/tmp4damyaw_/candidate.py", line 38, in &lt;module&gt;
    check(decode_cyclic)
  File "/tmp/tmp4damyaw_/candidate.py", line 33, in check
    encoded_str = encode_cyclic(str)
                  ^^^^^^^^^^^^^
NameError: name 'encode_cyclic' is not defined. Did you mean: 'decode_cyclic'?</t>
  </si>
  <si>
    <t>def decode_cyclic(s: str) -&gt; str:
    """
    takes as input string encoded with encode_cyclic function. Returns decoded string.
    """
    groups = [s[(3 * i):min((3 * i + 3), len(s))] for i in range((len(s) + 2) // 3)]
    groups = [(group[-1] + group[:-1]) if len(group) == 3 else group for group in groups]
    return "".join(groups)</t>
  </si>
  <si>
    <t>[s</t>
  </si>
  <si>
    <t>SyntaxError: closing parenthesis ')' does not match opening parenthesis '[' at line 6</t>
  </si>
  <si>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len(group) == 3 else group for group in groups]
    return "".join(groups)</t>
  </si>
  <si>
    <t>Traceback (most recent call last):
  File "/tmp/tmpxfr_ckqb/candidate.py", line 38, in &lt;module&gt;
    check(decode_shift)
  File "/tmp/tmpxfr_ckqb/candidate.py", line 33, in check
    encoded_str = encode_shift(str)
                  ^^^^^^^^^^^^
NameError: name 'encode_shift' is not defined. Did you mean: 'decode_shift'?</t>
  </si>
  <si>
    <t>def decode_shift(s: str):
    """
    takes as input string encoded with encode_shift function. Returns decoded string.
    """
    return "".join([chr(((ord(ch) - 5 - ord("a")) % 26) + ord("a")) for ch in s])</t>
  </si>
  <si>
    <t>Traceback (most recent call last):
  File "/tmp/tmpolqtvsnm/candidate.py", line 34, in &lt;module&gt;
    check(decode_shift)
  File "/tmp/tmpolqtvsnm/candidate.py", line 29, in check
    encoded_str = encode_shift(str)
                  ^^^^^^^^^^^^
NameError: name 'encode_shift' is not defined. Did you mean: 'decode_shift'?</t>
  </si>
  <si>
    <t>def decode_shift(s: str):
  return "".join([chr(((ord(ch) - 5 - ord("a")) % 26) + ord("a")) for ch in s])</t>
  </si>
  <si>
    <t>Traceback (most recent call last):
  File "/tmp/tmpn3f1ry5o/candidate.py", line 37, in &lt;module&gt;
    check(decode_shift)
  File "/tmp/tmpn3f1ry5o/candidate.py", line 32, in check
    encoded_str = encode_shift(str)
                  ^^^^^^^^^^^^
NameError: name 'encode_shift' is not defined. Did you mean: 'decode_shift'?</t>
  </si>
  <si>
    <t>def decode_shift(s: str):
    """
    takes as input string encoded with encode_shift function. Returns decoded string.
    """
    return "".join([chr(((ord(ch) - 5 - ord("a")) % -26) + ord("a")) for ch in s])</t>
  </si>
  <si>
    <t xml:space="preserve"> by</t>
  </si>
  <si>
    <t>Traceback (most recent call last):
  File "/tmp/tmpiyto3s69/candidate.py", line 37, in &lt;module&gt;
    check(decode_shift)
  File "/tmp/tmpiyto3s69/candidate.py", line 32, in check
    encoded_str = encode_shift(str)
                  ^^^^^^^^^^^^
NameError: name 'encode_shift' is not defined. Did you mean: 'decode_shift'?</t>
  </si>
  <si>
    <t>def decode_shift(s: str):
    """
    takes as input string encoded by encode_shift function. Returns decoded string.
    """
    return "".join([chr(((ord(ch) - 5 - ord("a")) % 26) + ord("a")) for ch in s])</t>
  </si>
  <si>
    <t>"))</t>
  </si>
  <si>
    <t>")</t>
  </si>
  <si>
    <t xml:space="preserve"> [</t>
  </si>
  <si>
    <t>Traceback (most recent call last):
  File "/tmp/tmpfd5664na/candidate.py", line 37, in &lt;module&gt;
    check(decode_shift)
  File "/tmp/tmpfd5664na/candidate.py", line 32, in check
    encoded_str = encode_shift(str)
                  ^^^^^^^^^^^^
NameError: name 'encode_shift' is not defined. Did you mean: 'decode_shift'?</t>
  </si>
  <si>
    <t>def decode_shift(s: str):
    """
    takes as input string encoded with encode_shift function. Returns decoded string.
    """
    return "".join([chr(((ord(ch) - 5 - ord("a") + 26) % 26) + ord("a")) for ch in s])</t>
  </si>
  <si>
    <t>Traceback (most recent call last):
  File "/tmp/tmp9a26qpw0/candidate.py", line 37, in &lt;module&gt;
    check(decode_shift)
  File "/tmp/tmp9a26qpw0/candidate.py", line 32, in check
    encoded_str = encode_shift(str)
                  ^^^^^^^^^^^^
NameError: name 'encode_shift' is not defined. Did you mean: 'decode_shift'?</t>
  </si>
  <si>
    <t>def decode_shift(s: str):
    """
    takes as input string encoded with encode_shift function. Returns decoded string.
    """
    return "".join([chr(((ord(ch) + 21 - ord("a")) % 26) + ord("a")) for ch in s])</t>
  </si>
  <si>
    <t xml:space="preserve">])
</t>
  </si>
  <si>
    <t>])</t>
  </si>
  <si>
    <t>Traceback (most recent call last):
  File "/tmp/tmp8_mei1xv/candidate.py", line 34, in &lt;module&gt;
    check(decode_shift)
  File "/tmp/tmp8_mei1xv/candidate.py", line 29, in check
    encoded_str = encode_shift(str)
                  ^^^^^^^^^^^^
NameError: name 'encode_shift' is not defined. Did you mean: 'decode_shift'?</t>
  </si>
  <si>
    <t>def decode_shift(s: str) -&gt; str:
    return "".join([chr(((ord(ch) - 5 - ord("a")) % 26) + ord("a")) for ch in s])</t>
  </si>
  <si>
    <t xml:space="preserve"> takes</t>
  </si>
  <si>
    <t xml:space="preserve"> returns</t>
  </si>
  <si>
    <t>end</t>
  </si>
  <si>
    <t>Traceback (most recent call last):
  File "/tmp/tmp6eq7qed4/candidate.py", line 37, in &lt;module&gt;
    check(decode_shift)
  File "/tmp/tmp6eq7qed4/candidate.py", line 32, in check
    encoded_str = encode_shift(str)
                  ^^^^^^^^^^^^
NameError: name 'encode_shift' is not defined. Did you mean: 'decode_shift'?</t>
  </si>
  <si>
    <t>def decode_shift(s: str):
    """
    returns decoded string by shifting every character by 5 in the alphabet.
    """
    return "".join([chr(((ord(ch) - 5 - ord("a")) % 26) + ord("a")) for ch in s])</t>
  </si>
  <si>
    <t xml:space="preserve"> ord</t>
  </si>
  <si>
    <t xml:space="preserve"> stop</t>
  </si>
  <si>
    <t>Traceback (most recent call last):
  File "/tmp/tmp56kghx2f/candidate.py", line 37, in &lt;module&gt;
    check(decode_shift)
  File "/tmp/tmp56kghx2f/candidate.py", line 32, in check
    encoded_str = encode_shift(str)
                  ^^^^^^^^^^^^
NameError: name 'encode_shift' is not defined. Did you mean: 'decode_shift'?</t>
  </si>
  <si>
    <t>def decode_shift(s: str):
    """
    takes as input string encoded with encode_shift function. Returns decoded string.
    """
    return "".join([chr(((ord(ch) - ord("a") - 5 + 26) % 26) + ord("a")) for ch in s])</t>
  </si>
  <si>
    <t>5</t>
  </si>
  <si>
    <t>7</t>
  </si>
  <si>
    <t xml:space="preserve">  </t>
  </si>
  <si>
    <t>Traceback (most recent call last):
  File "/tmp/tmp4oq9upqu/candidate.py", line 37, in &lt;module&gt;
    check(decode_shift)
  File "/tmp/tmp4oq9upqu/candidate.py", line 32, in check
    encoded_str = encode_shift(str)
                  ^^^^^^^^^^^^
NameError: name 'encode_shift' is not defined. Did you mean: 'decode_shift'?</t>
  </si>
  <si>
    <t>def decode_shift(s: str):
    """
    takes as input string encoded with encode_shift function. Returns decoded string.
    """
    return "".join([chr(((ord(ch) - 7 - ord("a")) % 26) + ord("a")) for ch in s])</t>
  </si>
  <si>
    <t xml:space="preserve"> min</t>
  </si>
  <si>
    <t xml:space="preserve"> encoded</t>
  </si>
  <si>
    <t>Traceback (most recent call last):
  File "/tmp/tmp3wg082qs/candidate.py", line 37, in &lt;module&gt;
    check(decode_shift)
  File "/tmp/tmp3wg082qs/candidate.py", line 32, in check
    encoded_str = encode_shift(str)
                  ^^^^^^^^^^^^
NameError: name 'encode_shift' is not defined. Did you mean: 'decode_shift'?</t>
  </si>
  <si>
    <t>def decode_shift(s: str):
    """
    takes encoded string and returns decoded string.
    """
    return "".join([chr(((ord(ch) - 5 - ord("a")) % 26) + ord("a")) for ch in s])</t>
  </si>
  <si>
    <t>)-</t>
  </si>
  <si>
    <t>(inter</t>
  </si>
  <si>
    <t>Traceback (most recent call last):
  File "/tmp/tmp2y_3df7h/candidate.py", line 37, in &lt;module&gt;
    check(decode_shift)
  File "/tmp/tmp2y_3df7h/candidate.py", line 32, in check
    encoded_str = encode_shift(str)
                  ^^^^^^^^^^^^
NameError: name 'encode_shift' is not defined. Did you mean: 'decode_shift'?</t>
  </si>
  <si>
    <t>def decode_shift(s: str):
    """
    takes as input string encoded with encode_shift function. Returns decoded string.
    """
    return "".join([chr(((ord(ch)-5-ord("a"))%26)+ord("a")) for ch in s])</t>
  </si>
  <si>
    <t>Traceback (most recent call last):
  File "/tmp/tmp15k9r269/candidate.py", line 34, in &lt;module&gt;
    check(decode_shift)
  File "/tmp/tmp15k9r269/candidate.py", line 29, in check
    encoded_str = encode_shift(str)
                  ^^^^^^^^^^^^
NameError: name 'encode_shift' is not defined. Did you mean: 'decode_shift'?</t>
  </si>
  <si>
    <t>def decode_shift(s: str):
    return "".join([chr(((ord(ch) - 5 - ord("a")) % 26) + ord("a")) for ch in s])</t>
  </si>
  <si>
    <t>)[</t>
  </si>
  <si>
    <t>Traceback (most recent call last):
  File "/tmp/tmpya6aaykz/candidate.py", line 31, in &lt;module&gt;
    check(circular_shift)
  File "/tmp/tmpya6aaykz/candidate.py", line 21, in check
    assert candidate(100, 2) == "001"
           ^^^^^^^^^^^^^^^^^^^^^^^^^^
AssertionError</t>
  </si>
  <si>
    <t>def circular_shift(x, shift):
    digits = str(x)[::-1]
    shift %= len(digits)
    return digits[shift:] + digits[:shift]</t>
  </si>
  <si>
    <t xml:space="preserve">]
</t>
  </si>
  <si>
    <t>Traceback (most recent call last):
  File "/tmp/tmpy_uzxmt5/candidate.py", line 34, in &lt;module&gt;
    check(circular_shift)
  File "/tmp/tmpy_uzxmt5/candidate.py", line 25, in check
    assert candidate(12, 2) == "12"
           ^^^^^^^^^^^^^^^^^^^^^^^^
AssertionError</t>
  </si>
  <si>
    <t>def circular_shift(x, shift):
    digits = str(x)
    n = len(digits)
    if shift &gt;= n:
        return digits[::-1]  # Reverse the digits if shift is greater than or equal to the number of digits
    shift = shift % n  # Handle shifts larger than the number of digits
    return digits[-shift:] + digits[:-shift]  # Perform the circular shift</t>
  </si>
  <si>
    <t>=len</t>
  </si>
  <si>
    <t>Traceback (most recent call last):
  File "/tmp/tmpxkc0g51w/candidate.py", line 35, in &lt;module&gt;
    check(circular_shift)
  File "/tmp/tmpxkc0g51w/candidate.py", line 25, in check
    assert candidate(100, 2) == "001"
           ^^^^^^^^^^^^^^^^^
  File "/tmp/tmpxkc0g51w/candidate.py", line 15, in circular_shift
    n ==len(digits)
    ^
NameError: name 'n' is not defined</t>
  </si>
  <si>
    <t>def circular_shift(x, shift):
    digits = str(x)
    n ==len(digits)
    if shift &gt;= n:
        return digits[::-1]
    else:
        shift = shift % n
        return digits[-shift:] + digits[:-shift]</t>
  </si>
  <si>
    <t xml:space="preserve"> shift</t>
  </si>
  <si>
    <t>interval</t>
  </si>
  <si>
    <t>Traceback (most recent call last):
  File "/tmp/tmpqt5w2t8s/candidate.py", line 35, in &lt;module&gt;
    check(circular_shift)
  File "/tmp/tmpqt5w2t8s/candidate.py", line 26, in check
    assert candidate(12, 2) == "12"
           ^^^^^^^^^^^^^^^^^^^^^^^^
AssertionError</t>
  </si>
  <si>
    <t>def circular_shift(x, shift):
    digits = str(x)
    n = len(digits)
    if shift &gt;= n:
        return digits[::-1]
    else:
        shift = shift % n
        return digits[-shift:] + digits[:-shift]</t>
  </si>
  <si>
    <t>[::-</t>
  </si>
  <si>
    <t>Traceback (most recent call last):
  File "/tmp/tmpow3ru3_1/candidate.py", line 35, in &lt;module&gt;
    check(circular_shift)
  File "/tmp/tmpow3ru3_1/candidate.py", line 26, in check
    assert candidate(12, 2) == "12"
           ^^^^^^^^^^^^^^^^^^^^^^^^
AssertionError</t>
  </si>
  <si>
    <t>def circular_shift(x, shift):
    digits = str(x)
    n = len(digits)
    if shift &gt;= n:
        return digits[:: -1]
    else:
        shift = shift % n
        return digits[-shift:] + digits[:-shift]</t>
  </si>
  <si>
    <t>Traceback (most recent call last):
  File "/tmp/tmpnazl_wzy/candidate.py", line 34, in &lt;module&gt;
    check(circular_shift)
  File "/tmp/tmpnazl_wzy/candidate.py", line 26, in check
    assert candidate(97, 8) == "79"
           ^^^^^^^^^^^^^^^^^^^^^^^^
AssertionError</t>
  </si>
  <si>
    <t>def circular_shift(x, shift):
    digits = str(x)
    n = len(digits)
    shift = shift % n
    if shift == 0:
        return digits
    return digits[-shift:] + digits[:-shift] if shift &lt; n else digits[::-1]</t>
  </si>
  <si>
    <t xml:space="preserve"> %=</t>
  </si>
  <si>
    <t>Traceback (most recent call last):
  File "/tmp/tmpkaat9hbi/candidate.py", line 34, in &lt;module&gt;
    check(circular_shift)
  File "/tmp/tmpkaat9hbi/candidate.py", line 25, in check
    assert candidate(12, 2) == "12"
           ^^^^^^^^^^^^^^^^^^^^^^^^
AssertionError</t>
  </si>
  <si>
    <t>def circular_shift(x, shift):
    digits = str(x)
    n = len(digits)
    if shift &gt;= n:
        return digits[::-1]
    shift = shift % n
    return digits[-shift:] + digits[:-shift]</t>
  </si>
  <si>
    <t xml:space="preserve">])
</t>
  </si>
  <si>
    <t xml:space="preserve"> digits</t>
  </si>
  <si>
    <t>Traceback (most recent call last):
  File "/tmp/tmpgqyvwwz3/candidate.py", line 35, in &lt;module&gt;
    check(circular_shift)
  File "/tmp/tmpgqyvwwz3/candidate.py", line 26, in check
    assert candidate(12, 2) == "12"
           ^^^^^^^^^^^^^^^^^^^^^^^^
AssertionError</t>
  </si>
  <si>
    <t>def circular_shift(x, shift):
    s = str(x)
    n = len(s)
    if shift &gt;= n:
        return s[::-1]
    else:
        shift = shift % n
        return s[-shift:] + s[:-shift]</t>
  </si>
  <si>
    <t>Traceback (most recent call last):
  File "/tmp/tmpdv81uvvs/candidate.py", line 34, in &lt;module&gt;
    check(circular_shift)
  File "/tmp/tmpdv81uvvs/candidate.py", line 25, in check
    assert candidate(12, 2) == "12"
           ^^^^^^^^^^^^^^^^^^^^^^^^
AssertionError</t>
  </si>
  <si>
    <t>def circular_shift(x, shift):
    digits = str(x)
    n = len(digits)
    if shift &gt;= len(digits):
        return digits[::-1]
    shift %= n
    return digits[-shift:] + digits[:-shift]</t>
  </si>
  <si>
    <t xml:space="preserve"> &gt;=</t>
  </si>
  <si>
    <t>def circular_shift(x, shift):
    digits = str(x)
    n = len(digits)
    if shift &gt; n:
        return digits[::-1]
    shift = shift % n
    return digits[-shift:] + digits[:-shift]</t>
  </si>
  <si>
    <t>def circular_shift(x, shift):
    digits = str(x)
    if shift &gt; len(digits):
        return digits[::-1]
    else:
        shift = shift % len(digits)
        return digits[-shift:] + digits[:-shift]</t>
  </si>
  <si>
    <t xml:space="preserve"> list</t>
  </si>
  <si>
    <t>def circular_shift(x, shift):
    digits = list(str(x))
    n = len(digits)
    if shift &gt; n:
        return ''.join(reversed(digits))
    shift %= n
    return ''.join(digits[-shift:] + digits[:-shift])</t>
  </si>
  <si>
    <t>Traceback (most recent call last):
  File "/tmp/tmpnskdvv9k/candidate.py", line 33, in &lt;module&gt;
    check(iscube)
  File "/tmp/tmpnskdvv9k/candidate.py", line 21, in check
    assert candidate(-1) == True, "Third test error: " + str(candidate(-1))
           ^^^^^^^^^^^^^
  File "/tmp/tmpnskdvv9k/candidate.py", line 14, in iscube
    return round(a ** (1/3)) ** 3 == a
           ^^^^^^^^^^^^^^^^^
TypeError: type complex doesn't define __round__ method</t>
  </si>
  <si>
    <t>```python
def iscube(a):
    return round(a ** (1/3)) ** 3 == a
```</t>
  </si>
  <si>
    <t xml:space="preserve"> cube</t>
  </si>
  <si>
    <t xml:space="preserve">      </t>
  </si>
  <si>
    <t>Traceback (most recent call last):
  File "/tmp/tmpfzrdfisp/candidate.py", line 33, in &lt;module&gt;
    check(iscube)
  File "/tmp/tmpfzrdfisp/candidate.py", line 19, in check
    assert candidate(1) == True, "First test error: " + str(candidate(1))
           ^^^^^^^^^^^^
  File "/tmp/tmpfzrdfisp/candidate.py", line 14, in iscube
    return cube_root(a) ** 3 == a
           ^^^^^^^^^
NameError: name 'cube_root' is not defined</t>
  </si>
  <si>
    <t>```python
def cube_root(n):
    return round(n ** (1/3))
def iscube(a):
    return cube_root(a) ** 3 == a
```</t>
  </si>
  <si>
    <t>cube</t>
  </si>
  <si>
    <t>_cube</t>
  </si>
  <si>
    <t>Traceback (most recent call last):
  File "/tmp/tmpf69m3fqx/candidate.py", line 33, in &lt;module&gt;
    check(iscube)
          ^^^^^^
NameError: name 'iscube' is not defined. Did you mean: 'is_cube'?</t>
  </si>
  <si>
    <t>```python
def is_cube(a):
    return round(a ** (1/3)) ** 3 == a
```</t>
  </si>
  <si>
    <t xml:space="preserve"> round</t>
  </si>
  <si>
    <t xml:space="preserve"> int</t>
  </si>
  <si>
    <t>NO</t>
  </si>
  <si>
    <t>YES</t>
  </si>
  <si>
    <t>Traceback (most recent call last):
  File "/tmp/tmp46qscgzs/candidate.py", line 33, in &lt;module&gt;
    check(iscube)
  File "/tmp/tmp46qscgzs/candidate.py", line 21, in check
    assert candidate(-1) == True, "Third test error: " + str(candidate(-1))
           ^^^^^^^^^^^^^
  File "/tmp/tmp46qscgzs/candidate.py", line 14, in iscube
    return int(round(a ** (1. / 3))) ** 3 == a
               ^^^^^^^^^^^^^^^^^^^^
TypeError: type complex doesn't define __round__ method</t>
  </si>
  <si>
    <t>```python
def iscube(a):
    return int(round(a ** (1. / 3))) ** 3 == a
```</t>
  </si>
  <si>
    <t>**(</t>
  </si>
  <si>
    <t xml:space="preserve">"
</t>
  </si>
  <si>
    <t xml:space="preserve">"
</t>
  </si>
  <si>
    <t>Traceback (most recent call last):
  File "/tmp/tmp2d2tt8vs/candidate.py", line 33, in &lt;module&gt;
    check(iscube)
  File "/tmp/tmp2d2tt8vs/candidate.py", line 21, in check
    assert candidate(-1) == True, "Third test error: " + str(candidate(-1))
           ^^^^^^^^^^^^^
  File "/tmp/tmp2d2tt8vs/candidate.py", line 14, in iscube
    return round(a**(1/3))**3 == a
           ^^^^^^^^^^^^^^^
TypeError: type complex doesn't define __round__ method</t>
  </si>
  <si>
    <t>```python
def iscube(a):
    return round(a**(1/3))**3 == a
```</t>
  </si>
  <si>
    <t>(abs</t>
  </si>
  <si>
    <t>```python
def iscube(a):
    return round(abs(a) ** (1/3)) ** 3 == abs(a)
```</t>
  </si>
  <si>
    <t>_of</t>
  </si>
  <si>
    <t>```python
def iscube(a):
    if a == 0:
        return True
    abs_a = abs(a)
    cube_root = round(abs_a ** (1/3))
    return cube_root ** 3 == abs_a
```</t>
  </si>
  <si>
    <t>```python
def iscube(n):
    if n == 0:
        return True
    abs_n = abs(n)
    cube_root = round(abs_n ** (1/3))
    return cube_root ** 3 == abs_n
```</t>
  </si>
  <si>
    <t>```python
import math
def iscube(a):
    if a == 0:
        return True
    abs_a = abs(a)
    cube_root = round(abs_a ** (1/3))
    return cube_root ** 3 == abs_a
```</t>
  </si>
  <si>
    <t xml:space="preserve"> grade</t>
  </si>
  <si>
    <t>Traceback (most recent call last):
  File "/tmp/tmpz5ro5qqu/candidate.py", line 42, in &lt;module&gt;
    check(numerical_letter_grade)
  File "/tmp/tmpz5ro5qqu/candidate.py", line 30, in check
    assert candidate([4.0, 3, 1.7, 2, 3.5]) == ['A+', 'B', 'C-', 'C', 'A-']
           ^^^^^^^^^^^^^^^^^^^^^^^^^^^^^^^^^^^^^^^^^^^^^^^^^^^^^^^^^^^^^^^^
AssertionError</t>
  </si>
  <si>
    <t>```python
def numerical_letter_grade(grades):
    letter_grades = []
    grade_scale = [
        (4.0, 'A+'), (3.7, 'A'), (3.3, 'A-'), (3.0, 'B+'), (2.7, 'B'),
        (2.3, 'B-'), (2.0, 'C+'), (1.7, 'C'), (1.3, 'C-'), (1.0, 'D+'),
        (0.7, 'D'), (0.0, 'D-'), (-1, 'E')
    ]
    for gpa in grades:
        for threshold, grade in grade_scale:
            if gpa &gt; threshold:
                letter_grades.append(grade)
                break
    return letter_grades
```</t>
  </si>
  <si>
    <t>.append</t>
  </si>
  <si>
    <t>.ap</t>
  </si>
  <si>
    <t>Traceback (most recent call last):
  File "/tmp/tmp749e668r/candidate.py", line 42, in &lt;module&gt;
    check(numerical_letter_grade)
  File "/tmp/tmp749e668r/candidate.py", line 30, in check
    assert candidate([4.0, 3, 1.7, 2, 3.5]) == ['A+', 'B', 'C-', 'C', 'A-']
           ^^^^^^^^^^^^^^^^^^^^^^^^^^^^^^^^
  File "/tmp/tmp749e668r/candidate.py", line 25, in numerical_letter_grade
    letter_grades.appe
AttributeError: 'list' object has no attribute 'appe'. Did you mean: 'append'?</t>
  </si>
  <si>
    <t>```python
def numerical_letter_grade(grades):
    letter_grades = []
    for gpa in grades:
        if gpa == 4.0:
            letter_grades.append('A+')
        elif gpa &gt; 3.7:
            letter_grades.append('A')
        elif gpa &gt; 3.3:
            letter_grades.append('A-')
        elif gpa &gt; 3.0:
            letter_grades.append('B+')
        elif gpa &gt; 2.7:
            letter_grades.appe
```</t>
  </si>
  <si>
    <t>SyntaxError: unterminated string literal (detected at line 29) at line 29</t>
  </si>
  <si>
    <t>```python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1.0:
            letter_grades.append('D')
        elif gpa &gt; 0.0:
            letter_grades.append('D-')
        else:
            letter_grades.append('</t>
  </si>
  <si>
    <t>```python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t>
  </si>
  <si>
    <t>ades</t>
  </si>
  <si>
    <t>aders</t>
  </si>
  <si>
    <t>```python
def numerical_letter_grade(grades):
    letter_grades = []
    for gpa in grades:
        if gpa == 4.0:
            letter_grades.append('A+')
        elif gpa &gt; 3.7:
            letter_grades.append('A')
        elif gpa &gt; 3.3:
            letter_grades.append('A-')
        elif gpa &gt; 3.0:
            letter_grades.append('B+')
        elif gpa &gt; 2.7:
            letter_graders.append('B')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t>
  </si>
  <si>
    <t>_gr</t>
  </si>
  <si>
    <t>_grade</t>
  </si>
  <si>
    <t>```python
def numerical_letter_grade(grades):
    letter_grades = []
    for gpa in grades:
        if gpa == 4.0:
            letter_grades.append('A+')
        elif gpa &gt; 3.7:
            letter_grades.append('A')
        elif gpa &gt; 3.3:
            letter_grades.append('A-')
        elif gpa &gt; 3.0:
            letter_grade.append('B+')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t>
  </si>
  <si>
    <t>4</t>
  </si>
  <si>
    <t>```python
def numerical_letter_grade(grades):
    letter_grades = []
    for gpa in grades:
        if gpa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t>
  </si>
  <si>
    <t>```python
def numerical_letter_grade(grades):
    letter_grades = []
    for gpa in grades:
        if gpa &gt;=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t>
  </si>
  <si>
    <t xml:space="preserve"> g</t>
  </si>
  <si>
    <t>SyntaxError: expected an indented block after 'else' statement on line 28 at line 28</t>
  </si>
  <si>
    <t xml:space="preserve">```python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0.0 &lt;= gpa &lt; 0.7:
            letter_grades.append('D-')
        else:
           </t>
  </si>
  <si>
    <t>SyntaxError: expected ':' at line 24</t>
  </si>
  <si>
    <t>```python
def numerical_letter_grade(grades):
    letter_grades = []
    for gpa in grades:
        if gpa == 4.0:
            letter_grades.append('A+')
        elif gpa &gt; 3.7:
            letter_grades.append('A')
        elif 3.3 &lt; gpa &lt;= 3.7:
            letter_grades.append('A-')
        elif 3.0 &lt; gpa &lt;= 3.3:
            letter_grades.append('B+')
        elif 2.7 &lt; gpa &lt;= 3.0:
            letter_grades.append('B')
        elif 2.3 &lt; gpa &lt;= 2.7:
            letter_grades.append('B-')
        elif 2.0 &lt; gpa &lt;= 2.3:
            letter_grades.append('C+')
        elif 1.7 &lt; gpa &lt;= 2.0:
            letter_grades.append('C')
        elif 1.3 &lt; gpa &lt;= 1.7:
            letter_grades.append('C-')
        elif 1.0 &lt; gpa &lt;= 1.3:
            letter_grades.append('D+')
        elif 0.7</t>
  </si>
  <si>
    <t xml:space="preserve"> letter</t>
  </si>
  <si>
    <t>```python
def numerical_letter_grade(grades):
    return ['A+' if g == 4.0 else 'A' if g &gt; 3.7 else 'A-' if g &gt; 3.3 else 'B+' if g &gt; 3.0 else 'B' if g &gt; 2.7 else 'B-' if g &gt; 2.3 else 'C+' if g &gt; 2.0 else 'C' if g &gt; 1.7 else 'C-' if g &gt; 1.3 else 'D+' if g &gt; 1.0 else 'D' if g &gt; 0.7 else 'D-' if g &gt; 0.0 else 'E' for g in grades]
```</t>
  </si>
  <si>
    <t>```python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
```</t>
  </si>
  <si>
    <t>在内的</t>
  </si>
  <si>
    <t>```python
def numerical_letter_grade(grades):
    letter_grades = []
    for grade in grades:
        if grade ==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
```</t>
  </si>
  <si>
    <t>range</t>
  </si>
  <si>
    <t>.is</t>
  </si>
  <si>
    <t>Traceback (most recent call last):
  File "/tmp/tmpxrflpj97/candidate.py", line 39, in &lt;module&gt;
    check(encode)
  File "/tmp/tmpxrflpj97/candidate.py", line 29, in check
    assert candidate('TEST') == 'tgst', "This prints if this assert fails 1 (good for debugging!)"
           ^^^^^^^^^^^^^^^^^^^^^^^^^^^
AssertionError: This prints if this assert fails 1 (good for debugging!)</t>
  </si>
  <si>
    <t>def encode(message):
    vowels = 'aeiou'
    encoded_message = ''
    for char in message:
        if char in vowels:
            index = (vowels.index(char) + 2) % len(vowels)
            encoded_message += vowels[index].upper() if char.islower() else vowels[index].lower()
        elif char.isalpha():
            encoded_message += char.swapcase()
        else:
            encoded_message += char
    return encoded_message</t>
  </si>
  <si>
    <t>(v</t>
  </si>
  <si>
    <t>Traceback (most recent call last):
  File "/tmp/tmpr9ic936w/candidate.py", line 41, in &lt;module&gt;
    check(encode)
  File "/tmp/tmpr9ic936w/candidate.py",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</si>
  <si>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char = chr(ord(vowels[(index + 2) % len(vowels)]) + (1 if char.islower() else -1))
        encoded_message += char
    return encoded_message</t>
  </si>
  <si>
    <t>(ord</t>
  </si>
  <si>
    <t>((</t>
  </si>
  <si>
    <t>[length</t>
  </si>
  <si>
    <t>Traceback (most recent call last):
  File "/tmp/tmpp1f2ltr9/candidate.py", line 42, in &lt;module&gt;
    check(encode)
  File "/tmp/tmpp1f2ltr9/candidate.py", line 32,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</si>
  <si>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char = chr((index + 2) % 5 + ord('a'))
                if char.isupper():
                    char = char.upper()
    return encoded_message.join(char)</t>
  </si>
  <si>
    <t xml:space="preserve"> vowels</t>
  </si>
  <si>
    <t>Traceback (most recent call last):
  File "/tmp/tmpozi3z9f1/candidate.py", line 41, in &lt;module&gt;
    check(encode)
  File "/tmp/tmpozi3z9f1/candidate.py",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</si>
  <si>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+ 2) % len(vowels)
                char = vowels[index]
        encoded_message += char
    return encoded_message</t>
  </si>
  <si>
    <t xml:space="preserve"> char</t>
  </si>
  <si>
    <t>(char</t>
  </si>
  <si>
    <t>Traceback (most recent call last):
  File "/tmp/tmpo2ico9kf/candidate.py", line 41, in &lt;module&gt;
    check(encode)
  File "/tmp/tmpo2ico9kf/candidate.py",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</si>
  <si>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=(char.lower())
            if char in vowels:
                index = vowels.index(char)
                char = chr(ord(vowels[(index + 2) % len(vowels)]))
        encoded_message += char
    return encoded_message</t>
  </si>
  <si>
    <t>)+</t>
  </si>
  <si>
    <t xml:space="preserve"> chr</t>
  </si>
  <si>
    <t>Traceback (most recent call last):
  File "/tmp/tmpc66_0unm/candidate.py", line 41, in &lt;module&gt;
    check(encode)
  File "/tmp/tmpc66_0unm/candidate.py",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</si>
  <si>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char = vowels[(index + 2) % len(vowels)].upper()
        encoded_message += char
    return encoded_message</t>
  </si>
  <si>
    <t xml:space="preserve"> shifted</t>
  </si>
  <si>
    <t>Traceback (most recent call last):
  File "/tmp/tmpapmz2k1x/candidate.py", line 43, in &lt;module&gt;
    check(encode)
  File "/tmp/tmpapmz2k1x/candidate.py", line 33, in check
    assert candidate('TEST') == 'tgst', "This prints if this assert fails 1 (good for debugging!)"
           ^^^^^^^^^^^^^^^^^^^^^^^^^^^
AssertionError: This prints if this assert fails 1 (good for debugging!)</t>
  </si>
  <si>
    <t>def encode(message):
    vowels = 'aeiou'
    shifted_vowels = {v: chr((ord(v) - 97 + 2) % 26 + 97) for v in vowels}
    shifted_vowels.update({v.upper(): shifted_vowels[v].upper() for v in vowels})
    encoded_message = ''
    for char in message:
        if char.isalpha():
            if char.islower():
                encoded_message += shifted_vowels.get(char, char).upper()
            else:
                encoded_message += shifted_vowels.get(char.lower(), char.lower()).upper()
        else:
            encoded_message += char
    return encoded_message</t>
  </si>
  <si>
    <t>+</t>
  </si>
  <si>
    <t>Traceback (most recent call last):
  File "/tmp/tmp92uf7fdl/candidate.py", line 41, in &lt;module&gt;
    check(encode)
  File "/tmp/tmp92uf7fdl/candidate.py",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</si>
  <si>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char = chr(ord('a') + (index+2) % 26)
        encoded_message += char
    return encoded_message</t>
  </si>
  <si>
    <t xml:space="preserve"> []
</t>
  </si>
  <si>
    <t>Traceback (most recent call last):
  File "/tmp/tmp5jko2ms5/candidate.py", line 41, in &lt;module&gt;
    check(encode)
  File "/tmp/tmp5jko2ms5/candidate.py", line 31, in check
    assert candidate('TEST') == 'tgst', "This prints if this assert fails 1 (good for debugging!)"
           ^^^^^^^^^^^^^^^^^^^^^^^^^^^
AssertionError: This prints if this assert fails 1 (good for debugging!)</t>
  </si>
  <si>
    <t>def encode(message):
    vowels = 'aeiou'
    encoded_message = []
    for char in message:
        if char.isalpha():
            if char.islower():
                char = char.upper()
            else:
                char = char.lower()
            if char in vowels:
                index = vowels.index(char)
                char = chr(ord('a') + (index + 2) % 26)
        encoded_message.append(char)
    return ''.join(encoded_message)</t>
  </si>
  <si>
    <t xml:space="preserve"> +=</t>
  </si>
  <si>
    <t>Traceback (most recent call last):
  File "/tmp/tmp45sppavn/candidate.py", line 43, in &lt;module&gt;
    check(encode)
  File "/tmp/tmp45sppavn/candidate.py", line 33, in check
    assert candidate('TEST') == 'tgst', "This prints if this assert fails 1 (good for debugging!)"
           ^^^^^^^^^^^^^^^^^
  File "/tmp/tmp45sppavn/candidate.py", line 24, in encode
    char += 2
TypeError: can only concatenate str (not "int") to str</t>
  </si>
  <si>
    <t>%i</t>
  </si>
  <si>
    <t>def encode(message):
    vowels = 'aeiou'
    encoded_message = ''
    for char in message:
        if char.isalpha():
            if char.islower():
                char = char.upper()
            else:
                char = char.lower()
            if char in vowels:
                index = vowels.index(char)
                char += 2
                if char &gt; 'Z':
                    char = chr(ord(char) - 26)
        encoded_message += char
    return encoded_message</t>
  </si>
  <si>
    <t xml:space="preserve">               </t>
  </si>
  <si>
    <t>Traceback (most recent call last):
  File "/tmp/tmp40_nr5jp/candidate.py", line 44, in &lt;module&gt;
    check(encode)
  File "/tmp/tmp40_nr5jp/candidate.py", line 35, in check
    assert candidate('Mudasir') == 'mWDCSKR', "This prints if this assert fails 2 (good for debugging!)"
           ^^^^^^^^^^^^^^^^^^^^^^^^^^^^^^^^^
AssertionError: This prints if this assert fails 2 (good for debugging!)</t>
  </si>
  <si>
    <t>def encode(message):
    vowels = 'aeiou'
    encoded_message = ''
    for char in message:
        if char.isalpha():
            if char.islower():
                char = char.upper()
            else:
                char = char.lower()
            if char in vowels:
                index = vowels.index(char)
            else:
                index = -1
            if index != -1:
                char = chr((ord(char) - 97 + 2) % 26 + 97)
        encoded_message += char
    return encoded_message</t>
  </si>
  <si>
    <t>_message</t>
  </si>
  <si>
    <t>Traceback (most recent call last):
  File "/tmp/tmp2yh0m3s_/candidate.py", line 41, in &lt;module&gt;
    check(encode)
  File "/tmp/tmp2yh0m3s_/candidate.py", line 31, in check
    assert candidate('TEST') == 'tgst', "This prints if this assert fails 1 (good for debugging!)"
           ^^^^^^^^^^^^^^^^^^^^^^^^^^^
AssertionError: This prints if this assert fails 1 (good for debugging!)</t>
  </si>
  <si>
    <t>def encode(message):
    vowels = 'aeiou'
    encoded = ''
    for char in message:
        if char.isalpha():
            if char.islower():
                char = char.upper()
            else:
                char = char.lower()
            if char in vowels:
                index = vowels.index(char)
                char = chr(ord('a') + (index + 2) % 26)
        encoded += char
    return encoded</t>
  </si>
  <si>
    <t>Traceback (most recent call last):
  File "/tmp/tmp2dxmdu1z/candidate.py", line 41, in &lt;module&gt;
    check(encode)
  File "/tmp/tmp2dxmdu1z/candidate.py", line 31, in check
    assert candidate('TEST') == 'tgst', "This prints if this assert fails 1 (good for debugging!)"
           ^^^^^^^^^^^^^^^^^^^^^^^^^^^
AssertionError: This prints if this assert fails 1 (good for debugging!)</t>
  </si>
  <si>
    <t xml:space="preserve">            </t>
  </si>
  <si>
    <t>def encode(message):
    vowels = 'aeiou'
    encoded_message = ''
    for char in message:
        if char.isalpha():
            if char.islower():
                char = char.upper()
            else:
                char = char.lower()
            index = vowels.find(char.lower())
            if index != -1:
                char = vowels[(index + 2) % len(vowels)]
        encoded_message += char
    return encoded_message</t>
  </si>
  <si>
    <t>SyntaxError: unterminated triple-quoted string literal (detected at line 7) at line 2</t>
  </si>
  <si>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vowels = 'aeiou'
    encoded_message = ''
    for char in message:
        if char.isalpha():
            if char.islower():
                char = char.upper()
            else:
                char = char.lower()
            if char in vowels:
                index = vowels.index(char)
                char = chr(ord('a') + (index + 2) % 26)
        encoded_message += char
    return encoded_message</t>
  </si>
  <si>
    <t xml:space="preserve"> all</t>
  </si>
  <si>
    <t xml:space="preserve"> tri</t>
  </si>
  <si>
    <t xml:space="preserve"> trib</t>
  </si>
  <si>
    <t>Traceback (most recent call last):
  File "/tmp/tmpzfu1zdsi/candidate.py", line 39, in &lt;module&gt;
    check(check_dict_case)
  File "/tmp/tmpzfu1zdsi/candidate.py", line 28, in check
    assert candidate({"p":"pineapple", 5:"banana", "a":"apple"}) == False, "Third test error: " + str(candidate({"p":"pineapple", 5:"banana", "a":"apple"}))
           ^^^^^^^^^^^^^^^^^^^^^^^^^^^^^^^^^^^^^^^^^^^^^^^^^^^^^^^^^^^^^^
AssertionError: Third test error: True</t>
  </si>
  <si>
    <t>```python
def check_dict_case(d):
    if not d:
        return False
    keys = list(d.keys())
    all_lower = all(key.islower() for key in keys if isinstance(key, str))
    if all_lower:
        return True
    all_upper = all(key.isupper() for key in keys if isinstance(key, str))
    return all_upper
```</t>
  </si>
  <si>
    <t>(N</t>
  </si>
  <si>
    <t>Traceback (most recent call last):
  File "/tmp/tmpvntjing5/candidate.py", line 37, in &lt;module&gt;
    check(check_dict_case)
  File "/tmp/tmpvntjing5/candidate.py", line 26, in check
    assert candidate({"p":"pineapple", 5:"banana", "a":"apple"}) == False, "Third test error: " + str(candidate({"p":"pineapple", 5:"banana", "a":"apple"}))
           ^^^^^^^^^^^^^^^^^^^^^^^^^^^^^^^^^^^^^^^^^^^^^^^^^^^^^
  File "/tmp/tmpvntjing5/candidate.py", line 17, in check_dict_case
    all_lower = all(key.islower() for key in keys)
                ^^^^^^^^^^^^^^^^^^^^^^^^^^^^^^^^^^
  File "/tmp/tmpvntjing5/candidate.py", line 17, in &lt;genexpr&gt;
    all_lower = all(key.islower() for key in keys)
                    ^^^^^^^^^^^
AttributeError: 'int' object has no attribute 'islower'</t>
  </si>
  <si>
    <t>```python
def check_dict_case(d):
    if not d:
        return False
    keys = list(d.keys())
    all_lower = all(key.islower() for key in keys)
    all_upper = all(key.isupper() for key in keys)
    return all_lower or all_upper
```</t>
  </si>
  <si>
    <t>Traceback (most recent call last):
  File "/tmp/tmpqr9urfaa/candidate.py", line 37, in &lt;module&gt;
    check(check_dict_case)
  File "/tmp/tmpqr9urfaa/candidate.py", line 26, in check
    assert candidate({"p":"pineapple", 5:"banana", "a":"apple"}) == False, "Third test error: " + str(candidate({"p":"pineapple", 5:"banana", "a":"apple"}))
           ^^^^^^^^^^^^^^^^^^^^^^^^^^^^^^^^^^^^^^^^^^^^^^^^^^^^^
  File "/tmp/tmpqr9urfaa/candidate.py", line 17, in check_dict_case
    all_lower = all(key == key.lower() for key in keys)
                ^^^^^^^^^^^^^^^^^^^^^^^^^^^^^^^^^^^^^^^
  File "/tmp/tmpqr9urfaa/candidate.py", line 17, in &lt;genexpr&gt;
    all_lower = all(key == key.lower() for key in keys)
                           ^^^^^^^^^
AttributeError: 'int' object has no attribute 'lower'</t>
  </si>
  <si>
    <t>```python
def check_dict_case(d):
    if not d:
        return False
    keys = list(d.keys())
    all_lower = all(key == key.lower() for key in keys)
    all_upper = all(key == key.upper() for key in keys)
    return all_lower or all_upper
```</t>
  </si>
  <si>
    <t xml:space="preserve"> keys</t>
  </si>
  <si>
    <t xml:space="preserve"> lower</t>
  </si>
  <si>
    <t xml:space="preserve"> not</t>
  </si>
  <si>
    <t>Traceback (most recent call last):
  File "/tmp/tmpiaywpbgh/candidate.py", line 44, in &lt;module&gt;
    check(check_dict_case)
  File "/tmp/tmpiaywpbgh/candidate.py", line 34, in check
    assert candidate({"Name":"John", "Age":"36", "City":"Houston"}) == False, "Fourth test error: " + str(candidate({"Name":"John", "Age":"36", "City":"Houston"}))
           ^^^^^^^^^^^^^^^^^^^^^^^^^^^^^^^^^^^^^^^^^^^^^^^^^^^^^^^^^^^^^^^^^
AssertionError: Fourth test error: True</t>
  </si>
  <si>
    <t>```python
def check_dict_case(d):
    if not d:
        return False
    lower_case = upper_case = None
    for key in d:
        if not isinstance(key, str):
            return False
        if lower_case is None:
            lower_case = key.islower()
        if upper_case is None:
            upper_case = key.isupper()
        if lower_case != key.islower() or upper_case != key.isupper():
            return False
    return True
```</t>
  </si>
  <si>
    <t>Traceback (most recent call last):
  File "/tmp/tmpi9v7g3z2/candidate.py", line 37, in &lt;module&gt;
    check(check_dict_case)
  File "/tmp/tmpi9v7g3z2/candidate.py", line 26, in check
    assert candidate({"p":"pineapple", 5:"banana", "a":"apple"}) == False, "Third test error: " + str(candidate({"p":"pineapple", 5:"banana", "a":"apple"}))
           ^^^^^^^^^^^^^^^^^^^^^^^^^^^^^^^^^^^^^^^^^^^^^^^^^^^^^^^^^^^^^^
AssertionError: Third test error: True</t>
  </si>
  <si>
    <t>```python
def check_dict_case(d):
    if not d:
        return False
    keys = list(d.keys())
    all_lower = all(key.islower() for key in keys if isinstance(key, str))
    all_upper = all(key.isupper() and key.isalpha() for key in keys if isinstance(key, str))
    return all_lower or all_upper
```</t>
  </si>
  <si>
    <t>Traceback (most recent call last):
  File "/tmp/tmpdpam3d9r/candidate.py", line 47, in &lt;module&gt;
    check(check_dict_case)
  File "/tmp/tmpdpam3d9r/candidate.py", line 37, in check
    assert candidate({"Name":"John", "Age":"36", "City":"Houston"}) == False, "Fourth test error: " + str(candidate({"Name":"John", "Age":"36", "City":"Houston"}))
           ^^^^^^^^^^^^^^^^^^^^^^^^^^^^^^^^^^^^^^^^^^^^^^^^^^^^^^^^^^^^^^^^^
AssertionError: Fourth test error: True</t>
  </si>
  <si>
    <t>```python
def check_dict_case(d):
    if not d:
        return False
    lower_case = upper_case = None
    for key in d:
        if not isinstance(key, str):
            return False
        if lower_case is None:
            lower_case = key.islower()
        if upper_case is None:
            upper_case = key.isupper()
        if lower_case != key.islower() or upper_case != key.isupper():
            return False
    return True
```</t>
  </si>
  <si>
    <t>(dict</t>
  </si>
  <si>
    <t>Traceback (most recent call last):
  File "/tmp/tmpbku01qmx/candidate.py", line 37, in &lt;module&gt;
    check(check_dict_case)
  File "/tmp/tmpbku01qmx/candidate.py", line 26, in check
    assert candidate({"p":"pineapple", 5:"banana", "a":"apple"}) == False, "Third test error: " + str(candidate({"p":"pineapple", 5:"banana", "a":"apple"}))
           ^^^^^^^^^^^^^^^^^^^^^^^^^^^^^^^^^^^^^^^^^^^^^^^^^^^^^
  File "/tmp/tmpbku01qmx/candidate.py", line 17, in check_dict_case
    all_lower = all(key.islower() for key in keys)
                ^^^^^^^^^^^^^^^^^^^^^^^^^^^^^^^^^^
  File "/tmp/tmpbku01qmx/candidate.py", line 17, in &lt;genexpr&gt;
    all_lower = all(key.islower() for key in keys)
                    ^^^^^^^^^^^
AttributeError: 'int' object has no attribute 'islower'</t>
  </si>
  <si>
    <t>```python
def check_dict_case(dict):
    if not dict:
        return False
    keys = list(dict.keys())
    all_lower = all(key.islower() for key in keys)
    all_upper = all(key.isupper() for key in keys)
    return all_lower or all_upper
```</t>
  </si>
  <si>
    <t xml:space="preserve">())
</t>
  </si>
  <si>
    <t>())</t>
  </si>
  <si>
    <t>Traceback (most recent call last):
  File "/tmp/tmp81v0b8z9/candidate.py", line 37, in &lt;module&gt;
    check(check_dict_case)
  File "/tmp/tmp81v0b8z9/candidate.py", line 26, in check
    assert candidate({"p":"pineapple", 5:"banana", "a":"apple"}) == False, "Third test error: " + str(candidate({"p":"pineapple", 5:"banana", "a":"apple"}))
           ^^^^^^^^^^^^^^^^^^^^^^^^^^^^^^^^^^^^^^^^^^^^^^^^^^^^^^^^^^^^^^
AssertionError: Third test error: True</t>
  </si>
  <si>
    <t>```python
def check_dict_case(d):
    if not d:
        return False
    keys = list(d.keys()) 
    all_lower = all(key.islower() for key in keys if isinstance(key, str))
    all_upper = all(key.isupper() for key in keys if isinstance(key, str))
    return all_lower or all_upper
```</t>
  </si>
  <si>
    <t>.upper</t>
  </si>
  <si>
    <t>Traceback (most recent call last):
  File "/tmp/tmp047zeqn0/candidate.py", line 37, in &lt;module&gt;
    check(check_dict_case)
  File "/tmp/tmp047zeqn0/candidate.py", line 26, in check
    assert candidate({"p":"pineapple", 5:"banana", "a":"apple"}) == False, "Third test error: " + str(candidate({"p":"pineapple", 5:"banana", "a":"apple"}))
           ^^^^^^^^^^^^^^^^^^^^^^^^^^^^^^^^^^^^^^^^^^^^^^^^^^^^^^^^^^^^^^
AssertionError: Third test error: True</t>
  </si>
  <si>
    <t>```python
def check_dict_case(d):
    if not d:
        return False
    keys = list(d.keys())
    all_lower = all(key.islower() for key in keys if isinstance(key, str))
    all_upper = all(key.upper() == key for key in keys if isinstance(key, str))
    return all_lower or all_upper
```</t>
  </si>
  <si>
    <t>SyntaxError: unindent does not match any outer indentation level at line 4</t>
  </si>
  <si>
    <t>```python
def check_dict_case(d):
    if not d:
        return False
     lower_keys = all(k.islower() for k in d if isinstance(k, str))
     upper_keys = all(k.isupper() for k in d if isinstance(k, str))
     return lower_keys or upper_keys
```</t>
  </si>
  <si>
    <t>.keys</t>
  </si>
  <si>
    <t>SyntaxError: invalid syntax at line 6</t>
  </si>
  <si>
    <t>```python
def check_dict_case(d):
    if not d:
        return False
    keys = list(d.keys())
    all_lower = all(key.islower() for key in keys if isinstance(key, str))
    all_upper = all(key.isupper() for key in.keys if isinstance(key, str))
    return all_lower or all_upper
```</t>
  </si>
  <si>
    <t>_are</t>
  </si>
  <si>
    <t>```python
def check_dict_case(d):
    if not d:
        return False
    keys_are_lower = all(isinstance(k, str) and k.islower() for k in d)
    keys_are_upper = all(isinstance(k, str) and k.isupper() for k in d)
    return keys_are_lower or keys_are_upper
```</t>
  </si>
  <si>
    <t>```python
def check_dict_case(d):
    if not d:
        return False
    keys = list(d.keys())
    if all(isinstance(k, str) for k in keys):
        lower_case = all(k.islower() for k in keys)
        upper_case = all(k.isupper() for k in keys)
        return lower_case or upper_case
    return False
```</t>
  </si>
  <si>
    <t xml:space="preserve">]
</t>
  </si>
  <si>
    <t>=[</t>
  </si>
  <si>
    <t xml:space="preserve"> [-</t>
  </si>
  <si>
    <t xml:space="preserve"> k</t>
  </si>
  <si>
    <t xml:space="preserve"> from</t>
  </si>
  <si>
    <t>(range</t>
  </si>
  <si>
    <t>,n</t>
  </si>
  <si>
    <t xml:space="preserve">        
</t>
  </si>
  <si>
    <t xml:space="preserve"> next</t>
  </si>
  <si>
    <t xml:space="preserve"> append</t>
  </si>
  <si>
    <t xml:space="preserve"> /</t>
  </si>
  <si>
    <t xml:space="preserve"> //</t>
  </si>
  <si>
    <t>_one</t>
  </si>
  <si>
    <t>-one</t>
  </si>
  <si>
    <t xml:space="preserve"> float</t>
  </si>
  <si>
    <t xml:space="preserve"> convert</t>
  </si>
  <si>
    <t>.replace</t>
  </si>
  <si>
    <t>(',',</t>
  </si>
  <si>
    <t>(",",</t>
  </si>
  <si>
    <t xml:space="preserve">'))
</t>
  </si>
  <si>
    <t>'))</t>
  </si>
  <si>
    <t>=</t>
  </si>
  <si>
    <t>.float</t>
  </si>
  <si>
    <t xml:space="preserve"> replace</t>
  </si>
  <si>
    <t>('.',</t>
  </si>
  <si>
    <t xml:space="preserve">"))
</t>
  </si>
  <si>
    <t xml:space="preserve"> None</t>
  </si>
  <si>
    <t>.b</t>
  </si>
  <si>
    <t xml:space="preserve"> file</t>
  </si>
  <si>
    <t>_name</t>
  </si>
  <si>
    <t>-name</t>
  </si>
  <si>
    <t>_check</t>
  </si>
  <si>
    <t>_checker</t>
  </si>
  <si>
    <t>(file</t>
  </si>
  <si>
    <t>(filename</t>
  </si>
  <si>
    <t>'^</t>
  </si>
  <si>
    <t>"</t>
  </si>
  <si>
    <t>([</t>
  </si>
  <si>
    <t>-zA</t>
  </si>
  <si>
    <t>-z</t>
  </si>
  <si>
    <t>-Z</t>
  </si>
  <si>
    <t>-Za</t>
  </si>
  <si>
    <t>9</t>
  </si>
  <si>
    <t>]{</t>
  </si>
  <si>
    <t>(\</t>
  </si>
  <si>
    <t>[\</t>
  </si>
  <si>
    <t>{</t>
  </si>
  <si>
    <t>){</t>
  </si>
  <si>
    <t>\</t>
  </si>
  <si>
    <t>\.</t>
  </si>
  <si>
    <t>.(</t>
  </si>
  <si>
    <t>txt</t>
  </si>
  <si>
    <t>?:</t>
  </si>
  <si>
    <t>|</t>
  </si>
  <si>
    <t>|x</t>
  </si>
  <si>
    <t>:d</t>
  </si>
  <si>
    <t xml:space="preserve"> dll</t>
  </si>
  <si>
    <t>)$</t>
  </si>
  <si>
    <t xml:space="preserve">)'
</t>
  </si>
  <si>
    <t>Yes</t>
  </si>
  <si>
    <t>No</t>
  </si>
  <si>
    <t>'</t>
  </si>
  <si>
    <t>if</t>
  </si>
  <si>
    <t xml:space="preserve"> bool</t>
  </si>
  <si>
    <t>.match</t>
  </si>
  <si>
    <t>.full</t>
  </si>
  <si>
    <t>_s</t>
  </si>
  <si>
    <t>quares</t>
  </si>
  <si>
    <t>qu</t>
  </si>
  <si>
    <t>for</t>
  </si>
  <si>
    <t>==</t>
  </si>
  <si>
    <t xml:space="preserve"> pow</t>
  </si>
  <si>
    <t>(nums</t>
  </si>
  <si>
    <t>:(</t>
  </si>
  <si>
    <t xml:space="preserve"> cyc</t>
  </si>
  <si>
    <t>pattern</t>
  </si>
  <si>
    <t>_pattern</t>
  </si>
  <si>
    <t>-check</t>
  </si>
  <si>
    <t>:]</t>
  </si>
  <si>
    <t>_int</t>
  </si>
  <si>
    <t>_even</t>
  </si>
  <si>
    <t>egers</t>
  </si>
  <si>
    <t>e</t>
  </si>
  <si>
    <t xml:space="preserve"> c</t>
  </si>
  <si>
    <t>(end</t>
  </si>
  <si>
    <t xml:space="preserve"> poly</t>
  </si>
  <si>
    <t>(xs</t>
  </si>
  <si>
    <t>(coeffs</t>
  </si>
  <si>
    <t xml:space="preserve"> List</t>
  </si>
  <si>
    <t xml:space="preserve">,
</t>
  </si>
  <si>
    <t>float</t>
  </si>
  <si>
    <t xml:space="preserve">"""
</t>
  </si>
  <si>
    <t xml:space="preserve"> Evalu</t>
  </si>
  <si>
    <t xml:space="preserve"> evaluates</t>
  </si>
  <si>
    <t>ates</t>
  </si>
  <si>
    <t>ations</t>
  </si>
  <si>
    <t xml:space="preserve"> polynomial</t>
  </si>
  <si>
    <t xml:space="preserve"> w</t>
  </si>
  <si>
    <t xml:space="preserve"> coefficients</t>
  </si>
  <si>
    <t xml:space="preserve"> coff</t>
  </si>
  <si>
    <t xml:space="preserve"> xs</t>
  </si>
  <si>
    <t xml:space="preserve"> at</t>
  </si>
  <si>
    <t xml:space="preserve"> point</t>
  </si>
  <si>
    <t>[n</t>
  </si>
  <si>
    <t xml:space="preserve"> ....</t>
  </si>
  <si>
    <t>....</t>
  </si>
  <si>
    <t xml:space="preserve"> xn</t>
  </si>
  <si>
    <t>^n</t>
  </si>
  <si>
    <t>^(</t>
  </si>
  <si>
    <t xml:space="preserve"> math</t>
  </si>
  <si>
    <t>(coeff</t>
  </si>
  <si>
    <t>coeff</t>
  </si>
  <si>
    <t xml:space="preserve"> coeff</t>
  </si>
  <si>
    <t>.pow</t>
  </si>
  <si>
    <t>,i</t>
  </si>
  <si>
    <t xml:space="preserve"> coef</t>
  </si>
  <si>
    <t>)]</t>
  </si>
  <si>
    <t xml:space="preserve">)])
</t>
  </si>
  <si>
    <t xml:space="preserve">)
</t>
  </si>
  <si>
    <t xml:space="preserve"> derivative</t>
  </si>
  <si>
    <t>_zero</t>
  </si>
  <si>
    <t>_root</t>
  </si>
  <si>
    <t xml:space="preserve"> are</t>
  </si>
  <si>
    <t>_coeff</t>
  </si>
  <si>
    <t xml:space="preserve"> polygon</t>
  </si>
  <si>
    <t xml:space="preserve"> zero</t>
  </si>
  <si>
    <t xml:space="preserve"> such</t>
  </si>
  <si>
    <t>such</t>
  </si>
  <si>
    <t>that</t>
  </si>
  <si>
    <t xml:space="preserve"> pol</t>
  </si>
  <si>
    <t>-zero</t>
  </si>
  <si>
    <t>zero</t>
  </si>
  <si>
    <t xml:space="preserve"> there</t>
  </si>
  <si>
    <t xml:space="preserve"> many</t>
  </si>
  <si>
    <t xml:space="preserve"> multiple</t>
  </si>
  <si>
    <t xml:space="preserve"> Moreover</t>
  </si>
  <si>
    <t>Moreover</t>
  </si>
  <si>
    <t>find</t>
  </si>
  <si>
    <t xml:space="preserve"> Zero</t>
  </si>
  <si>
    <t xml:space="preserve"> accepts</t>
  </si>
  <si>
    <t xml:space="preserve"> having</t>
  </si>
  <si>
    <t xml:space="preserve"> an</t>
  </si>
  <si>
    <t xml:space="preserve"> number</t>
  </si>
  <si>
    <t xml:space="preserve"> largest</t>
  </si>
  <si>
    <t xml:space="preserve"> non</t>
  </si>
  <si>
    <t xml:space="preserve"> coefficient</t>
  </si>
  <si>
    <t xml:space="preserve"> it</t>
  </si>
  <si>
    <t xml:space="preserve"> its</t>
  </si>
  <si>
    <t xml:space="preserve"> guarantees</t>
  </si>
  <si>
    <t xml:space="preserve"> ensures</t>
  </si>
  <si>
    <t xml:space="preserve"> solution</t>
  </si>
  <si>
    <t xml:space="preserve"> solutions</t>
  </si>
  <si>
    <t xml:space="preserve"> print</t>
  </si>
  <si>
    <t>([-</t>
  </si>
  <si>
    <t>]),</t>
  </si>
  <si>
    <t>*x</t>
  </si>
  <si>
    <t>']),</t>
  </si>
  <si>
    <t xml:space="preserve"> =&gt;</t>
  </si>
  <si>
    <t>Third</t>
  </si>
  <si>
    <t>(l</t>
  </si>
  <si>
    <t>This</t>
  </si>
  <si>
    <t>Sort</t>
  </si>
  <si>
    <t xml:space="preserve"> function</t>
  </si>
  <si>
    <t xml:space="preserve"> sorts</t>
  </si>
  <si>
    <t xml:space="preserve"> `</t>
  </si>
  <si>
    <t xml:space="preserve"> new</t>
  </si>
  <si>
    <t xml:space="preserve"> lp</t>
  </si>
  <si>
    <t>’</t>
  </si>
  <si>
    <t xml:space="preserve"> identical</t>
  </si>
  <si>
    <t xml:space="preserve"> indent</t>
  </si>
  <si>
    <t xml:space="preserve"> t</t>
  </si>
  <si>
    <t>.l</t>
  </si>
  <si>
    <t xml:space="preserve"> indic</t>
  </si>
  <si>
    <t>ies</t>
  </si>
  <si>
    <t>ides</t>
  </si>
  <si>
    <t xml:space="preserve"> divisible</t>
  </si>
  <si>
    <t xml:space="preserve"> divis</t>
  </si>
  <si>
    <t xml:space="preserve"> while</t>
  </si>
  <si>
    <t xml:space="preserve"> equal</t>
  </si>
  <si>
    <t>to</t>
  </si>
  <si>
    <t xml:space="preserve"> corresponding</t>
  </si>
  <si>
    <t xml:space="preserve"> cor</t>
  </si>
  <si>
    <t xml:space="preserve"> but</t>
  </si>
  <si>
    <t>但</t>
  </si>
  <si>
    <t xml:space="preserve"> sort</t>
  </si>
  <si>
    <t>sort</t>
  </si>
  <si>
    <t>8</t>
  </si>
  <si>
    <t>_values</t>
  </si>
  <si>
    <t>=l</t>
  </si>
  <si>
    <t>)),</t>
  </si>
  <si>
    <t xml:space="preserve"> lambda</t>
  </si>
  <si>
    <t>:x</t>
  </si>
  <si>
    <t>_at</t>
  </si>
  <si>
    <t>Indices</t>
  </si>
  <si>
    <t>_l</t>
  </si>
  <si>
    <t xml:space="preserve">[:]
</t>
  </si>
  <si>
    <t>.copy</t>
  </si>
  <si>
    <t xml:space="preserve"> zip</t>
  </si>
  <si>
    <t>(sorted</t>
  </si>
  <si>
    <t xml:space="preserve"> Indices</t>
  </si>
  <si>
    <t>sorted</t>
  </si>
  <si>
    <t xml:space="preserve"> Values</t>
  </si>
  <si>
    <t>_c</t>
  </si>
  <si>
    <t>_cycle</t>
  </si>
  <si>
    <t>yclic</t>
  </si>
  <si>
    <t xml:space="preserve"> cyclic</t>
  </si>
  <si>
    <t>(encoded</t>
  </si>
  <si>
    <t xml:space="preserve"> encode</t>
  </si>
  <si>
    <t>_function</t>
  </si>
  <si>
    <t>函数</t>
  </si>
  <si>
    <t xml:space="preserve"> Returns</t>
  </si>
  <si>
    <t xml:space="preserve"> decoded</t>
  </si>
  <si>
    <t xml:space="preserve"> decode</t>
  </si>
  <si>
    <t xml:space="preserve"> into</t>
  </si>
  <si>
    <t xml:space="preserve"> cycles</t>
  </si>
  <si>
    <t xml:space="preserve"> Each</t>
  </si>
  <si>
    <t xml:space="preserve"> each</t>
  </si>
  <si>
    <t>(groups</t>
  </si>
  <si>
    <t xml:space="preserve"> =[</t>
  </si>
  <si>
    <t xml:space="preserve"> [(</t>
  </si>
  <si>
    <t>s</t>
  </si>
  <si>
    <t>*i</t>
  </si>
  <si>
    <t xml:space="preserve"> j</t>
  </si>
  <si>
    <t>):(</t>
  </si>
  <si>
    <t>min</t>
  </si>
  <si>
    <t>len</t>
  </si>
  <si>
    <t>))]</t>
  </si>
  <si>
    <t xml:space="preserve">))]
</t>
  </si>
  <si>
    <t>))</t>
  </si>
  <si>
    <t>)//</t>
  </si>
  <si>
    <t xml:space="preserve"> //
</t>
  </si>
  <si>
    <t xml:space="preserve">)]
</t>
  </si>
  <si>
    <t xml:space="preserve">)]
</t>
  </si>
  <si>
    <t xml:space="preserve"> elements</t>
  </si>
  <si>
    <t xml:space="preserve"> Unless</t>
  </si>
  <si>
    <t xml:space="preserve"> But</t>
  </si>
  <si>
    <t xml:space="preserve"> gr</t>
  </si>
  <si>
    <t xml:space="preserve"> has</t>
  </si>
  <si>
    <t xml:space="preserve"> fewer</t>
  </si>
  <si>
    <t xml:space="preserve"> few</t>
  </si>
  <si>
    <t xml:space="preserve"> than</t>
  </si>
  <si>
    <t>group</t>
  </si>
  <si>
    <t>g</t>
  </si>
  <si>
    <t>])]</t>
  </si>
  <si>
    <t>(group</t>
  </si>
  <si>
    <t>.group</t>
  </si>
  <si>
    <t>_shift</t>
  </si>
  <si>
    <t>-shift</t>
  </si>
  <si>
    <t>Shift</t>
  </si>
  <si>
    <t xml:space="preserve"> "".</t>
  </si>
  <si>
    <t xml:space="preserve"> ''.</t>
  </si>
  <si>
    <t>([(</t>
  </si>
  <si>
    <t>chr</t>
  </si>
  <si>
    <t>(((</t>
  </si>
  <si>
    <t>ord</t>
  </si>
  <si>
    <t>(ch</t>
  </si>
  <si>
    <t>(c</t>
  </si>
  <si>
    <t>shift</t>
  </si>
  <si>
    <t>_str</t>
  </si>
  <si>
    <t>(digits</t>
  </si>
  <si>
    <t xml:space="preserve">)
</t>
  </si>
  <si>
    <t>n</t>
  </si>
  <si>
    <t xml:space="preserve"> numerical</t>
  </si>
  <si>
    <t>numer</t>
  </si>
  <si>
    <t>_letter</t>
  </si>
  <si>
    <t>_to</t>
  </si>
  <si>
    <t>(g</t>
  </si>
  <si>
    <t>grades</t>
  </si>
  <si>
    <t>grade</t>
  </si>
  <si>
    <t xml:space="preserve">=[]
</t>
  </si>
  <si>
    <t xml:space="preserve"> []
</t>
  </si>
  <si>
    <t>pa</t>
  </si>
  <si>
    <t xml:space="preserve"> grades</t>
  </si>
  <si>
    <t>qa</t>
  </si>
  <si>
    <t>ade</t>
  </si>
  <si>
    <t>AP</t>
  </si>
  <si>
    <t>+')</t>
  </si>
  <si>
    <t xml:space="preserve">	elif</t>
  </si>
  <si>
    <t>(letter</t>
  </si>
  <si>
    <t>.extend</t>
  </si>
  <si>
    <t>B</t>
  </si>
  <si>
    <t xml:space="preserve"> gp</t>
  </si>
  <si>
    <t>PA</t>
  </si>
  <si>
    <t xml:space="preserve">")
</t>
  </si>
  <si>
    <t xml:space="preserve"> ')
</t>
  </si>
  <si>
    <t>.app</t>
  </si>
  <si>
    <t>C</t>
  </si>
  <si>
    <t>.g</t>
  </si>
  <si>
    <t>D</t>
  </si>
  <si>
    <t xml:space="preserve"> .</t>
  </si>
  <si>
    <t>(message</t>
  </si>
  <si>
    <t>_replace</t>
  </si>
  <si>
    <t>ae</t>
  </si>
  <si>
    <t>AE</t>
  </si>
  <si>
    <t>iou</t>
  </si>
  <si>
    <t>io</t>
  </si>
  <si>
    <t xml:space="preserve"> ='</t>
  </si>
  <si>
    <t xml:space="preserve"> message</t>
  </si>
  <si>
    <t>alpha</t>
  </si>
  <si>
    <t>lower</t>
  </si>
  <si>
    <t xml:space="preserve">():
</t>
  </si>
  <si>
    <t xml:space="preserve"> swapped</t>
  </si>
  <si>
    <t>.lower</t>
  </si>
  <si>
    <t>upper</t>
  </si>
  <si>
    <t>():</t>
  </si>
  <si>
    <t xml:space="preserve">              </t>
  </si>
  <si>
    <t>.swap</t>
  </si>
  <si>
    <t xml:space="preserve">()
</t>
  </si>
  <si>
    <t>()</t>
  </si>
  <si>
    <t>.toLowerCase</t>
  </si>
  <si>
    <t xml:space="preserve">()
</t>
  </si>
  <si>
    <t xml:space="preserve">            
</t>
  </si>
  <si>
    <t xml:space="preserve">                </t>
  </si>
  <si>
    <t>_v</t>
  </si>
  <si>
    <t>.index</t>
  </si>
  <si>
    <t>.find</t>
  </si>
  <si>
    <t>[char</t>
  </si>
  <si>
    <t>index</t>
  </si>
  <si>
    <t xml:space="preserve">))
</t>
  </si>
  <si>
    <t xml:space="preserve"> \%</t>
  </si>
  <si>
    <t xml:space="preserve"> check</t>
  </si>
  <si>
    <t>_dict</t>
  </si>
  <si>
    <t xml:space="preserve"> Dict</t>
  </si>
  <si>
    <t>_case</t>
  </si>
  <si>
    <t xml:space="preserve"> Case</t>
  </si>
  <si>
    <t>ct</t>
  </si>
  <si>
    <t xml:space="preserve"> d</t>
  </si>
  <si>
    <t xml:space="preserve">     </t>
  </si>
  <si>
    <t xml:space="preserve"> False</t>
  </si>
  <si>
    <t>False</t>
  </si>
  <si>
    <t>(filter</t>
  </si>
  <si>
    <t>_lower</t>
  </si>
  <si>
    <t>_lowercase</t>
  </si>
  <si>
    <t>(key</t>
  </si>
  <si>
    <t>(k</t>
  </si>
  <si>
    <t>(keys</t>
  </si>
  <si>
    <t xml:space="preserve"> isinstance</t>
  </si>
  <si>
    <t xml:space="preserve"> type</t>
  </si>
  <si>
    <t>,str</t>
  </si>
  <si>
    <t>_upper</t>
  </si>
  <si>
    <t>Upper</t>
  </si>
  <si>
    <t>.all</t>
  </si>
  <si>
    <t>(isinstance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</si>
</sst>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
    <numFmt numFmtId="166" formatCode="0.0%"/>
    <numFmt numFmtId="167" formatCode="+0;-0;0"/>
  </numFmts>
  <fonts count="10">
    <font>
      <sz val="11.0"/>
      <color rgb="FF000000"/>
      <name val="Carlito"/>
      <scheme val="minor"/>
    </font>
    <font>
      <b/>
      <sz val="18.0"/>
      <color rgb="FFFFFFFF"/>
      <name val="Carlito"/>
    </font>
    <font>
      <b/>
      <sz val="11.0"/>
      <color rgb="FF17202A"/>
      <name val="Carlito"/>
    </font>
    <font>
      <sz val="11.0"/>
      <color theme="1"/>
      <name val="Carlito"/>
    </font>
    <font>
      <color theme="1"/>
      <name val="Carlito"/>
      <scheme val="minor"/>
    </font>
    <font>
      <i/>
      <sz val="11.0"/>
      <color rgb="FF5E6875"/>
      <name val="Carlito"/>
    </font>
    <font>
      <b/>
      <sz val="11.0"/>
      <color rgb="FF5E6875"/>
      <name val="Carlito"/>
    </font>
    <font>
      <b/>
      <sz val="17.0"/>
      <color rgb="FF2563A5"/>
      <name val="Carlito"/>
    </font>
    <font>
      <b/>
      <sz val="11.0"/>
      <color rgb="FFFFFFFF"/>
      <name val="Carlito"/>
    </font>
    <font/>
  </fonts>
  <fills count="9">
    <fill>
      <patternFill patternType="none"/>
    </fill>
    <fill>
      <patternFill patternType="lightGray"/>
    </fill>
    <fill>
      <patternFill patternType="solid">
        <fgColor rgb="FF2563A5"/>
        <bgColor rgb="FF2563A5"/>
      </patternFill>
    </fill>
    <fill>
      <patternFill patternType="solid">
        <fgColor rgb="FFEEF1F4"/>
        <bgColor rgb="FFEEF1F4"/>
      </patternFill>
    </fill>
    <fill>
      <patternFill patternType="solid">
        <fgColor rgb="FFFF9900"/>
        <bgColor rgb="FFFF9900"/>
      </patternFill>
    </fill>
    <fill>
      <patternFill patternType="solid">
        <fgColor rgb="FF00FF00"/>
        <bgColor rgb="FF00FF00"/>
      </patternFill>
    </fill>
    <fill>
      <patternFill patternType="solid">
        <fgColor rgb="FFEAF2FA"/>
        <bgColor rgb="FFEAF2FA"/>
      </patternFill>
    </fill>
    <fill>
      <patternFill patternType="solid">
        <fgColor rgb="FFD9972F"/>
        <bgColor rgb="FFD9972F"/>
      </patternFill>
    </fill>
    <fill>
      <patternFill patternType="solid">
        <fgColor rgb="FFFFF8EA"/>
        <bgColor rgb="FFFFF8EA"/>
      </patternFill>
    </fill>
  </fills>
  <borders count="17">
    <border/>
    <border>
      <left style="thin">
        <color rgb="FFD6DCE3"/>
      </left>
      <top style="thin">
        <color rgb="FFD6DCE3"/>
      </top>
    </border>
    <border>
      <right style="thin">
        <color rgb="FFD6DCE3"/>
      </right>
      <top style="thin">
        <color rgb="FFD6DCE3"/>
      </top>
    </border>
    <border>
      <left style="thin">
        <color rgb="FFD6DCE3"/>
      </left>
      <bottom style="thin">
        <color rgb="FFD6DCE3"/>
      </bottom>
    </border>
    <border>
      <right style="thin">
        <color rgb="FFD6DCE3"/>
      </right>
      <bottom style="thin">
        <color rgb="FFD6DCE3"/>
      </bottom>
    </border>
    <border>
      <top style="thin">
        <color rgb="FFD6DCE3"/>
      </top>
    </border>
    <border>
      <left style="thin">
        <color rgb="FFD6DCE3"/>
      </left>
    </border>
    <border>
      <right style="thin">
        <color rgb="FFD6DCE3"/>
      </right>
    </border>
    <border>
      <bottom style="thin">
        <color rgb="FFD6DCE3"/>
      </bottom>
    </border>
    <border>
      <left style="thin">
        <color rgb="FFD9972F"/>
      </left>
      <top style="thin">
        <color rgb="FFD9972F"/>
      </top>
    </border>
    <border>
      <top style="thin">
        <color rgb="FFD9972F"/>
      </top>
    </border>
    <border>
      <right style="thin">
        <color rgb="FFD9972F"/>
      </right>
      <top style="thin">
        <color rgb="FFD9972F"/>
      </top>
    </border>
    <border>
      <left style="thin">
        <color rgb="FFD9972F"/>
      </left>
    </border>
    <border>
      <right style="thin">
        <color rgb="FFD9972F"/>
      </right>
    </border>
    <border>
      <left style="thin">
        <color rgb="FFD9972F"/>
      </left>
      <bottom style="thin">
        <color rgb="FFD9972F"/>
      </bottom>
    </border>
    <border>
      <bottom style="thin">
        <color rgb="FFD9972F"/>
      </bottom>
    </border>
    <border>
      <right style="thin">
        <color rgb="FFD9972F"/>
      </right>
      <bottom style="thin">
        <color rgb="FFD9972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shrinkToFit="0" vertical="center" wrapText="1"/>
    </xf>
    <xf borderId="0" fillId="0" fontId="3" numFmtId="0" xfId="0" applyAlignment="1" applyFont="1">
      <alignment shrinkToFit="0" vertical="top" wrapText="1"/>
    </xf>
    <xf borderId="0" fillId="0" fontId="4" numFmtId="0" xfId="0" applyFont="1"/>
    <xf borderId="0" fillId="0" fontId="3" numFmtId="1" xfId="0" applyFont="1" applyNumberFormat="1"/>
    <xf borderId="0" fillId="3" fontId="2" numFmtId="0" xfId="0" applyFill="1" applyFont="1"/>
    <xf borderId="0" fillId="0" fontId="3" numFmtId="0" xfId="0" applyAlignment="1" applyFont="1">
      <alignment shrinkToFit="0" wrapText="1"/>
    </xf>
    <xf borderId="0" fillId="3" fontId="2" numFmtId="0" xfId="0" applyAlignment="1" applyFill="1" applyFont="1">
      <alignment shrinkToFit="0" vertical="top" wrapText="1"/>
    </xf>
    <xf borderId="0" fillId="0" fontId="3" numFmtId="0" xfId="0" applyAlignment="1" applyFont="1">
      <alignment vertical="top"/>
    </xf>
    <xf borderId="0" fillId="0" fontId="3" numFmtId="164" xfId="0" applyAlignment="1" applyFont="1" applyNumberFormat="1">
      <alignment vertical="top"/>
    </xf>
    <xf borderId="0" fillId="0" fontId="3" numFmtId="165" xfId="0" applyAlignment="1" applyFont="1" applyNumberFormat="1">
      <alignment vertical="top"/>
    </xf>
    <xf borderId="0" fillId="0" fontId="3" numFmtId="9" xfId="0" applyFont="1" applyNumberFormat="1"/>
    <xf borderId="0" fillId="4" fontId="3" numFmtId="0" xfId="0" applyAlignment="1" applyFill="1" applyFont="1">
      <alignment vertical="top"/>
    </xf>
    <xf borderId="0" fillId="5" fontId="3" numFmtId="0" xfId="0" applyAlignment="1" applyFill="1" applyFont="1">
      <alignment vertical="top"/>
    </xf>
    <xf borderId="0" fillId="0" fontId="4" numFmtId="0" xfId="0" applyAlignment="1" applyFont="1">
      <alignment readingOrder="0"/>
    </xf>
    <xf borderId="0" fillId="0" fontId="3" numFmtId="164" xfId="0" applyFont="1" applyNumberFormat="1"/>
    <xf borderId="0" fillId="0" fontId="5" numFmtId="0" xfId="0" applyAlignment="1" applyFont="1">
      <alignment shrinkToFit="0" wrapText="1"/>
    </xf>
    <xf borderId="0" fillId="0" fontId="4" numFmtId="3" xfId="0" applyFont="1" applyNumberFormat="1"/>
    <xf borderId="1" fillId="6" fontId="6" numFmtId="0" xfId="0" applyBorder="1" applyFill="1" applyFont="1"/>
    <xf borderId="2" fillId="6" fontId="6" numFmtId="0" xfId="0" applyBorder="1" applyFill="1" applyFont="1"/>
    <xf borderId="3" fillId="6" fontId="7" numFmtId="3" xfId="0" applyBorder="1" applyFill="1" applyFont="1" applyNumberFormat="1"/>
    <xf borderId="4" fillId="6" fontId="7" numFmtId="3" xfId="0" applyBorder="1" applyFill="1" applyFont="1" applyNumberFormat="1"/>
    <xf borderId="1" fillId="3" fontId="2" numFmtId="0" xfId="0" applyAlignment="1" applyBorder="1" applyFill="1" applyFont="1">
      <alignment shrinkToFit="0" vertical="center" wrapText="1"/>
    </xf>
    <xf borderId="5" fillId="3" fontId="2" numFmtId="0" xfId="0" applyAlignment="1" applyBorder="1" applyFill="1" applyFont="1">
      <alignment shrinkToFit="0" vertical="center" wrapText="1"/>
    </xf>
    <xf borderId="2" fillId="3" fontId="2" numFmtId="0" xfId="0" applyAlignment="1" applyBorder="1" applyFill="1" applyFont="1">
      <alignment shrinkToFit="0" vertical="center" wrapText="1"/>
    </xf>
    <xf borderId="6" fillId="0" fontId="3" numFmtId="0" xfId="0" applyBorder="1" applyFont="1"/>
    <xf borderId="0" fillId="0" fontId="3" numFmtId="3" xfId="0" applyFont="1" applyNumberFormat="1"/>
    <xf borderId="0" fillId="0" fontId="3" numFmtId="166" xfId="0" applyFont="1" applyNumberFormat="1"/>
    <xf borderId="0" fillId="0" fontId="3" numFmtId="167" xfId="0" applyFont="1" applyNumberFormat="1"/>
    <xf borderId="7" fillId="0" fontId="3" numFmtId="0" xfId="0" applyBorder="1" applyFont="1"/>
    <xf borderId="3" fillId="0" fontId="3" numFmtId="0" xfId="0" applyBorder="1" applyFont="1"/>
    <xf borderId="8" fillId="0" fontId="3" numFmtId="3" xfId="0" applyBorder="1" applyFont="1" applyNumberFormat="1"/>
    <xf borderId="8" fillId="0" fontId="3" numFmtId="9" xfId="0" applyBorder="1" applyFont="1" applyNumberFormat="1"/>
    <xf borderId="8" fillId="0" fontId="3" numFmtId="166" xfId="0" applyBorder="1" applyFont="1" applyNumberFormat="1"/>
    <xf borderId="8" fillId="0" fontId="3" numFmtId="167" xfId="0" applyBorder="1" applyFont="1" applyNumberFormat="1"/>
    <xf borderId="4" fillId="0" fontId="3" numFmtId="0" xfId="0" applyBorder="1" applyFont="1"/>
    <xf borderId="0" fillId="7" fontId="8" numFmtId="0" xfId="0" applyFill="1" applyFont="1"/>
    <xf borderId="9" fillId="8" fontId="3" numFmtId="0" xfId="0" applyAlignment="1" applyBorder="1" applyFill="1" applyFont="1">
      <alignment readingOrder="0" shrinkToFit="0" vertical="top" wrapText="1"/>
    </xf>
    <xf borderId="10" fillId="0" fontId="9" numFmtId="0" xfId="0" applyBorder="1" applyFont="1"/>
    <xf borderId="11" fillId="0" fontId="9" numFmtId="0" xfId="0" applyBorder="1" applyFont="1"/>
    <xf borderId="12" fillId="0" fontId="9" numFmtId="0" xfId="0" applyBorder="1" applyFont="1"/>
    <xf borderId="13" fillId="0" fontId="9" numFmtId="0" xfId="0" applyBorder="1" applyFont="1"/>
    <xf borderId="14" fillId="0" fontId="9" numFmtId="0" xfId="0" applyBorder="1" applyFont="1"/>
    <xf borderId="15" fillId="0" fontId="9" numFmtId="0" xfId="0" applyBorder="1" applyFont="1"/>
    <xf borderId="16"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Problemas recuperados con cinco ramas</a:t>
            </a:r>
          </a:p>
        </c:rich>
      </c:tx>
      <c:overlay val="0"/>
    </c:title>
    <c:plotArea>
      <c:layout/>
      <c:barChart>
        <c:barDir val="col"/>
        <c:ser>
          <c:idx val="0"/>
          <c:order val="0"/>
          <c:tx>
            <c:v>Problemas recuperados</c:v>
          </c:tx>
          <c:spPr>
            <a:solidFill>
              <a:schemeClr val="accent1"/>
            </a:solidFill>
            <a:ln cmpd="sng">
              <a:noFill/>
            </a:ln>
          </c:spPr>
          <c:cat>
            <c:strRef>
              <c:f>Resumen!$J$3:$J$6</c:f>
            </c:strRef>
          </c:cat>
          <c:val>
            <c:numRef>
              <c:f>Resumen!$K$3:$K$6</c:f>
              <c:numCache/>
            </c:numRef>
          </c:val>
        </c:ser>
        <c:axId val="918234928"/>
        <c:axId val="1725315190"/>
      </c:barChart>
      <c:catAx>
        <c:axId val="918234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725315190"/>
      </c:catAx>
      <c:valAx>
        <c:axId val="1725315190"/>
        <c:scaling>
          <c:orientation val="minMax"/>
          <c:max val="2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918234928"/>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Ramas PASS y FAIL por selector</a:t>
            </a:r>
          </a:p>
        </c:rich>
      </c:tx>
      <c:overlay val="0"/>
    </c:title>
    <c:plotArea>
      <c:layout/>
      <c:barChart>
        <c:barDir val="col"/>
        <c:ser>
          <c:idx val="0"/>
          <c:order val="0"/>
          <c:tx>
            <c:v>PASS</c:v>
          </c:tx>
          <c:spPr>
            <a:solidFill>
              <a:schemeClr val="accent1"/>
            </a:solidFill>
            <a:ln cmpd="sng">
              <a:noFill/>
            </a:ln>
          </c:spPr>
          <c:cat>
            <c:strRef>
              <c:f>Resumen!$J$21:$J$24</c:f>
            </c:strRef>
          </c:cat>
          <c:val>
            <c:numRef>
              <c:f>Resumen!$K$21:$K$24</c:f>
              <c:numCache/>
            </c:numRef>
          </c:val>
        </c:ser>
        <c:ser>
          <c:idx val="1"/>
          <c:order val="1"/>
          <c:tx>
            <c:v>FAIL</c:v>
          </c:tx>
          <c:spPr>
            <a:solidFill>
              <a:schemeClr val="accent2"/>
            </a:solidFill>
            <a:ln cmpd="sng">
              <a:noFill/>
            </a:ln>
          </c:spPr>
          <c:cat>
            <c:strRef>
              <c:f>Resumen!$J$21:$J$24</c:f>
            </c:strRef>
          </c:cat>
          <c:val>
            <c:numRef>
              <c:f>Resumen!$L$21:$L$24</c:f>
              <c:numCache/>
            </c:numRef>
          </c:val>
        </c:ser>
        <c:axId val="1279275614"/>
        <c:axId val="2113824280"/>
      </c:barChart>
      <c:catAx>
        <c:axId val="1279275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2113824280"/>
      </c:catAx>
      <c:valAx>
        <c:axId val="2113824280"/>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1279275614"/>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Problemas recuperados según presupuesto</a:t>
            </a:r>
          </a:p>
        </c:rich>
      </c:tx>
      <c:overlay val="0"/>
    </c:title>
    <c:plotArea>
      <c:layout/>
      <c:lineChart>
        <c:ser>
          <c:idx val="0"/>
          <c:order val="0"/>
          <c:tx>
            <c:v>Semántico</c:v>
          </c:tx>
          <c:spPr>
            <a:ln cmpd="sng">
              <a:solidFill>
                <a:srgbClr val="156082"/>
              </a:solidFill>
            </a:ln>
          </c:spPr>
          <c:marker>
            <c:symbol val="none"/>
          </c:marker>
          <c:cat>
            <c:strRef>
              <c:f>Presupuesto!$H$2:$H$6</c:f>
            </c:strRef>
          </c:cat>
          <c:val>
            <c:numRef>
              <c:f>Presupuesto!$I$2:$I$6</c:f>
              <c:numCache/>
            </c:numRef>
          </c:val>
          <c:smooth val="0"/>
        </c:ser>
        <c:ser>
          <c:idx val="1"/>
          <c:order val="1"/>
          <c:tx>
            <c:v>Entropía</c:v>
          </c:tx>
          <c:spPr>
            <a:ln cmpd="sng">
              <a:solidFill>
                <a:srgbClr val="E97132"/>
              </a:solidFill>
            </a:ln>
          </c:spPr>
          <c:marker>
            <c:symbol val="none"/>
          </c:marker>
          <c:cat>
            <c:strRef>
              <c:f>Presupuesto!$H$2:$H$6</c:f>
            </c:strRef>
          </c:cat>
          <c:val>
            <c:numRef>
              <c:f>Presupuesto!$J$2:$J$6</c:f>
              <c:numCache/>
            </c:numRef>
          </c:val>
          <c:smooth val="0"/>
        </c:ser>
        <c:ser>
          <c:idx val="2"/>
          <c:order val="2"/>
          <c:tx>
            <c:v>Margen</c:v>
          </c:tx>
          <c:spPr>
            <a:ln cmpd="sng">
              <a:solidFill>
                <a:srgbClr val="196B24"/>
              </a:solidFill>
            </a:ln>
          </c:spPr>
          <c:marker>
            <c:symbol val="none"/>
          </c:marker>
          <c:cat>
            <c:strRef>
              <c:f>Presupuesto!$H$2:$H$6</c:f>
            </c:strRef>
          </c:cat>
          <c:val>
            <c:numRef>
              <c:f>Presupuesto!$K$2:$K$6</c:f>
              <c:numCache/>
            </c:numRef>
          </c:val>
          <c:smooth val="0"/>
        </c:ser>
        <c:ser>
          <c:idx val="3"/>
          <c:order val="3"/>
          <c:tx>
            <c:v>Aleatorio</c:v>
          </c:tx>
          <c:spPr>
            <a:ln cmpd="sng">
              <a:solidFill>
                <a:srgbClr val="0F9ED5"/>
              </a:solidFill>
            </a:ln>
          </c:spPr>
          <c:marker>
            <c:symbol val="none"/>
          </c:marker>
          <c:cat>
            <c:strRef>
              <c:f>Presupuesto!$H$2:$H$6</c:f>
            </c:strRef>
          </c:cat>
          <c:val>
            <c:numRef>
              <c:f>Presupuesto!$L$2:$L$6</c:f>
              <c:numCache/>
            </c:numRef>
          </c:val>
          <c:smooth val="0"/>
        </c:ser>
        <c:axId val="687598064"/>
        <c:axId val="483615433"/>
      </c:lineChart>
      <c:catAx>
        <c:axId val="687598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483615433"/>
      </c:catAx>
      <c:valAx>
        <c:axId val="483615433"/>
        <c:scaling>
          <c:orientation val="minMax"/>
          <c:max val="2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687598064"/>
      </c:valAx>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6000750" cy="32861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19</xdr:row>
      <xdr:rowOff>0</xdr:rowOff>
    </xdr:from>
    <xdr:ext cx="6000750" cy="340042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8</xdr:row>
      <xdr:rowOff>0</xdr:rowOff>
    </xdr:from>
    <xdr:ext cx="7581900" cy="38004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63"/>
    <col customWidth="1" min="2" max="2" width="36.63"/>
    <col customWidth="1" min="3" max="3" width="32.25"/>
    <col customWidth="1" min="4" max="26" width="8.63"/>
  </cols>
  <sheetData>
    <row r="1" ht="31.5" customHeight="1">
      <c r="A1" s="1" t="s">
        <v>0</v>
      </c>
    </row>
    <row r="3" ht="22.5" customHeight="1">
      <c r="A3" s="2" t="s">
        <v>2</v>
      </c>
      <c r="B3" s="2" t="s">
        <v>5</v>
      </c>
      <c r="C3" s="2" t="s">
        <v>7</v>
      </c>
    </row>
    <row r="4">
      <c r="A4" s="3" t="s">
        <v>10</v>
      </c>
      <c r="B4" s="3" t="s">
        <v>13</v>
      </c>
      <c r="C4" s="3" t="s">
        <v>15</v>
      </c>
    </row>
    <row r="5">
      <c r="A5" s="3" t="s">
        <v>16</v>
      </c>
      <c r="B5" s="3" t="s">
        <v>18</v>
      </c>
      <c r="C5" s="3" t="s">
        <v>19</v>
      </c>
    </row>
    <row r="6">
      <c r="A6" s="3" t="s">
        <v>20</v>
      </c>
      <c r="B6" s="3" t="s">
        <v>21</v>
      </c>
      <c r="C6" s="3" t="s">
        <v>22</v>
      </c>
    </row>
    <row r="7">
      <c r="A7" s="3" t="s">
        <v>23</v>
      </c>
      <c r="B7" s="3" t="s">
        <v>24</v>
      </c>
      <c r="C7" s="3" t="s">
        <v>25</v>
      </c>
    </row>
    <row r="8">
      <c r="A8" s="3" t="s">
        <v>26</v>
      </c>
      <c r="B8" s="3" t="s">
        <v>27</v>
      </c>
      <c r="C8" s="3" t="s">
        <v>28</v>
      </c>
    </row>
    <row r="9">
      <c r="A9" s="3" t="s">
        <v>29</v>
      </c>
      <c r="B9" s="3" t="s">
        <v>30</v>
      </c>
      <c r="C9" s="3" t="s">
        <v>31</v>
      </c>
    </row>
    <row r="10">
      <c r="A10" s="3" t="s">
        <v>32</v>
      </c>
      <c r="B10" s="3" t="s">
        <v>33</v>
      </c>
      <c r="C10" s="3" t="s">
        <v>34</v>
      </c>
    </row>
    <row r="11">
      <c r="A11" s="3" t="s">
        <v>35</v>
      </c>
      <c r="B11" s="3" t="s">
        <v>36</v>
      </c>
      <c r="C11" s="3" t="s">
        <v>37</v>
      </c>
    </row>
    <row r="13">
      <c r="A13" s="6" t="s">
        <v>38</v>
      </c>
    </row>
    <row r="14" ht="22.5" customHeight="1">
      <c r="A14" s="2" t="s">
        <v>39</v>
      </c>
      <c r="B14" s="2" t="s">
        <v>40</v>
      </c>
      <c r="C14" s="2" t="s">
        <v>41</v>
      </c>
    </row>
    <row r="15">
      <c r="A15" s="7" t="s">
        <v>42</v>
      </c>
      <c r="B15" s="7" t="s">
        <v>43</v>
      </c>
      <c r="C15" s="7" t="s">
        <v>44</v>
      </c>
    </row>
    <row r="16">
      <c r="A16" s="7" t="s">
        <v>45</v>
      </c>
      <c r="B16" s="7" t="s">
        <v>46</v>
      </c>
      <c r="C16" s="7" t="s">
        <v>44</v>
      </c>
    </row>
    <row r="17">
      <c r="A17" s="7" t="s">
        <v>47</v>
      </c>
      <c r="B17" s="7" t="s">
        <v>48</v>
      </c>
      <c r="C17" s="7"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88"/>
    <col customWidth="1" min="2" max="2" width="12.75"/>
    <col customWidth="1" min="3" max="3" width="9.5"/>
    <col customWidth="1" min="4" max="4" width="10.0"/>
    <col customWidth="1" min="5" max="6" width="11.63"/>
    <col customWidth="1" min="7" max="7" width="11.13"/>
    <col customWidth="1" min="8" max="8" width="35.88"/>
    <col customWidth="1" min="9" max="9" width="2.5"/>
    <col customWidth="1" min="10" max="10" width="13.38"/>
    <col customWidth="1" min="11" max="11" width="12.25"/>
    <col customWidth="1" min="12" max="12" width="10.0"/>
    <col customWidth="1" min="13" max="26" width="8.63"/>
  </cols>
  <sheetData>
    <row r="1" ht="31.5" customHeight="1">
      <c r="A1" s="1" t="s">
        <v>213</v>
      </c>
    </row>
    <row r="2">
      <c r="A2" s="17" t="s">
        <v>224</v>
      </c>
      <c r="J2" s="4" t="s">
        <v>230</v>
      </c>
      <c r="K2" s="4" t="s">
        <v>233</v>
      </c>
    </row>
    <row r="3">
      <c r="J3" s="4" t="str">
        <f t="shared" ref="J3:K3" si="1">A9</f>
        <v>Semántico</v>
      </c>
      <c r="K3" s="18">
        <f t="shared" si="1"/>
        <v>10</v>
      </c>
    </row>
    <row r="4">
      <c r="A4" s="19" t="s">
        <v>255</v>
      </c>
      <c r="B4" s="20"/>
      <c r="C4" s="19" t="s">
        <v>265</v>
      </c>
      <c r="D4" s="20"/>
      <c r="E4" s="19" t="s">
        <v>267</v>
      </c>
      <c r="F4" s="20"/>
      <c r="G4" s="19" t="s">
        <v>269</v>
      </c>
      <c r="H4" s="20"/>
      <c r="J4" s="4" t="str">
        <f t="shared" ref="J4:K4" si="2">A10</f>
        <v>Entropía</v>
      </c>
      <c r="K4" s="18">
        <f t="shared" si="2"/>
        <v>10</v>
      </c>
    </row>
    <row r="5">
      <c r="A5" s="21">
        <f>COUNTA(Problemas!$A$2:$A$21)</f>
        <v>20</v>
      </c>
      <c r="B5" s="22"/>
      <c r="C5" s="21">
        <f>COUNTA(Lookaheads!$A$2:$A$1650)</f>
        <v>1649</v>
      </c>
      <c r="D5" s="22"/>
      <c r="E5" s="21">
        <f>COUNTA(Ramas!$A$2:$A$256)</f>
        <v>255</v>
      </c>
      <c r="F5" s="22"/>
      <c r="G5" s="21">
        <f>C5-E5</f>
        <v>1394</v>
      </c>
      <c r="H5" s="22"/>
      <c r="J5" s="4" t="str">
        <f t="shared" ref="J5:K5" si="3">A11</f>
        <v>Margen</v>
      </c>
      <c r="K5" s="18">
        <f t="shared" si="3"/>
        <v>10</v>
      </c>
    </row>
    <row r="6">
      <c r="J6" s="4" t="str">
        <f t="shared" ref="J6:K6" si="4">A12</f>
        <v>Aleatorio</v>
      </c>
      <c r="K6" s="18">
        <f t="shared" si="4"/>
        <v>6</v>
      </c>
    </row>
    <row r="8" ht="38.25" customHeight="1">
      <c r="A8" s="23" t="s">
        <v>230</v>
      </c>
      <c r="B8" s="24" t="s">
        <v>233</v>
      </c>
      <c r="C8" s="24" t="s">
        <v>340</v>
      </c>
      <c r="D8" s="24" t="s">
        <v>342</v>
      </c>
      <c r="E8" s="24" t="s">
        <v>343</v>
      </c>
      <c r="F8" s="24" t="s">
        <v>29</v>
      </c>
      <c r="G8" s="24" t="s">
        <v>344</v>
      </c>
      <c r="H8" s="25" t="s">
        <v>345</v>
      </c>
    </row>
    <row r="9">
      <c r="A9" s="26" t="s">
        <v>3</v>
      </c>
      <c r="B9" s="27">
        <f>SUM(Problemas!$B$2:$B$21)</f>
        <v>10</v>
      </c>
      <c r="C9" s="12">
        <f t="shared" ref="C9:C12" si="5">B9/$A$5</f>
        <v>0.5</v>
      </c>
      <c r="D9" s="27">
        <f>SUMPRODUCT(Ramas!$I$2:$I$256,Ramas!$H$2:$H$256)</f>
        <v>15</v>
      </c>
      <c r="E9" s="27">
        <f>SUM(Ramas!$I$2:$I$256)</f>
        <v>100</v>
      </c>
      <c r="F9" s="28">
        <f t="shared" ref="F9:F12" si="6">IFERROR(D9/E9,0)</f>
        <v>0.15</v>
      </c>
      <c r="G9" s="29">
        <f t="shared" ref="G9:G12" si="7">B9-$B$12</f>
        <v>4</v>
      </c>
      <c r="H9" s="30" t="s">
        <v>394</v>
      </c>
    </row>
    <row r="10">
      <c r="A10" s="26" t="s">
        <v>4</v>
      </c>
      <c r="B10" s="27">
        <f>SUM(Problemas!$C$2:$C$21)</f>
        <v>10</v>
      </c>
      <c r="C10" s="12">
        <f t="shared" si="5"/>
        <v>0.5</v>
      </c>
      <c r="D10" s="27">
        <f>SUMPRODUCT(Ramas!$J$2:$J$256,Ramas!$H$2:$H$256)</f>
        <v>21</v>
      </c>
      <c r="E10" s="27">
        <f>SUM(Ramas!$J$2:$J$256)</f>
        <v>100</v>
      </c>
      <c r="F10" s="28">
        <f t="shared" si="6"/>
        <v>0.21</v>
      </c>
      <c r="G10" s="29">
        <f t="shared" si="7"/>
        <v>4</v>
      </c>
      <c r="H10" s="30" t="s">
        <v>419</v>
      </c>
    </row>
    <row r="11">
      <c r="A11" s="26" t="s">
        <v>6</v>
      </c>
      <c r="B11" s="27">
        <f>SUM(Problemas!$D$2:$D$21)</f>
        <v>10</v>
      </c>
      <c r="C11" s="12">
        <f t="shared" si="5"/>
        <v>0.5</v>
      </c>
      <c r="D11" s="27">
        <f>SUMPRODUCT(Ramas!$K$2:$K$256,Ramas!$H$2:$H$256)</f>
        <v>21</v>
      </c>
      <c r="E11" s="27">
        <f>SUM(Ramas!$K$2:$K$256)</f>
        <v>100</v>
      </c>
      <c r="F11" s="28">
        <f t="shared" si="6"/>
        <v>0.21</v>
      </c>
      <c r="G11" s="29">
        <f t="shared" si="7"/>
        <v>4</v>
      </c>
      <c r="H11" s="30" t="s">
        <v>443</v>
      </c>
    </row>
    <row r="12">
      <c r="A12" s="31" t="s">
        <v>8</v>
      </c>
      <c r="B12" s="32">
        <f>SUM(Problemas!$E$2:$E$21)</f>
        <v>6</v>
      </c>
      <c r="C12" s="33">
        <f t="shared" si="5"/>
        <v>0.3</v>
      </c>
      <c r="D12" s="32">
        <f>SUMPRODUCT(Ramas!$L$2:$L$256,Ramas!$H$2:$H$256)</f>
        <v>7</v>
      </c>
      <c r="E12" s="32">
        <f>SUM(Ramas!$L$2:$L$256)</f>
        <v>100</v>
      </c>
      <c r="F12" s="34">
        <f t="shared" si="6"/>
        <v>0.07</v>
      </c>
      <c r="G12" s="35">
        <f t="shared" si="7"/>
        <v>0</v>
      </c>
      <c r="H12" s="36" t="s">
        <v>468</v>
      </c>
    </row>
    <row r="15">
      <c r="A15" s="37" t="s">
        <v>471</v>
      </c>
    </row>
    <row r="16">
      <c r="A16" s="38" t="s">
        <v>475</v>
      </c>
      <c r="B16" s="39"/>
      <c r="C16" s="39"/>
      <c r="D16" s="39"/>
      <c r="E16" s="39"/>
      <c r="F16" s="39"/>
      <c r="G16" s="39"/>
      <c r="H16" s="40"/>
    </row>
    <row r="17">
      <c r="A17" s="41"/>
      <c r="H17" s="42"/>
    </row>
    <row r="18">
      <c r="A18" s="43"/>
      <c r="B18" s="44"/>
      <c r="C18" s="44"/>
      <c r="D18" s="44"/>
      <c r="E18" s="44"/>
      <c r="F18" s="44"/>
      <c r="G18" s="44"/>
      <c r="H18" s="45"/>
    </row>
    <row r="20">
      <c r="J20" s="4" t="s">
        <v>230</v>
      </c>
      <c r="K20" s="4" t="s">
        <v>486</v>
      </c>
      <c r="L20" s="4" t="s">
        <v>239</v>
      </c>
    </row>
    <row r="21" ht="15.75" customHeight="1">
      <c r="J21" s="4" t="str">
        <f t="shared" ref="J21:J24" si="8">A9</f>
        <v>Semántico</v>
      </c>
      <c r="K21" s="18">
        <f t="shared" ref="K21:K24" si="9">D9</f>
        <v>15</v>
      </c>
      <c r="L21" s="18">
        <f t="shared" ref="L21:L24" si="10">E9-D9</f>
        <v>85</v>
      </c>
    </row>
    <row r="22" ht="15.75" customHeight="1">
      <c r="J22" s="4" t="str">
        <f t="shared" si="8"/>
        <v>Entropía</v>
      </c>
      <c r="K22" s="18">
        <f t="shared" si="9"/>
        <v>21</v>
      </c>
      <c r="L22" s="18">
        <f t="shared" si="10"/>
        <v>79</v>
      </c>
    </row>
    <row r="23" ht="15.75" customHeight="1">
      <c r="J23" s="4" t="str">
        <f t="shared" si="8"/>
        <v>Margen</v>
      </c>
      <c r="K23" s="18">
        <f t="shared" si="9"/>
        <v>21</v>
      </c>
      <c r="L23" s="18">
        <f t="shared" si="10"/>
        <v>79</v>
      </c>
    </row>
    <row r="24" ht="15.75" customHeight="1">
      <c r="J24" s="4" t="str">
        <f t="shared" si="8"/>
        <v>Aleatorio</v>
      </c>
      <c r="K24" s="18">
        <f t="shared" si="9"/>
        <v>7</v>
      </c>
      <c r="L24" s="18">
        <f t="shared" si="10"/>
        <v>93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A15:H15"/>
    <mergeCell ref="A16:H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1.13"/>
    <col customWidth="1" min="3" max="3" width="6.5"/>
    <col customWidth="1" min="4" max="4" width="7.25"/>
    <col customWidth="1" min="5" max="5" width="13.88"/>
    <col customWidth="1" min="6" max="6" width="16.5"/>
    <col customWidth="1" min="7" max="7" width="2.25"/>
    <col customWidth="1" min="8" max="8" width="12.0"/>
    <col customWidth="1" min="9" max="9" width="9.75"/>
    <col customWidth="1" min="10" max="10" width="9.13"/>
    <col customWidth="1" min="11" max="11" width="8.63"/>
    <col customWidth="1" min="12" max="12" width="9.13"/>
    <col customWidth="1" min="13" max="13" width="2.25"/>
    <col customWidth="1" min="14" max="14" width="12.0"/>
    <col customWidth="1" min="15" max="15" width="9.75"/>
    <col customWidth="1" min="16" max="16" width="9.13"/>
    <col customWidth="1" min="17" max="17" width="8.63"/>
    <col customWidth="1" min="18" max="18" width="9.13"/>
    <col customWidth="1" min="19" max="26" width="8.63"/>
  </cols>
  <sheetData>
    <row r="1" ht="30.75" customHeight="1">
      <c r="A1" s="2" t="s">
        <v>1</v>
      </c>
      <c r="B1" s="2" t="s">
        <v>96</v>
      </c>
      <c r="C1" s="2" t="s">
        <v>98</v>
      </c>
      <c r="D1" s="2" t="s">
        <v>68</v>
      </c>
      <c r="E1" s="2" t="s">
        <v>102</v>
      </c>
      <c r="F1" s="2" t="s">
        <v>103</v>
      </c>
      <c r="H1" s="2" t="s">
        <v>104</v>
      </c>
      <c r="I1" s="2" t="s">
        <v>3</v>
      </c>
      <c r="J1" s="2" t="s">
        <v>4</v>
      </c>
      <c r="K1" s="2" t="s">
        <v>6</v>
      </c>
      <c r="L1" s="2" t="s">
        <v>8</v>
      </c>
      <c r="N1" s="2" t="s">
        <v>104</v>
      </c>
      <c r="O1" s="2" t="s">
        <v>3</v>
      </c>
      <c r="P1" s="2" t="s">
        <v>4</v>
      </c>
      <c r="Q1" s="2" t="s">
        <v>6</v>
      </c>
      <c r="R1" s="2" t="s">
        <v>8</v>
      </c>
    </row>
    <row r="2">
      <c r="A2" s="4" t="s">
        <v>17</v>
      </c>
      <c r="B2" s="4" t="s">
        <v>3</v>
      </c>
      <c r="C2" s="4">
        <v>1.0</v>
      </c>
      <c r="D2" s="4">
        <v>6.0</v>
      </c>
      <c r="E2" s="4">
        <v>1.0</v>
      </c>
      <c r="F2" s="4">
        <v>1.0</v>
      </c>
      <c r="H2" s="4">
        <v>1.0</v>
      </c>
      <c r="I2" s="4">
        <v>5.0</v>
      </c>
      <c r="J2" s="4">
        <v>8.0</v>
      </c>
      <c r="K2" s="4">
        <v>6.0</v>
      </c>
      <c r="L2" s="4">
        <v>4.0</v>
      </c>
      <c r="N2" s="4">
        <f t="shared" ref="N2:N6" si="2">H2</f>
        <v>1</v>
      </c>
      <c r="O2" s="12">
        <f t="shared" ref="O2:R2" si="1">I2/20</f>
        <v>0.25</v>
      </c>
      <c r="P2" s="12">
        <f t="shared" si="1"/>
        <v>0.4</v>
      </c>
      <c r="Q2" s="12">
        <f t="shared" si="1"/>
        <v>0.3</v>
      </c>
      <c r="R2" s="12">
        <f t="shared" si="1"/>
        <v>0.2</v>
      </c>
    </row>
    <row r="3">
      <c r="A3" s="4" t="s">
        <v>17</v>
      </c>
      <c r="B3" s="4" t="s">
        <v>3</v>
      </c>
      <c r="C3" s="4">
        <v>2.0</v>
      </c>
      <c r="D3" s="4">
        <v>8.0</v>
      </c>
      <c r="E3" s="4">
        <v>0.0</v>
      </c>
      <c r="F3" s="4">
        <v>1.0</v>
      </c>
      <c r="H3" s="4">
        <v>2.0</v>
      </c>
      <c r="I3" s="4">
        <v>7.0</v>
      </c>
      <c r="J3" s="4">
        <v>10.0</v>
      </c>
      <c r="K3" s="4">
        <v>8.0</v>
      </c>
      <c r="L3" s="4">
        <v>5.0</v>
      </c>
      <c r="N3" s="4">
        <f t="shared" si="2"/>
        <v>2</v>
      </c>
      <c r="O3" s="12">
        <f t="shared" ref="O3:R3" si="3">I3/20</f>
        <v>0.35</v>
      </c>
      <c r="P3" s="12">
        <f t="shared" si="3"/>
        <v>0.5</v>
      </c>
      <c r="Q3" s="12">
        <f t="shared" si="3"/>
        <v>0.4</v>
      </c>
      <c r="R3" s="12">
        <f t="shared" si="3"/>
        <v>0.25</v>
      </c>
    </row>
    <row r="4">
      <c r="A4" s="4" t="s">
        <v>17</v>
      </c>
      <c r="B4" s="4" t="s">
        <v>3</v>
      </c>
      <c r="C4" s="4">
        <v>3.0</v>
      </c>
      <c r="D4" s="4">
        <v>7.0</v>
      </c>
      <c r="E4" s="4">
        <v>1.0</v>
      </c>
      <c r="F4" s="4">
        <v>1.0</v>
      </c>
      <c r="H4" s="4">
        <v>3.0</v>
      </c>
      <c r="I4" s="4">
        <v>7.0</v>
      </c>
      <c r="J4" s="4">
        <v>10.0</v>
      </c>
      <c r="K4" s="4">
        <v>10.0</v>
      </c>
      <c r="L4" s="4">
        <v>6.0</v>
      </c>
      <c r="N4" s="4">
        <f t="shared" si="2"/>
        <v>3</v>
      </c>
      <c r="O4" s="12">
        <f t="shared" ref="O4:R4" si="4">I4/20</f>
        <v>0.35</v>
      </c>
      <c r="P4" s="12">
        <f t="shared" si="4"/>
        <v>0.5</v>
      </c>
      <c r="Q4" s="12">
        <f t="shared" si="4"/>
        <v>0.5</v>
      </c>
      <c r="R4" s="12">
        <f t="shared" si="4"/>
        <v>0.3</v>
      </c>
    </row>
    <row r="5">
      <c r="A5" s="4" t="s">
        <v>17</v>
      </c>
      <c r="B5" s="4" t="s">
        <v>3</v>
      </c>
      <c r="C5" s="4">
        <v>4.0</v>
      </c>
      <c r="D5" s="4">
        <v>4.0</v>
      </c>
      <c r="E5" s="4">
        <v>0.0</v>
      </c>
      <c r="F5" s="4">
        <v>1.0</v>
      </c>
      <c r="H5" s="4">
        <v>4.0</v>
      </c>
      <c r="I5" s="4">
        <v>8.0</v>
      </c>
      <c r="J5" s="4">
        <v>10.0</v>
      </c>
      <c r="K5" s="4">
        <v>10.0</v>
      </c>
      <c r="L5" s="4">
        <v>6.0</v>
      </c>
      <c r="N5" s="4">
        <f t="shared" si="2"/>
        <v>4</v>
      </c>
      <c r="O5" s="12">
        <f t="shared" ref="O5:R5" si="5">I5/20</f>
        <v>0.4</v>
      </c>
      <c r="P5" s="12">
        <f t="shared" si="5"/>
        <v>0.5</v>
      </c>
      <c r="Q5" s="12">
        <f t="shared" si="5"/>
        <v>0.5</v>
      </c>
      <c r="R5" s="12">
        <f t="shared" si="5"/>
        <v>0.3</v>
      </c>
      <c r="T5" s="15" t="s">
        <v>182</v>
      </c>
      <c r="U5" s="15">
        <v>10.0</v>
      </c>
    </row>
    <row r="6">
      <c r="A6" s="4" t="s">
        <v>17</v>
      </c>
      <c r="B6" s="4" t="s">
        <v>3</v>
      </c>
      <c r="C6" s="4">
        <v>5.0</v>
      </c>
      <c r="D6" s="4">
        <v>3.0</v>
      </c>
      <c r="E6" s="4">
        <v>0.0</v>
      </c>
      <c r="F6" s="4">
        <v>1.0</v>
      </c>
      <c r="H6" s="4">
        <v>5.0</v>
      </c>
      <c r="I6" s="4">
        <v>10.0</v>
      </c>
      <c r="J6" s="4">
        <v>10.0</v>
      </c>
      <c r="K6" s="4">
        <v>10.0</v>
      </c>
      <c r="L6" s="4">
        <v>6.0</v>
      </c>
      <c r="N6" s="4">
        <f t="shared" si="2"/>
        <v>5</v>
      </c>
      <c r="O6" s="12">
        <f t="shared" ref="O6:R6" si="6">I6/20</f>
        <v>0.5</v>
      </c>
      <c r="P6" s="12">
        <f t="shared" si="6"/>
        <v>0.5</v>
      </c>
      <c r="Q6" s="12">
        <f t="shared" si="6"/>
        <v>0.5</v>
      </c>
      <c r="R6" s="12">
        <f t="shared" si="6"/>
        <v>0.3</v>
      </c>
    </row>
    <row r="7">
      <c r="A7" s="4" t="s">
        <v>17</v>
      </c>
      <c r="B7" s="4" t="s">
        <v>4</v>
      </c>
      <c r="C7" s="4">
        <v>1.0</v>
      </c>
      <c r="D7" s="4">
        <v>7.0</v>
      </c>
      <c r="E7" s="4">
        <v>1.0</v>
      </c>
      <c r="F7" s="4">
        <v>1.0</v>
      </c>
    </row>
    <row r="8">
      <c r="A8" s="4" t="s">
        <v>17</v>
      </c>
      <c r="B8" s="4" t="s">
        <v>4</v>
      </c>
      <c r="C8" s="4">
        <v>2.0</v>
      </c>
      <c r="D8" s="4">
        <v>6.0</v>
      </c>
      <c r="E8" s="4">
        <v>1.0</v>
      </c>
      <c r="F8" s="4">
        <v>1.0</v>
      </c>
    </row>
    <row r="9">
      <c r="A9" s="4" t="s">
        <v>17</v>
      </c>
      <c r="B9" s="4" t="s">
        <v>4</v>
      </c>
      <c r="C9" s="4">
        <v>3.0</v>
      </c>
      <c r="D9" s="4">
        <v>4.0</v>
      </c>
      <c r="E9" s="4">
        <v>0.0</v>
      </c>
      <c r="F9" s="4">
        <v>1.0</v>
      </c>
      <c r="T9" s="15" t="s">
        <v>202</v>
      </c>
      <c r="W9" s="15" t="s">
        <v>203</v>
      </c>
    </row>
    <row r="10">
      <c r="A10" s="4" t="s">
        <v>17</v>
      </c>
      <c r="B10" s="4" t="s">
        <v>4</v>
      </c>
      <c r="C10" s="4">
        <v>4.0</v>
      </c>
      <c r="D10" s="4">
        <v>5.0</v>
      </c>
      <c r="E10" s="4">
        <v>0.0</v>
      </c>
      <c r="F10" s="4">
        <v>1.0</v>
      </c>
      <c r="T10" s="15" t="s">
        <v>206</v>
      </c>
      <c r="W10" s="15">
        <v>7.0</v>
      </c>
      <c r="Y10" s="15" t="s">
        <v>207</v>
      </c>
    </row>
    <row r="11">
      <c r="A11" s="4" t="s">
        <v>17</v>
      </c>
      <c r="B11" s="4" t="s">
        <v>4</v>
      </c>
      <c r="C11" s="4">
        <v>5.0</v>
      </c>
      <c r="D11" s="4">
        <v>8.0</v>
      </c>
      <c r="E11" s="4">
        <v>0.0</v>
      </c>
      <c r="F11" s="4">
        <v>1.0</v>
      </c>
      <c r="T11" s="15" t="s">
        <v>210</v>
      </c>
      <c r="W11" s="15">
        <v>8.0</v>
      </c>
    </row>
    <row r="12">
      <c r="A12" s="4" t="s">
        <v>17</v>
      </c>
      <c r="B12" s="4" t="s">
        <v>6</v>
      </c>
      <c r="C12" s="4">
        <v>1.0</v>
      </c>
      <c r="D12" s="4">
        <v>7.0</v>
      </c>
      <c r="E12" s="4">
        <v>1.0</v>
      </c>
      <c r="F12" s="4">
        <v>1.0</v>
      </c>
      <c r="T12" s="15" t="s">
        <v>219</v>
      </c>
      <c r="W12" s="15">
        <v>7.0</v>
      </c>
    </row>
    <row r="13">
      <c r="A13" s="4" t="s">
        <v>17</v>
      </c>
      <c r="B13" s="4" t="s">
        <v>6</v>
      </c>
      <c r="C13" s="4">
        <v>2.0</v>
      </c>
      <c r="D13" s="4">
        <v>6.0</v>
      </c>
      <c r="E13" s="4">
        <v>1.0</v>
      </c>
      <c r="F13" s="4">
        <v>1.0</v>
      </c>
      <c r="T13" s="15" t="s">
        <v>222</v>
      </c>
      <c r="W13" s="15">
        <v>7.0</v>
      </c>
    </row>
    <row r="14">
      <c r="A14" s="4" t="s">
        <v>17</v>
      </c>
      <c r="B14" s="4" t="s">
        <v>6</v>
      </c>
      <c r="C14" s="4">
        <v>3.0</v>
      </c>
      <c r="D14" s="4">
        <v>4.0</v>
      </c>
      <c r="E14" s="4">
        <v>0.0</v>
      </c>
      <c r="F14" s="4">
        <v>1.0</v>
      </c>
      <c r="T14" s="15" t="s">
        <v>227</v>
      </c>
      <c r="W14" s="15">
        <v>7.0</v>
      </c>
    </row>
    <row r="15">
      <c r="A15" s="4" t="s">
        <v>17</v>
      </c>
      <c r="B15" s="4" t="s">
        <v>6</v>
      </c>
      <c r="C15" s="4">
        <v>4.0</v>
      </c>
      <c r="D15" s="4">
        <v>5.0</v>
      </c>
      <c r="E15" s="4">
        <v>0.0</v>
      </c>
      <c r="F15" s="4">
        <v>1.0</v>
      </c>
    </row>
    <row r="16">
      <c r="A16" s="4" t="s">
        <v>17</v>
      </c>
      <c r="B16" s="4" t="s">
        <v>6</v>
      </c>
      <c r="C16" s="4">
        <v>5.0</v>
      </c>
      <c r="D16" s="4">
        <v>8.0</v>
      </c>
      <c r="E16" s="4">
        <v>0.0</v>
      </c>
      <c r="F16" s="4">
        <v>1.0</v>
      </c>
    </row>
    <row r="17">
      <c r="A17" s="4" t="s">
        <v>17</v>
      </c>
      <c r="B17" s="4" t="s">
        <v>8</v>
      </c>
      <c r="C17" s="4">
        <v>1.0</v>
      </c>
      <c r="D17" s="4">
        <v>2.0</v>
      </c>
      <c r="E17" s="4">
        <v>0.0</v>
      </c>
      <c r="F17" s="4">
        <v>0.0</v>
      </c>
    </row>
    <row r="18">
      <c r="A18" s="4" t="s">
        <v>17</v>
      </c>
      <c r="B18" s="4" t="s">
        <v>8</v>
      </c>
      <c r="C18" s="4">
        <v>2.0</v>
      </c>
      <c r="D18" s="4">
        <v>6.0</v>
      </c>
      <c r="E18" s="4">
        <v>1.0</v>
      </c>
      <c r="F18" s="4">
        <v>1.0</v>
      </c>
    </row>
    <row r="19">
      <c r="A19" s="4" t="s">
        <v>17</v>
      </c>
      <c r="B19" s="4" t="s">
        <v>8</v>
      </c>
      <c r="C19" s="4">
        <v>3.0</v>
      </c>
      <c r="D19" s="4">
        <v>7.0</v>
      </c>
      <c r="E19" s="4">
        <v>1.0</v>
      </c>
      <c r="F19" s="4">
        <v>1.0</v>
      </c>
    </row>
    <row r="20">
      <c r="A20" s="4" t="s">
        <v>17</v>
      </c>
      <c r="B20" s="4" t="s">
        <v>8</v>
      </c>
      <c r="C20" s="4">
        <v>4.0</v>
      </c>
      <c r="D20" s="4">
        <v>8.0</v>
      </c>
      <c r="E20" s="4">
        <v>0.0</v>
      </c>
      <c r="F20" s="4">
        <v>1.0</v>
      </c>
    </row>
    <row r="21" ht="15.75" customHeight="1">
      <c r="A21" s="4" t="s">
        <v>17</v>
      </c>
      <c r="B21" s="4" t="s">
        <v>8</v>
      </c>
      <c r="C21" s="4">
        <v>5.0</v>
      </c>
      <c r="D21" s="4">
        <v>9.0</v>
      </c>
      <c r="E21" s="4">
        <v>0.0</v>
      </c>
      <c r="F21" s="4">
        <v>1.0</v>
      </c>
    </row>
    <row r="22" ht="15.75" customHeight="1">
      <c r="A22" s="4" t="s">
        <v>49</v>
      </c>
      <c r="B22" s="4" t="s">
        <v>3</v>
      </c>
      <c r="C22" s="4">
        <v>1.0</v>
      </c>
      <c r="D22" s="4">
        <v>62.0</v>
      </c>
      <c r="E22" s="4">
        <v>0.0</v>
      </c>
      <c r="F22" s="4">
        <v>0.0</v>
      </c>
    </row>
    <row r="23" ht="15.75" customHeight="1">
      <c r="A23" s="4" t="s">
        <v>49</v>
      </c>
      <c r="B23" s="4" t="s">
        <v>3</v>
      </c>
      <c r="C23" s="4">
        <v>2.0</v>
      </c>
      <c r="D23" s="4">
        <v>50.0</v>
      </c>
      <c r="E23" s="4">
        <v>0.0</v>
      </c>
      <c r="F23" s="4">
        <v>0.0</v>
      </c>
    </row>
    <row r="24" ht="15.75" customHeight="1">
      <c r="A24" s="4" t="s">
        <v>49</v>
      </c>
      <c r="B24" s="4" t="s">
        <v>3</v>
      </c>
      <c r="C24" s="4">
        <v>3.0</v>
      </c>
      <c r="D24" s="4">
        <v>58.0</v>
      </c>
      <c r="E24" s="4">
        <v>0.0</v>
      </c>
      <c r="F24" s="4">
        <v>0.0</v>
      </c>
    </row>
    <row r="25" ht="15.75" customHeight="1">
      <c r="A25" s="4" t="s">
        <v>49</v>
      </c>
      <c r="B25" s="4" t="s">
        <v>3</v>
      </c>
      <c r="C25" s="4">
        <v>4.0</v>
      </c>
      <c r="D25" s="4">
        <v>64.0</v>
      </c>
      <c r="E25" s="4">
        <v>0.0</v>
      </c>
      <c r="F25" s="4">
        <v>0.0</v>
      </c>
    </row>
    <row r="26" ht="15.75" customHeight="1">
      <c r="A26" s="4" t="s">
        <v>49</v>
      </c>
      <c r="B26" s="4" t="s">
        <v>3</v>
      </c>
      <c r="C26" s="4">
        <v>5.0</v>
      </c>
      <c r="D26" s="4">
        <v>65.0</v>
      </c>
      <c r="E26" s="4">
        <v>0.0</v>
      </c>
      <c r="F26" s="4">
        <v>0.0</v>
      </c>
    </row>
    <row r="27" ht="15.75" customHeight="1">
      <c r="A27" s="4" t="s">
        <v>49</v>
      </c>
      <c r="B27" s="4" t="s">
        <v>4</v>
      </c>
      <c r="C27" s="4">
        <v>1.0</v>
      </c>
      <c r="D27" s="4">
        <v>12.0</v>
      </c>
      <c r="E27" s="4">
        <v>0.0</v>
      </c>
      <c r="F27" s="4">
        <v>0.0</v>
      </c>
    </row>
    <row r="28" ht="15.75" customHeight="1">
      <c r="A28" s="4" t="s">
        <v>49</v>
      </c>
      <c r="B28" s="4" t="s">
        <v>4</v>
      </c>
      <c r="C28" s="4">
        <v>2.0</v>
      </c>
      <c r="D28" s="4">
        <v>66.0</v>
      </c>
      <c r="E28" s="4">
        <v>0.0</v>
      </c>
      <c r="F28" s="4">
        <v>0.0</v>
      </c>
    </row>
    <row r="29" ht="15.75" customHeight="1">
      <c r="A29" s="4" t="s">
        <v>49</v>
      </c>
      <c r="B29" s="4" t="s">
        <v>4</v>
      </c>
      <c r="C29" s="4">
        <v>3.0</v>
      </c>
      <c r="D29" s="4">
        <v>15.0</v>
      </c>
      <c r="E29" s="4">
        <v>0.0</v>
      </c>
      <c r="F29" s="4">
        <v>0.0</v>
      </c>
    </row>
    <row r="30" ht="15.75" customHeight="1">
      <c r="A30" s="4" t="s">
        <v>49</v>
      </c>
      <c r="B30" s="4" t="s">
        <v>4</v>
      </c>
      <c r="C30" s="4">
        <v>4.0</v>
      </c>
      <c r="D30" s="4">
        <v>5.0</v>
      </c>
      <c r="E30" s="4">
        <v>0.0</v>
      </c>
      <c r="F30" s="4">
        <v>0.0</v>
      </c>
    </row>
    <row r="31" ht="15.75" customHeight="1">
      <c r="A31" s="4" t="s">
        <v>49</v>
      </c>
      <c r="B31" s="4" t="s">
        <v>4</v>
      </c>
      <c r="C31" s="4">
        <v>5.0</v>
      </c>
      <c r="D31" s="4">
        <v>67.0</v>
      </c>
      <c r="E31" s="4">
        <v>0.0</v>
      </c>
      <c r="F31" s="4">
        <v>0.0</v>
      </c>
    </row>
    <row r="32" ht="15.75" customHeight="1">
      <c r="A32" s="4" t="s">
        <v>49</v>
      </c>
      <c r="B32" s="4" t="s">
        <v>6</v>
      </c>
      <c r="C32" s="4">
        <v>1.0</v>
      </c>
      <c r="D32" s="4">
        <v>12.0</v>
      </c>
      <c r="E32" s="4">
        <v>0.0</v>
      </c>
      <c r="F32" s="4">
        <v>0.0</v>
      </c>
    </row>
    <row r="33" ht="15.75" customHeight="1">
      <c r="A33" s="4" t="s">
        <v>49</v>
      </c>
      <c r="B33" s="4" t="s">
        <v>6</v>
      </c>
      <c r="C33" s="4">
        <v>2.0</v>
      </c>
      <c r="D33" s="4">
        <v>67.0</v>
      </c>
      <c r="E33" s="4">
        <v>0.0</v>
      </c>
      <c r="F33" s="4">
        <v>0.0</v>
      </c>
    </row>
    <row r="34" ht="15.75" customHeight="1">
      <c r="A34" s="4" t="s">
        <v>49</v>
      </c>
      <c r="B34" s="4" t="s">
        <v>6</v>
      </c>
      <c r="C34" s="4">
        <v>3.0</v>
      </c>
      <c r="D34" s="4">
        <v>58.0</v>
      </c>
      <c r="E34" s="4">
        <v>0.0</v>
      </c>
      <c r="F34" s="4">
        <v>0.0</v>
      </c>
    </row>
    <row r="35" ht="15.75" customHeight="1">
      <c r="A35" s="4" t="s">
        <v>49</v>
      </c>
      <c r="B35" s="4" t="s">
        <v>6</v>
      </c>
      <c r="C35" s="4">
        <v>4.0</v>
      </c>
      <c r="D35" s="4">
        <v>66.0</v>
      </c>
      <c r="E35" s="4">
        <v>0.0</v>
      </c>
      <c r="F35" s="4">
        <v>0.0</v>
      </c>
    </row>
    <row r="36" ht="15.75" customHeight="1">
      <c r="A36" s="4" t="s">
        <v>49</v>
      </c>
      <c r="B36" s="4" t="s">
        <v>6</v>
      </c>
      <c r="C36" s="4">
        <v>5.0</v>
      </c>
      <c r="D36" s="4">
        <v>13.0</v>
      </c>
      <c r="E36" s="4">
        <v>0.0</v>
      </c>
      <c r="F36" s="4">
        <v>0.0</v>
      </c>
    </row>
    <row r="37" ht="15.75" customHeight="1">
      <c r="A37" s="4" t="s">
        <v>49</v>
      </c>
      <c r="B37" s="4" t="s">
        <v>8</v>
      </c>
      <c r="C37" s="4">
        <v>1.0</v>
      </c>
      <c r="D37" s="4">
        <v>25.0</v>
      </c>
      <c r="E37" s="4">
        <v>0.0</v>
      </c>
      <c r="F37" s="4">
        <v>0.0</v>
      </c>
    </row>
    <row r="38" ht="15.75" customHeight="1">
      <c r="A38" s="4" t="s">
        <v>49</v>
      </c>
      <c r="B38" s="4" t="s">
        <v>8</v>
      </c>
      <c r="C38" s="4">
        <v>2.0</v>
      </c>
      <c r="D38" s="4">
        <v>46.0</v>
      </c>
      <c r="E38" s="4">
        <v>0.0</v>
      </c>
      <c r="F38" s="4">
        <v>0.0</v>
      </c>
    </row>
    <row r="39" ht="15.75" customHeight="1">
      <c r="A39" s="4" t="s">
        <v>49</v>
      </c>
      <c r="B39" s="4" t="s">
        <v>8</v>
      </c>
      <c r="C39" s="4">
        <v>3.0</v>
      </c>
      <c r="D39" s="4">
        <v>58.0</v>
      </c>
      <c r="E39" s="4">
        <v>0.0</v>
      </c>
      <c r="F39" s="4">
        <v>0.0</v>
      </c>
    </row>
    <row r="40" ht="15.75" customHeight="1">
      <c r="A40" s="4" t="s">
        <v>49</v>
      </c>
      <c r="B40" s="4" t="s">
        <v>8</v>
      </c>
      <c r="C40" s="4">
        <v>4.0</v>
      </c>
      <c r="D40" s="4">
        <v>65.0</v>
      </c>
      <c r="E40" s="4">
        <v>0.0</v>
      </c>
      <c r="F40" s="4">
        <v>0.0</v>
      </c>
    </row>
    <row r="41" ht="15.75" customHeight="1">
      <c r="A41" s="4" t="s">
        <v>49</v>
      </c>
      <c r="B41" s="4" t="s">
        <v>8</v>
      </c>
      <c r="C41" s="4">
        <v>5.0</v>
      </c>
      <c r="D41" s="4">
        <v>73.0</v>
      </c>
      <c r="E41" s="4">
        <v>0.0</v>
      </c>
      <c r="F41" s="4">
        <v>0.0</v>
      </c>
    </row>
    <row r="42" ht="15.75" customHeight="1">
      <c r="A42" s="4" t="s">
        <v>50</v>
      </c>
      <c r="B42" s="4" t="s">
        <v>3</v>
      </c>
      <c r="C42" s="4">
        <v>1.0</v>
      </c>
      <c r="D42" s="4">
        <v>137.0</v>
      </c>
      <c r="E42" s="4">
        <v>0.0</v>
      </c>
      <c r="F42" s="4">
        <v>0.0</v>
      </c>
    </row>
    <row r="43" ht="15.75" customHeight="1">
      <c r="A43" s="4" t="s">
        <v>50</v>
      </c>
      <c r="B43" s="4" t="s">
        <v>3</v>
      </c>
      <c r="C43" s="4">
        <v>2.0</v>
      </c>
      <c r="D43" s="4">
        <v>34.0</v>
      </c>
      <c r="E43" s="4">
        <v>0.0</v>
      </c>
      <c r="F43" s="4">
        <v>0.0</v>
      </c>
    </row>
    <row r="44" ht="15.75" customHeight="1">
      <c r="A44" s="4" t="s">
        <v>50</v>
      </c>
      <c r="B44" s="4" t="s">
        <v>3</v>
      </c>
      <c r="C44" s="4">
        <v>3.0</v>
      </c>
      <c r="D44" s="4">
        <v>28.0</v>
      </c>
      <c r="E44" s="4">
        <v>0.0</v>
      </c>
      <c r="F44" s="4">
        <v>0.0</v>
      </c>
    </row>
    <row r="45" ht="15.75" customHeight="1">
      <c r="A45" s="4" t="s">
        <v>50</v>
      </c>
      <c r="B45" s="4" t="s">
        <v>3</v>
      </c>
      <c r="C45" s="4">
        <v>4.0</v>
      </c>
      <c r="D45" s="4">
        <v>111.0</v>
      </c>
      <c r="E45" s="4">
        <v>0.0</v>
      </c>
      <c r="F45" s="4">
        <v>0.0</v>
      </c>
    </row>
    <row r="46" ht="15.75" customHeight="1">
      <c r="A46" s="4" t="s">
        <v>50</v>
      </c>
      <c r="B46" s="4" t="s">
        <v>3</v>
      </c>
      <c r="C46" s="4">
        <v>5.0</v>
      </c>
      <c r="D46" s="4">
        <v>15.0</v>
      </c>
      <c r="E46" s="4">
        <v>0.0</v>
      </c>
      <c r="F46" s="4">
        <v>0.0</v>
      </c>
    </row>
    <row r="47" ht="15.75" customHeight="1">
      <c r="A47" s="4" t="s">
        <v>50</v>
      </c>
      <c r="B47" s="4" t="s">
        <v>4</v>
      </c>
      <c r="C47" s="4">
        <v>1.0</v>
      </c>
      <c r="D47" s="4">
        <v>111.0</v>
      </c>
      <c r="E47" s="4">
        <v>0.0</v>
      </c>
      <c r="F47" s="4">
        <v>0.0</v>
      </c>
    </row>
    <row r="48" ht="15.75" customHeight="1">
      <c r="A48" s="4" t="s">
        <v>50</v>
      </c>
      <c r="B48" s="4" t="s">
        <v>4</v>
      </c>
      <c r="C48" s="4">
        <v>2.0</v>
      </c>
      <c r="D48" s="4">
        <v>120.0</v>
      </c>
      <c r="E48" s="4">
        <v>0.0</v>
      </c>
      <c r="F48" s="4">
        <v>0.0</v>
      </c>
    </row>
    <row r="49" ht="15.75" customHeight="1">
      <c r="A49" s="4" t="s">
        <v>50</v>
      </c>
      <c r="B49" s="4" t="s">
        <v>4</v>
      </c>
      <c r="C49" s="4">
        <v>3.0</v>
      </c>
      <c r="D49" s="4">
        <v>128.0</v>
      </c>
      <c r="E49" s="4">
        <v>0.0</v>
      </c>
      <c r="F49" s="4">
        <v>0.0</v>
      </c>
    </row>
    <row r="50" ht="15.75" customHeight="1">
      <c r="A50" s="4" t="s">
        <v>50</v>
      </c>
      <c r="B50" s="4" t="s">
        <v>4</v>
      </c>
      <c r="C50" s="4">
        <v>4.0</v>
      </c>
      <c r="D50" s="4">
        <v>26.0</v>
      </c>
      <c r="E50" s="4">
        <v>0.0</v>
      </c>
      <c r="F50" s="4">
        <v>0.0</v>
      </c>
    </row>
    <row r="51" ht="15.75" customHeight="1">
      <c r="A51" s="4" t="s">
        <v>50</v>
      </c>
      <c r="B51" s="4" t="s">
        <v>4</v>
      </c>
      <c r="C51" s="4">
        <v>5.0</v>
      </c>
      <c r="D51" s="4">
        <v>4.0</v>
      </c>
      <c r="E51" s="4">
        <v>0.0</v>
      </c>
      <c r="F51" s="4">
        <v>0.0</v>
      </c>
    </row>
    <row r="52" ht="15.75" customHeight="1">
      <c r="A52" s="4" t="s">
        <v>50</v>
      </c>
      <c r="B52" s="4" t="s">
        <v>6</v>
      </c>
      <c r="C52" s="4">
        <v>1.0</v>
      </c>
      <c r="D52" s="4">
        <v>111.0</v>
      </c>
      <c r="E52" s="4">
        <v>0.0</v>
      </c>
      <c r="F52" s="4">
        <v>0.0</v>
      </c>
    </row>
    <row r="53" ht="15.75" customHeight="1">
      <c r="A53" s="4" t="s">
        <v>50</v>
      </c>
      <c r="B53" s="4" t="s">
        <v>6</v>
      </c>
      <c r="C53" s="4">
        <v>2.0</v>
      </c>
      <c r="D53" s="4">
        <v>120.0</v>
      </c>
      <c r="E53" s="4">
        <v>0.0</v>
      </c>
      <c r="F53" s="4">
        <v>0.0</v>
      </c>
    </row>
    <row r="54" ht="15.75" customHeight="1">
      <c r="A54" s="4" t="s">
        <v>50</v>
      </c>
      <c r="B54" s="4" t="s">
        <v>6</v>
      </c>
      <c r="C54" s="4">
        <v>3.0</v>
      </c>
      <c r="D54" s="4">
        <v>128.0</v>
      </c>
      <c r="E54" s="4">
        <v>0.0</v>
      </c>
      <c r="F54" s="4">
        <v>0.0</v>
      </c>
    </row>
    <row r="55" ht="15.75" customHeight="1">
      <c r="A55" s="4" t="s">
        <v>50</v>
      </c>
      <c r="B55" s="4" t="s">
        <v>6</v>
      </c>
      <c r="C55" s="4">
        <v>4.0</v>
      </c>
      <c r="D55" s="4">
        <v>4.0</v>
      </c>
      <c r="E55" s="4">
        <v>0.0</v>
      </c>
      <c r="F55" s="4">
        <v>0.0</v>
      </c>
    </row>
    <row r="56" ht="15.75" customHeight="1">
      <c r="A56" s="4" t="s">
        <v>50</v>
      </c>
      <c r="B56" s="4" t="s">
        <v>6</v>
      </c>
      <c r="C56" s="4">
        <v>5.0</v>
      </c>
      <c r="D56" s="4">
        <v>26.0</v>
      </c>
      <c r="E56" s="4">
        <v>0.0</v>
      </c>
      <c r="F56" s="4">
        <v>0.0</v>
      </c>
    </row>
    <row r="57" ht="15.75" customHeight="1">
      <c r="A57" s="4" t="s">
        <v>50</v>
      </c>
      <c r="B57" s="4" t="s">
        <v>8</v>
      </c>
      <c r="C57" s="4">
        <v>1.0</v>
      </c>
      <c r="D57" s="4">
        <v>37.0</v>
      </c>
      <c r="E57" s="4">
        <v>0.0</v>
      </c>
      <c r="F57" s="4">
        <v>0.0</v>
      </c>
    </row>
    <row r="58" ht="15.75" customHeight="1">
      <c r="A58" s="4" t="s">
        <v>50</v>
      </c>
      <c r="B58" s="4" t="s">
        <v>8</v>
      </c>
      <c r="C58" s="4">
        <v>2.0</v>
      </c>
      <c r="D58" s="4">
        <v>63.0</v>
      </c>
      <c r="E58" s="4">
        <v>0.0</v>
      </c>
      <c r="F58" s="4">
        <v>0.0</v>
      </c>
    </row>
    <row r="59" ht="15.75" customHeight="1">
      <c r="A59" s="4" t="s">
        <v>50</v>
      </c>
      <c r="B59" s="4" t="s">
        <v>8</v>
      </c>
      <c r="C59" s="4">
        <v>3.0</v>
      </c>
      <c r="D59" s="4">
        <v>73.0</v>
      </c>
      <c r="E59" s="4">
        <v>0.0</v>
      </c>
      <c r="F59" s="4">
        <v>0.0</v>
      </c>
    </row>
    <row r="60" ht="15.75" customHeight="1">
      <c r="A60" s="4" t="s">
        <v>50</v>
      </c>
      <c r="B60" s="4" t="s">
        <v>8</v>
      </c>
      <c r="C60" s="4">
        <v>4.0</v>
      </c>
      <c r="D60" s="4">
        <v>84.0</v>
      </c>
      <c r="E60" s="4">
        <v>0.0</v>
      </c>
      <c r="F60" s="4">
        <v>0.0</v>
      </c>
    </row>
    <row r="61" ht="15.75" customHeight="1">
      <c r="A61" s="4" t="s">
        <v>50</v>
      </c>
      <c r="B61" s="4" t="s">
        <v>8</v>
      </c>
      <c r="C61" s="4">
        <v>5.0</v>
      </c>
      <c r="D61" s="4">
        <v>100.0</v>
      </c>
      <c r="E61" s="4">
        <v>0.0</v>
      </c>
      <c r="F61" s="4">
        <v>0.0</v>
      </c>
    </row>
    <row r="62" ht="15.75" customHeight="1">
      <c r="A62" s="4" t="s">
        <v>51</v>
      </c>
      <c r="B62" s="4" t="s">
        <v>3</v>
      </c>
      <c r="C62" s="4">
        <v>1.0</v>
      </c>
      <c r="D62" s="4">
        <v>11.0</v>
      </c>
      <c r="E62" s="4">
        <v>1.0</v>
      </c>
      <c r="F62" s="4">
        <v>1.0</v>
      </c>
    </row>
    <row r="63" ht="15.75" customHeight="1">
      <c r="A63" s="4" t="s">
        <v>51</v>
      </c>
      <c r="B63" s="4" t="s">
        <v>3</v>
      </c>
      <c r="C63" s="4">
        <v>2.0</v>
      </c>
      <c r="D63" s="4">
        <v>3.0</v>
      </c>
      <c r="E63" s="4">
        <v>1.0</v>
      </c>
      <c r="F63" s="4">
        <v>1.0</v>
      </c>
    </row>
    <row r="64" ht="15.75" customHeight="1">
      <c r="A64" s="4" t="s">
        <v>51</v>
      </c>
      <c r="B64" s="4" t="s">
        <v>3</v>
      </c>
      <c r="C64" s="4">
        <v>3.0</v>
      </c>
      <c r="D64" s="4">
        <v>9.0</v>
      </c>
      <c r="E64" s="4">
        <v>1.0</v>
      </c>
      <c r="F64" s="4">
        <v>1.0</v>
      </c>
    </row>
    <row r="65" ht="15.75" customHeight="1">
      <c r="A65" s="4" t="s">
        <v>51</v>
      </c>
      <c r="B65" s="4" t="s">
        <v>3</v>
      </c>
      <c r="C65" s="4">
        <v>4.0</v>
      </c>
      <c r="D65" s="4">
        <v>10.0</v>
      </c>
      <c r="E65" s="4">
        <v>0.0</v>
      </c>
      <c r="F65" s="4">
        <v>1.0</v>
      </c>
    </row>
    <row r="66" ht="15.75" customHeight="1">
      <c r="A66" s="4" t="s">
        <v>51</v>
      </c>
      <c r="B66" s="4" t="s">
        <v>3</v>
      </c>
      <c r="C66" s="4">
        <v>5.0</v>
      </c>
      <c r="D66" s="4">
        <v>6.0</v>
      </c>
      <c r="E66" s="4">
        <v>1.0</v>
      </c>
      <c r="F66" s="4">
        <v>1.0</v>
      </c>
    </row>
    <row r="67" ht="15.75" customHeight="1">
      <c r="A67" s="4" t="s">
        <v>51</v>
      </c>
      <c r="B67" s="4" t="s">
        <v>4</v>
      </c>
      <c r="C67" s="4">
        <v>1.0</v>
      </c>
      <c r="D67" s="4">
        <v>9.0</v>
      </c>
      <c r="E67" s="4">
        <v>1.0</v>
      </c>
      <c r="F67" s="4">
        <v>1.0</v>
      </c>
    </row>
    <row r="68" ht="15.75" customHeight="1">
      <c r="A68" s="4" t="s">
        <v>51</v>
      </c>
      <c r="B68" s="4" t="s">
        <v>4</v>
      </c>
      <c r="C68" s="4">
        <v>2.0</v>
      </c>
      <c r="D68" s="4">
        <v>3.0</v>
      </c>
      <c r="E68" s="4">
        <v>1.0</v>
      </c>
      <c r="F68" s="4">
        <v>1.0</v>
      </c>
    </row>
    <row r="69" ht="15.75" customHeight="1">
      <c r="A69" s="4" t="s">
        <v>51</v>
      </c>
      <c r="B69" s="4" t="s">
        <v>4</v>
      </c>
      <c r="C69" s="4">
        <v>3.0</v>
      </c>
      <c r="D69" s="4">
        <v>10.0</v>
      </c>
      <c r="E69" s="4">
        <v>0.0</v>
      </c>
      <c r="F69" s="4">
        <v>1.0</v>
      </c>
    </row>
    <row r="70" ht="15.75" customHeight="1">
      <c r="A70" s="4" t="s">
        <v>51</v>
      </c>
      <c r="B70" s="4" t="s">
        <v>4</v>
      </c>
      <c r="C70" s="4">
        <v>4.0</v>
      </c>
      <c r="D70" s="4">
        <v>11.0</v>
      </c>
      <c r="E70" s="4">
        <v>1.0</v>
      </c>
      <c r="F70" s="4">
        <v>1.0</v>
      </c>
    </row>
    <row r="71" ht="15.75" customHeight="1">
      <c r="A71" s="4" t="s">
        <v>51</v>
      </c>
      <c r="B71" s="4" t="s">
        <v>4</v>
      </c>
      <c r="C71" s="4">
        <v>5.0</v>
      </c>
      <c r="D71" s="4">
        <v>12.0</v>
      </c>
      <c r="E71" s="4">
        <v>0.0</v>
      </c>
      <c r="F71" s="4">
        <v>1.0</v>
      </c>
    </row>
    <row r="72" ht="15.75" customHeight="1">
      <c r="A72" s="4" t="s">
        <v>51</v>
      </c>
      <c r="B72" s="4" t="s">
        <v>6</v>
      </c>
      <c r="C72" s="4">
        <v>1.0</v>
      </c>
      <c r="D72" s="4">
        <v>9.0</v>
      </c>
      <c r="E72" s="4">
        <v>1.0</v>
      </c>
      <c r="F72" s="4">
        <v>1.0</v>
      </c>
    </row>
    <row r="73" ht="15.75" customHeight="1">
      <c r="A73" s="4" t="s">
        <v>51</v>
      </c>
      <c r="B73" s="4" t="s">
        <v>6</v>
      </c>
      <c r="C73" s="4">
        <v>2.0</v>
      </c>
      <c r="D73" s="4">
        <v>3.0</v>
      </c>
      <c r="E73" s="4">
        <v>1.0</v>
      </c>
      <c r="F73" s="4">
        <v>1.0</v>
      </c>
    </row>
    <row r="74" ht="15.75" customHeight="1">
      <c r="A74" s="4" t="s">
        <v>51</v>
      </c>
      <c r="B74" s="4" t="s">
        <v>6</v>
      </c>
      <c r="C74" s="4">
        <v>3.0</v>
      </c>
      <c r="D74" s="4">
        <v>10.0</v>
      </c>
      <c r="E74" s="4">
        <v>0.0</v>
      </c>
      <c r="F74" s="4">
        <v>1.0</v>
      </c>
    </row>
    <row r="75" ht="15.75" customHeight="1">
      <c r="A75" s="4" t="s">
        <v>51</v>
      </c>
      <c r="B75" s="4" t="s">
        <v>6</v>
      </c>
      <c r="C75" s="4">
        <v>4.0</v>
      </c>
      <c r="D75" s="4">
        <v>11.0</v>
      </c>
      <c r="E75" s="4">
        <v>1.0</v>
      </c>
      <c r="F75" s="4">
        <v>1.0</v>
      </c>
    </row>
    <row r="76" ht="15.75" customHeight="1">
      <c r="A76" s="4" t="s">
        <v>51</v>
      </c>
      <c r="B76" s="4" t="s">
        <v>6</v>
      </c>
      <c r="C76" s="4">
        <v>5.0</v>
      </c>
      <c r="D76" s="4">
        <v>12.0</v>
      </c>
      <c r="E76" s="4">
        <v>0.0</v>
      </c>
      <c r="F76" s="4">
        <v>1.0</v>
      </c>
    </row>
    <row r="77" ht="15.75" customHeight="1">
      <c r="A77" s="4" t="s">
        <v>51</v>
      </c>
      <c r="B77" s="4" t="s">
        <v>8</v>
      </c>
      <c r="C77" s="4">
        <v>1.0</v>
      </c>
      <c r="D77" s="4">
        <v>4.0</v>
      </c>
      <c r="E77" s="4">
        <v>0.0</v>
      </c>
      <c r="F77" s="4">
        <v>0.0</v>
      </c>
    </row>
    <row r="78" ht="15.75" customHeight="1">
      <c r="A78" s="4" t="s">
        <v>51</v>
      </c>
      <c r="B78" s="4" t="s">
        <v>8</v>
      </c>
      <c r="C78" s="4">
        <v>2.0</v>
      </c>
      <c r="D78" s="4">
        <v>5.0</v>
      </c>
      <c r="E78" s="4">
        <v>0.0</v>
      </c>
      <c r="F78" s="4">
        <v>0.0</v>
      </c>
    </row>
    <row r="79" ht="15.75" customHeight="1">
      <c r="A79" s="4" t="s">
        <v>51</v>
      </c>
      <c r="B79" s="4" t="s">
        <v>8</v>
      </c>
      <c r="C79" s="4">
        <v>3.0</v>
      </c>
      <c r="D79" s="4">
        <v>6.0</v>
      </c>
      <c r="E79" s="4">
        <v>1.0</v>
      </c>
      <c r="F79" s="4">
        <v>1.0</v>
      </c>
    </row>
    <row r="80" ht="15.75" customHeight="1">
      <c r="A80" s="4" t="s">
        <v>51</v>
      </c>
      <c r="B80" s="4" t="s">
        <v>8</v>
      </c>
      <c r="C80" s="4">
        <v>4.0</v>
      </c>
      <c r="D80" s="4">
        <v>7.0</v>
      </c>
      <c r="E80" s="4">
        <v>0.0</v>
      </c>
      <c r="F80" s="4">
        <v>1.0</v>
      </c>
    </row>
    <row r="81" ht="15.75" customHeight="1">
      <c r="A81" s="4" t="s">
        <v>51</v>
      </c>
      <c r="B81" s="4" t="s">
        <v>8</v>
      </c>
      <c r="C81" s="4">
        <v>5.0</v>
      </c>
      <c r="D81" s="4">
        <v>12.0</v>
      </c>
      <c r="E81" s="4">
        <v>0.0</v>
      </c>
      <c r="F81" s="4">
        <v>1.0</v>
      </c>
    </row>
    <row r="82" ht="15.75" customHeight="1">
      <c r="A82" s="4" t="s">
        <v>52</v>
      </c>
      <c r="B82" s="4" t="s">
        <v>3</v>
      </c>
      <c r="C82" s="4">
        <v>1.0</v>
      </c>
      <c r="D82" s="4">
        <v>34.0</v>
      </c>
      <c r="E82" s="4">
        <v>0.0</v>
      </c>
      <c r="F82" s="4">
        <v>0.0</v>
      </c>
    </row>
    <row r="83" ht="15.75" customHeight="1">
      <c r="A83" s="4" t="s">
        <v>52</v>
      </c>
      <c r="B83" s="4" t="s">
        <v>3</v>
      </c>
      <c r="C83" s="4">
        <v>2.0</v>
      </c>
      <c r="D83" s="4">
        <v>26.0</v>
      </c>
      <c r="E83" s="4">
        <v>0.0</v>
      </c>
      <c r="F83" s="4">
        <v>0.0</v>
      </c>
    </row>
    <row r="84" ht="15.75" customHeight="1">
      <c r="A84" s="4" t="s">
        <v>52</v>
      </c>
      <c r="B84" s="4" t="s">
        <v>3</v>
      </c>
      <c r="C84" s="4">
        <v>3.0</v>
      </c>
      <c r="D84" s="4">
        <v>39.0</v>
      </c>
      <c r="E84" s="4">
        <v>0.0</v>
      </c>
      <c r="F84" s="4">
        <v>0.0</v>
      </c>
    </row>
    <row r="85" ht="15.75" customHeight="1">
      <c r="A85" s="4" t="s">
        <v>52</v>
      </c>
      <c r="B85" s="4" t="s">
        <v>3</v>
      </c>
      <c r="C85" s="4">
        <v>4.0</v>
      </c>
      <c r="D85" s="4">
        <v>31.0</v>
      </c>
      <c r="E85" s="4">
        <v>0.0</v>
      </c>
      <c r="F85" s="4">
        <v>0.0</v>
      </c>
    </row>
    <row r="86" ht="15.75" customHeight="1">
      <c r="A86" s="4" t="s">
        <v>52</v>
      </c>
      <c r="B86" s="4" t="s">
        <v>3</v>
      </c>
      <c r="C86" s="4">
        <v>5.0</v>
      </c>
      <c r="D86" s="4">
        <v>14.0</v>
      </c>
      <c r="E86" s="4">
        <v>1.0</v>
      </c>
      <c r="F86" s="4">
        <v>1.0</v>
      </c>
    </row>
    <row r="87" ht="15.75" customHeight="1">
      <c r="A87" s="4" t="s">
        <v>52</v>
      </c>
      <c r="B87" s="4" t="s">
        <v>4</v>
      </c>
      <c r="C87" s="4">
        <v>1.0</v>
      </c>
      <c r="D87" s="4">
        <v>32.0</v>
      </c>
      <c r="E87" s="4">
        <v>0.0</v>
      </c>
      <c r="F87" s="4">
        <v>0.0</v>
      </c>
    </row>
    <row r="88" ht="15.75" customHeight="1">
      <c r="A88" s="4" t="s">
        <v>52</v>
      </c>
      <c r="B88" s="4" t="s">
        <v>4</v>
      </c>
      <c r="C88" s="4">
        <v>2.0</v>
      </c>
      <c r="D88" s="4">
        <v>3.0</v>
      </c>
      <c r="E88" s="4">
        <v>1.0</v>
      </c>
      <c r="F88" s="4">
        <v>1.0</v>
      </c>
    </row>
    <row r="89" ht="15.75" customHeight="1">
      <c r="A89" s="4" t="s">
        <v>52</v>
      </c>
      <c r="B89" s="4" t="s">
        <v>4</v>
      </c>
      <c r="C89" s="4">
        <v>3.0</v>
      </c>
      <c r="D89" s="4">
        <v>23.0</v>
      </c>
      <c r="E89" s="4">
        <v>0.0</v>
      </c>
      <c r="F89" s="4">
        <v>1.0</v>
      </c>
    </row>
    <row r="90" ht="15.75" customHeight="1">
      <c r="A90" s="4" t="s">
        <v>52</v>
      </c>
      <c r="B90" s="4" t="s">
        <v>4</v>
      </c>
      <c r="C90" s="4">
        <v>4.0</v>
      </c>
      <c r="D90" s="4">
        <v>34.0</v>
      </c>
      <c r="E90" s="4">
        <v>0.0</v>
      </c>
      <c r="F90" s="4">
        <v>1.0</v>
      </c>
    </row>
    <row r="91" ht="15.75" customHeight="1">
      <c r="A91" s="4" t="s">
        <v>52</v>
      </c>
      <c r="B91" s="4" t="s">
        <v>4</v>
      </c>
      <c r="C91" s="4">
        <v>5.0</v>
      </c>
      <c r="D91" s="4">
        <v>14.0</v>
      </c>
      <c r="E91" s="4">
        <v>1.0</v>
      </c>
      <c r="F91" s="4">
        <v>1.0</v>
      </c>
    </row>
    <row r="92" ht="15.75" customHeight="1">
      <c r="A92" s="4" t="s">
        <v>52</v>
      </c>
      <c r="B92" s="4" t="s">
        <v>6</v>
      </c>
      <c r="C92" s="4">
        <v>1.0</v>
      </c>
      <c r="D92" s="4">
        <v>32.0</v>
      </c>
      <c r="E92" s="4">
        <v>0.0</v>
      </c>
      <c r="F92" s="4">
        <v>0.0</v>
      </c>
    </row>
    <row r="93" ht="15.75" customHeight="1">
      <c r="A93" s="4" t="s">
        <v>52</v>
      </c>
      <c r="B93" s="4" t="s">
        <v>6</v>
      </c>
      <c r="C93" s="4">
        <v>2.0</v>
      </c>
      <c r="D93" s="4">
        <v>3.0</v>
      </c>
      <c r="E93" s="4">
        <v>1.0</v>
      </c>
      <c r="F93" s="4">
        <v>1.0</v>
      </c>
    </row>
    <row r="94" ht="15.75" customHeight="1">
      <c r="A94" s="4" t="s">
        <v>52</v>
      </c>
      <c r="B94" s="4" t="s">
        <v>6</v>
      </c>
      <c r="C94" s="4">
        <v>3.0</v>
      </c>
      <c r="D94" s="4">
        <v>34.0</v>
      </c>
      <c r="E94" s="4">
        <v>0.0</v>
      </c>
      <c r="F94" s="4">
        <v>1.0</v>
      </c>
    </row>
    <row r="95" ht="15.75" customHeight="1">
      <c r="A95" s="4" t="s">
        <v>52</v>
      </c>
      <c r="B95" s="4" t="s">
        <v>6</v>
      </c>
      <c r="C95" s="4">
        <v>4.0</v>
      </c>
      <c r="D95" s="4">
        <v>23.0</v>
      </c>
      <c r="E95" s="4">
        <v>0.0</v>
      </c>
      <c r="F95" s="4">
        <v>1.0</v>
      </c>
    </row>
    <row r="96" ht="15.75" customHeight="1">
      <c r="A96" s="4" t="s">
        <v>52</v>
      </c>
      <c r="B96" s="4" t="s">
        <v>6</v>
      </c>
      <c r="C96" s="4">
        <v>5.0</v>
      </c>
      <c r="D96" s="4">
        <v>16.0</v>
      </c>
      <c r="E96" s="4">
        <v>0.0</v>
      </c>
      <c r="F96" s="4">
        <v>1.0</v>
      </c>
    </row>
    <row r="97" ht="15.75" customHeight="1">
      <c r="A97" s="4" t="s">
        <v>52</v>
      </c>
      <c r="B97" s="4" t="s">
        <v>8</v>
      </c>
      <c r="C97" s="4">
        <v>1.0</v>
      </c>
      <c r="D97" s="4">
        <v>2.0</v>
      </c>
      <c r="E97" s="4">
        <v>0.0</v>
      </c>
      <c r="F97" s="4">
        <v>0.0</v>
      </c>
    </row>
    <row r="98" ht="15.75" customHeight="1">
      <c r="A98" s="4" t="s">
        <v>52</v>
      </c>
      <c r="B98" s="4" t="s">
        <v>8</v>
      </c>
      <c r="C98" s="4">
        <v>2.0</v>
      </c>
      <c r="D98" s="4">
        <v>19.0</v>
      </c>
      <c r="E98" s="4">
        <v>0.0</v>
      </c>
      <c r="F98" s="4">
        <v>0.0</v>
      </c>
    </row>
    <row r="99" ht="15.75" customHeight="1">
      <c r="A99" s="4" t="s">
        <v>52</v>
      </c>
      <c r="B99" s="4" t="s">
        <v>8</v>
      </c>
      <c r="C99" s="4">
        <v>3.0</v>
      </c>
      <c r="D99" s="4">
        <v>22.0</v>
      </c>
      <c r="E99" s="4">
        <v>0.0</v>
      </c>
      <c r="F99" s="4">
        <v>0.0</v>
      </c>
    </row>
    <row r="100" ht="15.75" customHeight="1">
      <c r="A100" s="4" t="s">
        <v>52</v>
      </c>
      <c r="B100" s="4" t="s">
        <v>8</v>
      </c>
      <c r="C100" s="4">
        <v>4.0</v>
      </c>
      <c r="D100" s="4">
        <v>37.0</v>
      </c>
      <c r="E100" s="4">
        <v>0.0</v>
      </c>
      <c r="F100" s="4">
        <v>0.0</v>
      </c>
    </row>
    <row r="101" ht="15.75" customHeight="1">
      <c r="A101" s="4" t="s">
        <v>52</v>
      </c>
      <c r="B101" s="4" t="s">
        <v>8</v>
      </c>
      <c r="C101" s="4">
        <v>5.0</v>
      </c>
      <c r="D101" s="4">
        <v>44.0</v>
      </c>
      <c r="E101" s="4">
        <v>0.0</v>
      </c>
      <c r="F101" s="4">
        <v>0.0</v>
      </c>
    </row>
    <row r="102" ht="15.75" customHeight="1">
      <c r="A102" s="4" t="s">
        <v>53</v>
      </c>
      <c r="B102" s="4" t="s">
        <v>3</v>
      </c>
      <c r="C102" s="4">
        <v>1.0</v>
      </c>
      <c r="D102" s="4">
        <v>12.0</v>
      </c>
      <c r="E102" s="4">
        <v>1.0</v>
      </c>
      <c r="F102" s="4">
        <v>1.0</v>
      </c>
    </row>
    <row r="103" ht="15.75" customHeight="1">
      <c r="A103" s="4" t="s">
        <v>53</v>
      </c>
      <c r="B103" s="4" t="s">
        <v>3</v>
      </c>
      <c r="C103" s="4">
        <v>2.0</v>
      </c>
      <c r="D103" s="4">
        <v>13.0</v>
      </c>
      <c r="E103" s="4">
        <v>0.0</v>
      </c>
      <c r="F103" s="4">
        <v>1.0</v>
      </c>
    </row>
    <row r="104" ht="15.75" customHeight="1">
      <c r="A104" s="4" t="s">
        <v>53</v>
      </c>
      <c r="B104" s="4" t="s">
        <v>3</v>
      </c>
      <c r="C104" s="4">
        <v>3.0</v>
      </c>
      <c r="D104" s="4">
        <v>3.0</v>
      </c>
      <c r="E104" s="4">
        <v>0.0</v>
      </c>
      <c r="F104" s="4">
        <v>1.0</v>
      </c>
    </row>
    <row r="105" ht="15.75" customHeight="1">
      <c r="A105" s="4" t="s">
        <v>53</v>
      </c>
      <c r="B105" s="4" t="s">
        <v>3</v>
      </c>
      <c r="C105" s="4">
        <v>4.0</v>
      </c>
      <c r="D105" s="4">
        <v>17.0</v>
      </c>
      <c r="E105" s="4">
        <v>0.0</v>
      </c>
      <c r="F105" s="4">
        <v>1.0</v>
      </c>
    </row>
    <row r="106" ht="15.75" customHeight="1">
      <c r="A106" s="4" t="s">
        <v>53</v>
      </c>
      <c r="B106" s="4" t="s">
        <v>3</v>
      </c>
      <c r="C106" s="4">
        <v>5.0</v>
      </c>
      <c r="D106" s="4">
        <v>21.0</v>
      </c>
      <c r="E106" s="4">
        <v>0.0</v>
      </c>
      <c r="F106" s="4">
        <v>1.0</v>
      </c>
    </row>
    <row r="107" ht="15.75" customHeight="1">
      <c r="A107" s="4" t="s">
        <v>53</v>
      </c>
      <c r="B107" s="4" t="s">
        <v>4</v>
      </c>
      <c r="C107" s="4">
        <v>1.0</v>
      </c>
      <c r="D107" s="4">
        <v>12.0</v>
      </c>
      <c r="E107" s="4">
        <v>1.0</v>
      </c>
      <c r="F107" s="4">
        <v>1.0</v>
      </c>
    </row>
    <row r="108" ht="15.75" customHeight="1">
      <c r="A108" s="4" t="s">
        <v>53</v>
      </c>
      <c r="B108" s="4" t="s">
        <v>4</v>
      </c>
      <c r="C108" s="4">
        <v>2.0</v>
      </c>
      <c r="D108" s="4">
        <v>17.0</v>
      </c>
      <c r="E108" s="4">
        <v>0.0</v>
      </c>
      <c r="F108" s="4">
        <v>1.0</v>
      </c>
    </row>
    <row r="109" ht="15.75" customHeight="1">
      <c r="A109" s="4" t="s">
        <v>53</v>
      </c>
      <c r="B109" s="4" t="s">
        <v>4</v>
      </c>
      <c r="C109" s="4">
        <v>3.0</v>
      </c>
      <c r="D109" s="4">
        <v>14.0</v>
      </c>
      <c r="E109" s="4">
        <v>0.0</v>
      </c>
      <c r="F109" s="4">
        <v>1.0</v>
      </c>
    </row>
    <row r="110" ht="15.75" customHeight="1">
      <c r="A110" s="4" t="s">
        <v>53</v>
      </c>
      <c r="B110" s="4" t="s">
        <v>4</v>
      </c>
      <c r="C110" s="4">
        <v>4.0</v>
      </c>
      <c r="D110" s="4">
        <v>15.0</v>
      </c>
      <c r="E110" s="4">
        <v>1.0</v>
      </c>
      <c r="F110" s="4">
        <v>1.0</v>
      </c>
    </row>
    <row r="111" ht="15.75" customHeight="1">
      <c r="A111" s="4" t="s">
        <v>53</v>
      </c>
      <c r="B111" s="4" t="s">
        <v>4</v>
      </c>
      <c r="C111" s="4">
        <v>5.0</v>
      </c>
      <c r="D111" s="4">
        <v>13.0</v>
      </c>
      <c r="E111" s="4">
        <v>0.0</v>
      </c>
      <c r="F111" s="4">
        <v>1.0</v>
      </c>
    </row>
    <row r="112" ht="15.75" customHeight="1">
      <c r="A112" s="4" t="s">
        <v>53</v>
      </c>
      <c r="B112" s="4" t="s">
        <v>6</v>
      </c>
      <c r="C112" s="4">
        <v>1.0</v>
      </c>
      <c r="D112" s="4">
        <v>14.0</v>
      </c>
      <c r="E112" s="4">
        <v>0.0</v>
      </c>
      <c r="F112" s="4">
        <v>0.0</v>
      </c>
    </row>
    <row r="113" ht="15.75" customHeight="1">
      <c r="A113" s="4" t="s">
        <v>53</v>
      </c>
      <c r="B113" s="4" t="s">
        <v>6</v>
      </c>
      <c r="C113" s="4">
        <v>2.0</v>
      </c>
      <c r="D113" s="4">
        <v>12.0</v>
      </c>
      <c r="E113" s="4">
        <v>1.0</v>
      </c>
      <c r="F113" s="4">
        <v>1.0</v>
      </c>
    </row>
    <row r="114" ht="15.75" customHeight="1">
      <c r="A114" s="4" t="s">
        <v>53</v>
      </c>
      <c r="B114" s="4" t="s">
        <v>6</v>
      </c>
      <c r="C114" s="4">
        <v>3.0</v>
      </c>
      <c r="D114" s="4">
        <v>15.0</v>
      </c>
      <c r="E114" s="4">
        <v>1.0</v>
      </c>
      <c r="F114" s="4">
        <v>1.0</v>
      </c>
    </row>
    <row r="115" ht="15.75" customHeight="1">
      <c r="A115" s="4" t="s">
        <v>53</v>
      </c>
      <c r="B115" s="4" t="s">
        <v>6</v>
      </c>
      <c r="C115" s="4">
        <v>4.0</v>
      </c>
      <c r="D115" s="4">
        <v>13.0</v>
      </c>
      <c r="E115" s="4">
        <v>0.0</v>
      </c>
      <c r="F115" s="4">
        <v>1.0</v>
      </c>
    </row>
    <row r="116" ht="15.75" customHeight="1">
      <c r="A116" s="4" t="s">
        <v>53</v>
      </c>
      <c r="B116" s="4" t="s">
        <v>6</v>
      </c>
      <c r="C116" s="4">
        <v>5.0</v>
      </c>
      <c r="D116" s="4">
        <v>17.0</v>
      </c>
      <c r="E116" s="4">
        <v>0.0</v>
      </c>
      <c r="F116" s="4">
        <v>1.0</v>
      </c>
    </row>
    <row r="117" ht="15.75" customHeight="1">
      <c r="A117" s="4" t="s">
        <v>53</v>
      </c>
      <c r="B117" s="4" t="s">
        <v>8</v>
      </c>
      <c r="C117" s="4">
        <v>1.0</v>
      </c>
      <c r="D117" s="4">
        <v>3.0</v>
      </c>
      <c r="E117" s="4">
        <v>0.0</v>
      </c>
      <c r="F117" s="4">
        <v>0.0</v>
      </c>
    </row>
    <row r="118" ht="15.75" customHeight="1">
      <c r="A118" s="4" t="s">
        <v>53</v>
      </c>
      <c r="B118" s="4" t="s">
        <v>8</v>
      </c>
      <c r="C118" s="4">
        <v>2.0</v>
      </c>
      <c r="D118" s="4">
        <v>7.0</v>
      </c>
      <c r="E118" s="4">
        <v>0.0</v>
      </c>
      <c r="F118" s="4">
        <v>0.0</v>
      </c>
    </row>
    <row r="119" ht="15.75" customHeight="1">
      <c r="A119" s="4" t="s">
        <v>53</v>
      </c>
      <c r="B119" s="4" t="s">
        <v>8</v>
      </c>
      <c r="C119" s="4">
        <v>3.0</v>
      </c>
      <c r="D119" s="4">
        <v>8.0</v>
      </c>
      <c r="E119" s="4">
        <v>0.0</v>
      </c>
      <c r="F119" s="4">
        <v>0.0</v>
      </c>
    </row>
    <row r="120" ht="15.75" customHeight="1">
      <c r="A120" s="4" t="s">
        <v>53</v>
      </c>
      <c r="B120" s="4" t="s">
        <v>8</v>
      </c>
      <c r="C120" s="4">
        <v>4.0</v>
      </c>
      <c r="D120" s="4">
        <v>17.0</v>
      </c>
      <c r="E120" s="4">
        <v>0.0</v>
      </c>
      <c r="F120" s="4">
        <v>0.0</v>
      </c>
    </row>
    <row r="121" ht="15.75" customHeight="1">
      <c r="A121" s="4" t="s">
        <v>53</v>
      </c>
      <c r="B121" s="4" t="s">
        <v>8</v>
      </c>
      <c r="C121" s="4">
        <v>5.0</v>
      </c>
      <c r="D121" s="4">
        <v>20.0</v>
      </c>
      <c r="E121" s="4">
        <v>0.0</v>
      </c>
      <c r="F121" s="4">
        <v>0.0</v>
      </c>
    </row>
    <row r="122" ht="15.75" customHeight="1">
      <c r="A122" s="4" t="s">
        <v>54</v>
      </c>
      <c r="B122" s="4" t="s">
        <v>3</v>
      </c>
      <c r="C122" s="4">
        <v>1.0</v>
      </c>
      <c r="D122" s="4">
        <v>8.0</v>
      </c>
      <c r="E122" s="4">
        <v>0.0</v>
      </c>
      <c r="F122" s="4">
        <v>0.0</v>
      </c>
    </row>
    <row r="123" ht="15.75" customHeight="1">
      <c r="A123" s="4" t="s">
        <v>54</v>
      </c>
      <c r="B123" s="4" t="s">
        <v>3</v>
      </c>
      <c r="C123" s="4">
        <v>2.0</v>
      </c>
      <c r="D123" s="4">
        <v>11.0</v>
      </c>
      <c r="E123" s="4">
        <v>0.0</v>
      </c>
      <c r="F123" s="4">
        <v>0.0</v>
      </c>
    </row>
    <row r="124" ht="15.75" customHeight="1">
      <c r="A124" s="4" t="s">
        <v>54</v>
      </c>
      <c r="B124" s="4" t="s">
        <v>3</v>
      </c>
      <c r="C124" s="4">
        <v>3.0</v>
      </c>
      <c r="D124" s="4">
        <v>35.0</v>
      </c>
      <c r="E124" s="4">
        <v>0.0</v>
      </c>
      <c r="F124" s="4">
        <v>0.0</v>
      </c>
    </row>
    <row r="125" ht="15.75" customHeight="1">
      <c r="A125" s="4" t="s">
        <v>54</v>
      </c>
      <c r="B125" s="4" t="s">
        <v>3</v>
      </c>
      <c r="C125" s="4">
        <v>4.0</v>
      </c>
      <c r="D125" s="4">
        <v>7.0</v>
      </c>
      <c r="E125" s="4">
        <v>0.0</v>
      </c>
      <c r="F125" s="4">
        <v>0.0</v>
      </c>
    </row>
    <row r="126" ht="15.75" customHeight="1">
      <c r="A126" s="4" t="s">
        <v>54</v>
      </c>
      <c r="B126" s="4" t="s">
        <v>3</v>
      </c>
      <c r="C126" s="4">
        <v>5.0</v>
      </c>
      <c r="D126" s="4">
        <v>6.0</v>
      </c>
      <c r="E126" s="4">
        <v>0.0</v>
      </c>
      <c r="F126" s="4">
        <v>0.0</v>
      </c>
    </row>
    <row r="127" ht="15.75" customHeight="1">
      <c r="A127" s="4" t="s">
        <v>54</v>
      </c>
      <c r="B127" s="4" t="s">
        <v>4</v>
      </c>
      <c r="C127" s="4">
        <v>1.0</v>
      </c>
      <c r="D127" s="4">
        <v>8.0</v>
      </c>
      <c r="E127" s="4">
        <v>0.0</v>
      </c>
      <c r="F127" s="4">
        <v>0.0</v>
      </c>
    </row>
    <row r="128" ht="15.75" customHeight="1">
      <c r="A128" s="4" t="s">
        <v>54</v>
      </c>
      <c r="B128" s="4" t="s">
        <v>4</v>
      </c>
      <c r="C128" s="4">
        <v>2.0</v>
      </c>
      <c r="D128" s="4">
        <v>36.0</v>
      </c>
      <c r="E128" s="4">
        <v>0.0</v>
      </c>
      <c r="F128" s="4">
        <v>0.0</v>
      </c>
    </row>
    <row r="129" ht="15.75" customHeight="1">
      <c r="A129" s="4" t="s">
        <v>54</v>
      </c>
      <c r="B129" s="4" t="s">
        <v>4</v>
      </c>
      <c r="C129" s="4">
        <v>3.0</v>
      </c>
      <c r="D129" s="4">
        <v>6.0</v>
      </c>
      <c r="E129" s="4">
        <v>0.0</v>
      </c>
      <c r="F129" s="4">
        <v>0.0</v>
      </c>
    </row>
    <row r="130" ht="15.75" customHeight="1">
      <c r="A130" s="4" t="s">
        <v>54</v>
      </c>
      <c r="B130" s="4" t="s">
        <v>4</v>
      </c>
      <c r="C130" s="4">
        <v>4.0</v>
      </c>
      <c r="D130" s="4">
        <v>10.0</v>
      </c>
      <c r="E130" s="4">
        <v>0.0</v>
      </c>
      <c r="F130" s="4">
        <v>0.0</v>
      </c>
    </row>
    <row r="131" ht="15.75" customHeight="1">
      <c r="A131" s="4" t="s">
        <v>54</v>
      </c>
      <c r="B131" s="4" t="s">
        <v>4</v>
      </c>
      <c r="C131" s="4">
        <v>5.0</v>
      </c>
      <c r="D131" s="4">
        <v>43.0</v>
      </c>
      <c r="E131" s="4">
        <v>0.0</v>
      </c>
      <c r="F131" s="4">
        <v>0.0</v>
      </c>
    </row>
    <row r="132" ht="15.75" customHeight="1">
      <c r="A132" s="4" t="s">
        <v>54</v>
      </c>
      <c r="B132" s="4" t="s">
        <v>6</v>
      </c>
      <c r="C132" s="4">
        <v>1.0</v>
      </c>
      <c r="D132" s="4">
        <v>8.0</v>
      </c>
      <c r="E132" s="4">
        <v>0.0</v>
      </c>
      <c r="F132" s="4">
        <v>0.0</v>
      </c>
    </row>
    <row r="133" ht="15.75" customHeight="1">
      <c r="A133" s="4" t="s">
        <v>54</v>
      </c>
      <c r="B133" s="4" t="s">
        <v>6</v>
      </c>
      <c r="C133" s="4">
        <v>2.0</v>
      </c>
      <c r="D133" s="4">
        <v>36.0</v>
      </c>
      <c r="E133" s="4">
        <v>0.0</v>
      </c>
      <c r="F133" s="4">
        <v>0.0</v>
      </c>
    </row>
    <row r="134" ht="15.75" customHeight="1">
      <c r="A134" s="4" t="s">
        <v>54</v>
      </c>
      <c r="B134" s="4" t="s">
        <v>6</v>
      </c>
      <c r="C134" s="4">
        <v>3.0</v>
      </c>
      <c r="D134" s="4">
        <v>6.0</v>
      </c>
      <c r="E134" s="4">
        <v>0.0</v>
      </c>
      <c r="F134" s="4">
        <v>0.0</v>
      </c>
    </row>
    <row r="135" ht="15.75" customHeight="1">
      <c r="A135" s="4" t="s">
        <v>54</v>
      </c>
      <c r="B135" s="4" t="s">
        <v>6</v>
      </c>
      <c r="C135" s="4">
        <v>4.0</v>
      </c>
      <c r="D135" s="4">
        <v>10.0</v>
      </c>
      <c r="E135" s="4">
        <v>0.0</v>
      </c>
      <c r="F135" s="4">
        <v>0.0</v>
      </c>
    </row>
    <row r="136" ht="15.75" customHeight="1">
      <c r="A136" s="4" t="s">
        <v>54</v>
      </c>
      <c r="B136" s="4" t="s">
        <v>6</v>
      </c>
      <c r="C136" s="4">
        <v>5.0</v>
      </c>
      <c r="D136" s="4">
        <v>43.0</v>
      </c>
      <c r="E136" s="4">
        <v>0.0</v>
      </c>
      <c r="F136" s="4">
        <v>0.0</v>
      </c>
    </row>
    <row r="137" ht="15.75" customHeight="1">
      <c r="A137" s="4" t="s">
        <v>54</v>
      </c>
      <c r="B137" s="4" t="s">
        <v>8</v>
      </c>
      <c r="C137" s="4">
        <v>1.0</v>
      </c>
      <c r="D137" s="4">
        <v>15.0</v>
      </c>
      <c r="E137" s="4">
        <v>0.0</v>
      </c>
      <c r="F137" s="4">
        <v>0.0</v>
      </c>
    </row>
    <row r="138" ht="15.75" customHeight="1">
      <c r="A138" s="4" t="s">
        <v>54</v>
      </c>
      <c r="B138" s="4" t="s">
        <v>8</v>
      </c>
      <c r="C138" s="4">
        <v>2.0</v>
      </c>
      <c r="D138" s="4">
        <v>25.0</v>
      </c>
      <c r="E138" s="4">
        <v>0.0</v>
      </c>
      <c r="F138" s="4">
        <v>0.0</v>
      </c>
    </row>
    <row r="139" ht="15.75" customHeight="1">
      <c r="A139" s="4" t="s">
        <v>54</v>
      </c>
      <c r="B139" s="4" t="s">
        <v>8</v>
      </c>
      <c r="C139" s="4">
        <v>3.0</v>
      </c>
      <c r="D139" s="4">
        <v>37.0</v>
      </c>
      <c r="E139" s="4">
        <v>0.0</v>
      </c>
      <c r="F139" s="4">
        <v>0.0</v>
      </c>
    </row>
    <row r="140" ht="15.75" customHeight="1">
      <c r="A140" s="4" t="s">
        <v>54</v>
      </c>
      <c r="B140" s="4" t="s">
        <v>8</v>
      </c>
      <c r="C140" s="4">
        <v>4.0</v>
      </c>
      <c r="D140" s="4">
        <v>38.0</v>
      </c>
      <c r="E140" s="4">
        <v>0.0</v>
      </c>
      <c r="F140" s="4">
        <v>0.0</v>
      </c>
    </row>
    <row r="141" ht="15.75" customHeight="1">
      <c r="A141" s="4" t="s">
        <v>54</v>
      </c>
      <c r="B141" s="4" t="s">
        <v>8</v>
      </c>
      <c r="C141" s="4">
        <v>5.0</v>
      </c>
      <c r="D141" s="4">
        <v>45.0</v>
      </c>
      <c r="E141" s="4">
        <v>0.0</v>
      </c>
      <c r="F141" s="4">
        <v>0.0</v>
      </c>
    </row>
    <row r="142" ht="15.75" customHeight="1">
      <c r="A142" s="4" t="s">
        <v>55</v>
      </c>
      <c r="B142" s="4" t="s">
        <v>3</v>
      </c>
      <c r="C142" s="4">
        <v>1.0</v>
      </c>
      <c r="D142" s="4">
        <v>16.0</v>
      </c>
      <c r="E142" s="4">
        <v>0.0</v>
      </c>
      <c r="F142" s="4">
        <v>0.0</v>
      </c>
    </row>
    <row r="143" ht="15.75" customHeight="1">
      <c r="A143" s="4" t="s">
        <v>55</v>
      </c>
      <c r="B143" s="4" t="s">
        <v>3</v>
      </c>
      <c r="C143" s="4">
        <v>2.0</v>
      </c>
      <c r="D143" s="4">
        <v>21.0</v>
      </c>
      <c r="E143" s="4">
        <v>0.0</v>
      </c>
      <c r="F143" s="4">
        <v>0.0</v>
      </c>
    </row>
    <row r="144" ht="15.75" customHeight="1">
      <c r="A144" s="4" t="s">
        <v>55</v>
      </c>
      <c r="B144" s="4" t="s">
        <v>3</v>
      </c>
      <c r="C144" s="4">
        <v>3.0</v>
      </c>
      <c r="D144" s="4">
        <v>12.0</v>
      </c>
      <c r="E144" s="4">
        <v>0.0</v>
      </c>
      <c r="F144" s="4">
        <v>0.0</v>
      </c>
    </row>
    <row r="145" ht="15.75" customHeight="1">
      <c r="A145" s="4" t="s">
        <v>55</v>
      </c>
      <c r="B145" s="4" t="s">
        <v>3</v>
      </c>
      <c r="C145" s="4">
        <v>4.0</v>
      </c>
      <c r="D145" s="4">
        <v>7.0</v>
      </c>
      <c r="E145" s="4">
        <v>0.0</v>
      </c>
      <c r="F145" s="4">
        <v>0.0</v>
      </c>
    </row>
    <row r="146" ht="15.75" customHeight="1">
      <c r="A146" s="4" t="s">
        <v>55</v>
      </c>
      <c r="B146" s="4" t="s">
        <v>3</v>
      </c>
      <c r="C146" s="4">
        <v>5.0</v>
      </c>
      <c r="D146" s="4">
        <v>18.0</v>
      </c>
      <c r="E146" s="4">
        <v>0.0</v>
      </c>
      <c r="F146" s="4">
        <v>0.0</v>
      </c>
    </row>
    <row r="147" ht="15.75" customHeight="1">
      <c r="A147" s="4" t="s">
        <v>55</v>
      </c>
      <c r="B147" s="4" t="s">
        <v>4</v>
      </c>
      <c r="C147" s="4">
        <v>1.0</v>
      </c>
      <c r="D147" s="4">
        <v>19.0</v>
      </c>
      <c r="E147" s="4">
        <v>0.0</v>
      </c>
      <c r="F147" s="4">
        <v>0.0</v>
      </c>
    </row>
    <row r="148" ht="15.75" customHeight="1">
      <c r="A148" s="4" t="s">
        <v>55</v>
      </c>
      <c r="B148" s="4" t="s">
        <v>4</v>
      </c>
      <c r="C148" s="4">
        <v>2.0</v>
      </c>
      <c r="D148" s="4">
        <v>17.0</v>
      </c>
      <c r="E148" s="4">
        <v>0.0</v>
      </c>
      <c r="F148" s="4">
        <v>0.0</v>
      </c>
    </row>
    <row r="149" ht="15.75" customHeight="1">
      <c r="A149" s="4" t="s">
        <v>55</v>
      </c>
      <c r="B149" s="4" t="s">
        <v>4</v>
      </c>
      <c r="C149" s="4">
        <v>3.0</v>
      </c>
      <c r="D149" s="4">
        <v>7.0</v>
      </c>
      <c r="E149" s="4">
        <v>0.0</v>
      </c>
      <c r="F149" s="4">
        <v>0.0</v>
      </c>
    </row>
    <row r="150" ht="15.75" customHeight="1">
      <c r="A150" s="4" t="s">
        <v>55</v>
      </c>
      <c r="B150" s="4" t="s">
        <v>4</v>
      </c>
      <c r="C150" s="4">
        <v>4.0</v>
      </c>
      <c r="D150" s="4">
        <v>13.0</v>
      </c>
      <c r="E150" s="4">
        <v>0.0</v>
      </c>
      <c r="F150" s="4">
        <v>0.0</v>
      </c>
    </row>
    <row r="151" ht="15.75" customHeight="1">
      <c r="A151" s="4" t="s">
        <v>55</v>
      </c>
      <c r="B151" s="4" t="s">
        <v>4</v>
      </c>
      <c r="C151" s="4">
        <v>5.0</v>
      </c>
      <c r="D151" s="4">
        <v>18.0</v>
      </c>
      <c r="E151" s="4">
        <v>0.0</v>
      </c>
      <c r="F151" s="4">
        <v>0.0</v>
      </c>
    </row>
    <row r="152" ht="15.75" customHeight="1">
      <c r="A152" s="4" t="s">
        <v>55</v>
      </c>
      <c r="B152" s="4" t="s">
        <v>6</v>
      </c>
      <c r="C152" s="4">
        <v>1.0</v>
      </c>
      <c r="D152" s="4">
        <v>19.0</v>
      </c>
      <c r="E152" s="4">
        <v>0.0</v>
      </c>
      <c r="F152" s="4">
        <v>0.0</v>
      </c>
    </row>
    <row r="153" ht="15.75" customHeight="1">
      <c r="A153" s="4" t="s">
        <v>55</v>
      </c>
      <c r="B153" s="4" t="s">
        <v>6</v>
      </c>
      <c r="C153" s="4">
        <v>2.0</v>
      </c>
      <c r="D153" s="4">
        <v>17.0</v>
      </c>
      <c r="E153" s="4">
        <v>0.0</v>
      </c>
      <c r="F153" s="4">
        <v>0.0</v>
      </c>
    </row>
    <row r="154" ht="15.75" customHeight="1">
      <c r="A154" s="4" t="s">
        <v>55</v>
      </c>
      <c r="B154" s="4" t="s">
        <v>6</v>
      </c>
      <c r="C154" s="4">
        <v>3.0</v>
      </c>
      <c r="D154" s="4">
        <v>7.0</v>
      </c>
      <c r="E154" s="4">
        <v>0.0</v>
      </c>
      <c r="F154" s="4">
        <v>0.0</v>
      </c>
    </row>
    <row r="155" ht="15.75" customHeight="1">
      <c r="A155" s="4" t="s">
        <v>55</v>
      </c>
      <c r="B155" s="4" t="s">
        <v>6</v>
      </c>
      <c r="C155" s="4">
        <v>4.0</v>
      </c>
      <c r="D155" s="4">
        <v>13.0</v>
      </c>
      <c r="E155" s="4">
        <v>0.0</v>
      </c>
      <c r="F155" s="4">
        <v>0.0</v>
      </c>
    </row>
    <row r="156" ht="15.75" customHeight="1">
      <c r="A156" s="4" t="s">
        <v>55</v>
      </c>
      <c r="B156" s="4" t="s">
        <v>6</v>
      </c>
      <c r="C156" s="4">
        <v>5.0</v>
      </c>
      <c r="D156" s="4">
        <v>15.0</v>
      </c>
      <c r="E156" s="4">
        <v>0.0</v>
      </c>
      <c r="F156" s="4">
        <v>0.0</v>
      </c>
    </row>
    <row r="157" ht="15.75" customHeight="1">
      <c r="A157" s="4" t="s">
        <v>55</v>
      </c>
      <c r="B157" s="4" t="s">
        <v>8</v>
      </c>
      <c r="C157" s="4">
        <v>1.0</v>
      </c>
      <c r="D157" s="4">
        <v>2.0</v>
      </c>
      <c r="E157" s="4">
        <v>0.0</v>
      </c>
      <c r="F157" s="4">
        <v>0.0</v>
      </c>
    </row>
    <row r="158" ht="15.75" customHeight="1">
      <c r="A158" s="4" t="s">
        <v>55</v>
      </c>
      <c r="B158" s="4" t="s">
        <v>8</v>
      </c>
      <c r="C158" s="4">
        <v>2.0</v>
      </c>
      <c r="D158" s="4">
        <v>3.0</v>
      </c>
      <c r="E158" s="4">
        <v>0.0</v>
      </c>
      <c r="F158" s="4">
        <v>0.0</v>
      </c>
    </row>
    <row r="159" ht="15.75" customHeight="1">
      <c r="A159" s="4" t="s">
        <v>55</v>
      </c>
      <c r="B159" s="4" t="s">
        <v>8</v>
      </c>
      <c r="C159" s="4">
        <v>3.0</v>
      </c>
      <c r="D159" s="4">
        <v>6.0</v>
      </c>
      <c r="E159" s="4">
        <v>0.0</v>
      </c>
      <c r="F159" s="4">
        <v>0.0</v>
      </c>
    </row>
    <row r="160" ht="15.75" customHeight="1">
      <c r="A160" s="4" t="s">
        <v>55</v>
      </c>
      <c r="B160" s="4" t="s">
        <v>8</v>
      </c>
      <c r="C160" s="4">
        <v>4.0</v>
      </c>
      <c r="D160" s="4">
        <v>7.0</v>
      </c>
      <c r="E160" s="4">
        <v>0.0</v>
      </c>
      <c r="F160" s="4">
        <v>0.0</v>
      </c>
    </row>
    <row r="161" ht="15.75" customHeight="1">
      <c r="A161" s="4" t="s">
        <v>55</v>
      </c>
      <c r="B161" s="4" t="s">
        <v>8</v>
      </c>
      <c r="C161" s="4">
        <v>5.0</v>
      </c>
      <c r="D161" s="4">
        <v>10.0</v>
      </c>
      <c r="E161" s="4">
        <v>0.0</v>
      </c>
      <c r="F161" s="4">
        <v>0.0</v>
      </c>
    </row>
    <row r="162" ht="15.75" customHeight="1">
      <c r="A162" s="4" t="s">
        <v>56</v>
      </c>
      <c r="B162" s="4" t="s">
        <v>3</v>
      </c>
      <c r="C162" s="4">
        <v>1.0</v>
      </c>
      <c r="D162" s="4">
        <v>14.0</v>
      </c>
      <c r="E162" s="4">
        <v>0.0</v>
      </c>
      <c r="F162" s="4">
        <v>0.0</v>
      </c>
    </row>
    <row r="163" ht="15.75" customHeight="1">
      <c r="A163" s="4" t="s">
        <v>56</v>
      </c>
      <c r="B163" s="4" t="s">
        <v>3</v>
      </c>
      <c r="C163" s="4">
        <v>2.0</v>
      </c>
      <c r="D163" s="4">
        <v>28.0</v>
      </c>
      <c r="E163" s="4">
        <v>0.0</v>
      </c>
      <c r="F163" s="4">
        <v>0.0</v>
      </c>
    </row>
    <row r="164" ht="15.75" customHeight="1">
      <c r="A164" s="4" t="s">
        <v>56</v>
      </c>
      <c r="B164" s="4" t="s">
        <v>3</v>
      </c>
      <c r="C164" s="4">
        <v>3.0</v>
      </c>
      <c r="D164" s="4">
        <v>10.0</v>
      </c>
      <c r="E164" s="4">
        <v>0.0</v>
      </c>
      <c r="F164" s="4">
        <v>0.0</v>
      </c>
    </row>
    <row r="165" ht="15.75" customHeight="1">
      <c r="A165" s="4" t="s">
        <v>56</v>
      </c>
      <c r="B165" s="4" t="s">
        <v>3</v>
      </c>
      <c r="C165" s="4">
        <v>4.0</v>
      </c>
      <c r="D165" s="4">
        <v>25.0</v>
      </c>
      <c r="E165" s="4">
        <v>0.0</v>
      </c>
      <c r="F165" s="4">
        <v>0.0</v>
      </c>
    </row>
    <row r="166" ht="15.75" customHeight="1">
      <c r="A166" s="4" t="s">
        <v>56</v>
      </c>
      <c r="B166" s="4" t="s">
        <v>3</v>
      </c>
      <c r="C166" s="4">
        <v>5.0</v>
      </c>
      <c r="D166" s="4">
        <v>7.0</v>
      </c>
      <c r="E166" s="4">
        <v>0.0</v>
      </c>
      <c r="F166" s="4">
        <v>0.0</v>
      </c>
    </row>
    <row r="167" ht="15.75" customHeight="1">
      <c r="A167" s="4" t="s">
        <v>56</v>
      </c>
      <c r="B167" s="4" t="s">
        <v>4</v>
      </c>
      <c r="C167" s="4">
        <v>1.0</v>
      </c>
      <c r="D167" s="4">
        <v>9.0</v>
      </c>
      <c r="E167" s="4">
        <v>0.0</v>
      </c>
      <c r="F167" s="4">
        <v>0.0</v>
      </c>
    </row>
    <row r="168" ht="15.75" customHeight="1">
      <c r="A168" s="4" t="s">
        <v>56</v>
      </c>
      <c r="B168" s="4" t="s">
        <v>4</v>
      </c>
      <c r="C168" s="4">
        <v>2.0</v>
      </c>
      <c r="D168" s="4">
        <v>27.0</v>
      </c>
      <c r="E168" s="4">
        <v>0.0</v>
      </c>
      <c r="F168" s="4">
        <v>0.0</v>
      </c>
    </row>
    <row r="169" ht="15.75" customHeight="1">
      <c r="A169" s="4" t="s">
        <v>56</v>
      </c>
      <c r="B169" s="4" t="s">
        <v>4</v>
      </c>
      <c r="C169" s="4">
        <v>3.0</v>
      </c>
      <c r="D169" s="4">
        <v>10.0</v>
      </c>
      <c r="E169" s="4">
        <v>0.0</v>
      </c>
      <c r="F169" s="4">
        <v>0.0</v>
      </c>
    </row>
    <row r="170" ht="15.75" customHeight="1">
      <c r="A170" s="4" t="s">
        <v>56</v>
      </c>
      <c r="B170" s="4" t="s">
        <v>4</v>
      </c>
      <c r="C170" s="4">
        <v>4.0</v>
      </c>
      <c r="D170" s="4">
        <v>25.0</v>
      </c>
      <c r="E170" s="4">
        <v>0.0</v>
      </c>
      <c r="F170" s="4">
        <v>0.0</v>
      </c>
    </row>
    <row r="171" ht="15.75" customHeight="1">
      <c r="A171" s="4" t="s">
        <v>56</v>
      </c>
      <c r="B171" s="4" t="s">
        <v>4</v>
      </c>
      <c r="C171" s="4">
        <v>5.0</v>
      </c>
      <c r="D171" s="4">
        <v>23.0</v>
      </c>
      <c r="E171" s="4">
        <v>0.0</v>
      </c>
      <c r="F171" s="4">
        <v>0.0</v>
      </c>
    </row>
    <row r="172" ht="15.75" customHeight="1">
      <c r="A172" s="4" t="s">
        <v>56</v>
      </c>
      <c r="B172" s="4" t="s">
        <v>6</v>
      </c>
      <c r="C172" s="4">
        <v>1.0</v>
      </c>
      <c r="D172" s="4">
        <v>10.0</v>
      </c>
      <c r="E172" s="4">
        <v>0.0</v>
      </c>
      <c r="F172" s="4">
        <v>0.0</v>
      </c>
    </row>
    <row r="173" ht="15.75" customHeight="1">
      <c r="A173" s="4" t="s">
        <v>56</v>
      </c>
      <c r="B173" s="4" t="s">
        <v>6</v>
      </c>
      <c r="C173" s="4">
        <v>2.0</v>
      </c>
      <c r="D173" s="4">
        <v>9.0</v>
      </c>
      <c r="E173" s="4">
        <v>0.0</v>
      </c>
      <c r="F173" s="4">
        <v>0.0</v>
      </c>
    </row>
    <row r="174" ht="15.75" customHeight="1">
      <c r="A174" s="4" t="s">
        <v>56</v>
      </c>
      <c r="B174" s="4" t="s">
        <v>6</v>
      </c>
      <c r="C174" s="4">
        <v>3.0</v>
      </c>
      <c r="D174" s="4">
        <v>27.0</v>
      </c>
      <c r="E174" s="4">
        <v>0.0</v>
      </c>
      <c r="F174" s="4">
        <v>0.0</v>
      </c>
    </row>
    <row r="175" ht="15.75" customHeight="1">
      <c r="A175" s="4" t="s">
        <v>56</v>
      </c>
      <c r="B175" s="4" t="s">
        <v>6</v>
      </c>
      <c r="C175" s="4">
        <v>4.0</v>
      </c>
      <c r="D175" s="4">
        <v>25.0</v>
      </c>
      <c r="E175" s="4">
        <v>0.0</v>
      </c>
      <c r="F175" s="4">
        <v>0.0</v>
      </c>
    </row>
    <row r="176" ht="15.75" customHeight="1">
      <c r="A176" s="4" t="s">
        <v>56</v>
      </c>
      <c r="B176" s="4" t="s">
        <v>6</v>
      </c>
      <c r="C176" s="4">
        <v>5.0</v>
      </c>
      <c r="D176" s="4">
        <v>23.0</v>
      </c>
      <c r="E176" s="4">
        <v>0.0</v>
      </c>
      <c r="F176" s="4">
        <v>0.0</v>
      </c>
    </row>
    <row r="177" ht="15.75" customHeight="1">
      <c r="A177" s="4" t="s">
        <v>56</v>
      </c>
      <c r="B177" s="4" t="s">
        <v>8</v>
      </c>
      <c r="C177" s="4">
        <v>1.0</v>
      </c>
      <c r="D177" s="4">
        <v>6.0</v>
      </c>
      <c r="E177" s="4">
        <v>0.0</v>
      </c>
      <c r="F177" s="4">
        <v>0.0</v>
      </c>
    </row>
    <row r="178" ht="15.75" customHeight="1">
      <c r="A178" s="4" t="s">
        <v>56</v>
      </c>
      <c r="B178" s="4" t="s">
        <v>8</v>
      </c>
      <c r="C178" s="4">
        <v>2.0</v>
      </c>
      <c r="D178" s="4">
        <v>13.0</v>
      </c>
      <c r="E178" s="4">
        <v>0.0</v>
      </c>
      <c r="F178" s="4">
        <v>0.0</v>
      </c>
    </row>
    <row r="179" ht="15.75" customHeight="1">
      <c r="A179" s="4" t="s">
        <v>56</v>
      </c>
      <c r="B179" s="4" t="s">
        <v>8</v>
      </c>
      <c r="C179" s="4">
        <v>3.0</v>
      </c>
      <c r="D179" s="4">
        <v>23.0</v>
      </c>
      <c r="E179" s="4">
        <v>0.0</v>
      </c>
      <c r="F179" s="4">
        <v>0.0</v>
      </c>
    </row>
    <row r="180" ht="15.75" customHeight="1">
      <c r="A180" s="4" t="s">
        <v>56</v>
      </c>
      <c r="B180" s="4" t="s">
        <v>8</v>
      </c>
      <c r="C180" s="4">
        <v>4.0</v>
      </c>
      <c r="D180" s="4">
        <v>24.0</v>
      </c>
      <c r="E180" s="4">
        <v>0.0</v>
      </c>
      <c r="F180" s="4">
        <v>0.0</v>
      </c>
    </row>
    <row r="181" ht="15.75" customHeight="1">
      <c r="A181" s="4" t="s">
        <v>56</v>
      </c>
      <c r="B181" s="4" t="s">
        <v>8</v>
      </c>
      <c r="C181" s="4">
        <v>5.0</v>
      </c>
      <c r="D181" s="4">
        <v>32.0</v>
      </c>
      <c r="E181" s="4">
        <v>0.0</v>
      </c>
      <c r="F181" s="4">
        <v>0.0</v>
      </c>
    </row>
    <row r="182" ht="15.75" customHeight="1">
      <c r="A182" s="4" t="s">
        <v>57</v>
      </c>
      <c r="B182" s="4" t="s">
        <v>3</v>
      </c>
      <c r="C182" s="4">
        <v>1.0</v>
      </c>
      <c r="D182" s="4">
        <v>11.0</v>
      </c>
      <c r="E182" s="4">
        <v>1.0</v>
      </c>
      <c r="F182" s="4">
        <v>1.0</v>
      </c>
    </row>
    <row r="183" ht="15.75" customHeight="1">
      <c r="A183" s="4" t="s">
        <v>57</v>
      </c>
      <c r="B183" s="4" t="s">
        <v>3</v>
      </c>
      <c r="C183" s="4">
        <v>2.0</v>
      </c>
      <c r="D183" s="4">
        <v>230.0</v>
      </c>
      <c r="E183" s="4">
        <v>0.0</v>
      </c>
      <c r="F183" s="4">
        <v>1.0</v>
      </c>
    </row>
    <row r="184" ht="15.75" customHeight="1">
      <c r="A184" s="4" t="s">
        <v>57</v>
      </c>
      <c r="B184" s="4" t="s">
        <v>3</v>
      </c>
      <c r="C184" s="4">
        <v>3.0</v>
      </c>
      <c r="D184" s="4">
        <v>62.0</v>
      </c>
      <c r="E184" s="4">
        <v>0.0</v>
      </c>
      <c r="F184" s="4">
        <v>1.0</v>
      </c>
    </row>
    <row r="185" ht="15.75" customHeight="1">
      <c r="A185" s="4" t="s">
        <v>57</v>
      </c>
      <c r="B185" s="4" t="s">
        <v>3</v>
      </c>
      <c r="C185" s="4">
        <v>4.0</v>
      </c>
      <c r="D185" s="4">
        <v>17.0</v>
      </c>
      <c r="E185" s="4">
        <v>0.0</v>
      </c>
      <c r="F185" s="4">
        <v>1.0</v>
      </c>
    </row>
    <row r="186" ht="15.75" customHeight="1">
      <c r="A186" s="4" t="s">
        <v>57</v>
      </c>
      <c r="B186" s="4" t="s">
        <v>3</v>
      </c>
      <c r="C186" s="4">
        <v>5.0</v>
      </c>
      <c r="D186" s="4">
        <v>112.0</v>
      </c>
      <c r="E186" s="4">
        <v>0.0</v>
      </c>
      <c r="F186" s="4">
        <v>1.0</v>
      </c>
    </row>
    <row r="187" ht="15.75" customHeight="1">
      <c r="A187" s="4" t="s">
        <v>57</v>
      </c>
      <c r="B187" s="4" t="s">
        <v>4</v>
      </c>
      <c r="C187" s="4">
        <v>1.0</v>
      </c>
      <c r="D187" s="4">
        <v>11.0</v>
      </c>
      <c r="E187" s="4">
        <v>1.0</v>
      </c>
      <c r="F187" s="4">
        <v>1.0</v>
      </c>
    </row>
    <row r="188" ht="15.75" customHeight="1">
      <c r="A188" s="4" t="s">
        <v>57</v>
      </c>
      <c r="B188" s="4" t="s">
        <v>4</v>
      </c>
      <c r="C188" s="4">
        <v>2.0</v>
      </c>
      <c r="D188" s="4">
        <v>18.0</v>
      </c>
      <c r="E188" s="4">
        <v>1.0</v>
      </c>
      <c r="F188" s="4">
        <v>1.0</v>
      </c>
    </row>
    <row r="189" ht="15.75" customHeight="1">
      <c r="A189" s="4" t="s">
        <v>57</v>
      </c>
      <c r="B189" s="4" t="s">
        <v>4</v>
      </c>
      <c r="C189" s="4">
        <v>3.0</v>
      </c>
      <c r="D189" s="4">
        <v>32.0</v>
      </c>
      <c r="E189" s="4">
        <v>1.0</v>
      </c>
      <c r="F189" s="4">
        <v>1.0</v>
      </c>
    </row>
    <row r="190" ht="15.75" customHeight="1">
      <c r="A190" s="4" t="s">
        <v>57</v>
      </c>
      <c r="B190" s="4" t="s">
        <v>4</v>
      </c>
      <c r="C190" s="4">
        <v>4.0</v>
      </c>
      <c r="D190" s="4">
        <v>27.0</v>
      </c>
      <c r="E190" s="4">
        <v>0.0</v>
      </c>
      <c r="F190" s="4">
        <v>1.0</v>
      </c>
    </row>
    <row r="191" ht="15.75" customHeight="1">
      <c r="A191" s="4" t="s">
        <v>57</v>
      </c>
      <c r="B191" s="4" t="s">
        <v>4</v>
      </c>
      <c r="C191" s="4">
        <v>5.0</v>
      </c>
      <c r="D191" s="4">
        <v>17.0</v>
      </c>
      <c r="E191" s="4">
        <v>0.0</v>
      </c>
      <c r="F191" s="4">
        <v>1.0</v>
      </c>
    </row>
    <row r="192" ht="15.75" customHeight="1">
      <c r="A192" s="4" t="s">
        <v>57</v>
      </c>
      <c r="B192" s="4" t="s">
        <v>6</v>
      </c>
      <c r="C192" s="4">
        <v>1.0</v>
      </c>
      <c r="D192" s="4">
        <v>11.0</v>
      </c>
      <c r="E192" s="4">
        <v>1.0</v>
      </c>
      <c r="F192" s="4">
        <v>1.0</v>
      </c>
    </row>
    <row r="193" ht="15.75" customHeight="1">
      <c r="A193" s="4" t="s">
        <v>57</v>
      </c>
      <c r="B193" s="4" t="s">
        <v>6</v>
      </c>
      <c r="C193" s="4">
        <v>2.0</v>
      </c>
      <c r="D193" s="4">
        <v>18.0</v>
      </c>
      <c r="E193" s="4">
        <v>1.0</v>
      </c>
      <c r="F193" s="4">
        <v>1.0</v>
      </c>
    </row>
    <row r="194" ht="15.75" customHeight="1">
      <c r="A194" s="4" t="s">
        <v>57</v>
      </c>
      <c r="B194" s="4" t="s">
        <v>6</v>
      </c>
      <c r="C194" s="4">
        <v>3.0</v>
      </c>
      <c r="D194" s="4">
        <v>32.0</v>
      </c>
      <c r="E194" s="4">
        <v>1.0</v>
      </c>
      <c r="F194" s="4">
        <v>1.0</v>
      </c>
    </row>
    <row r="195" ht="15.75" customHeight="1">
      <c r="A195" s="4" t="s">
        <v>57</v>
      </c>
      <c r="B195" s="4" t="s">
        <v>6</v>
      </c>
      <c r="C195" s="4">
        <v>4.0</v>
      </c>
      <c r="D195" s="4">
        <v>27.0</v>
      </c>
      <c r="E195" s="4">
        <v>0.0</v>
      </c>
      <c r="F195" s="4">
        <v>1.0</v>
      </c>
    </row>
    <row r="196" ht="15.75" customHeight="1">
      <c r="A196" s="4" t="s">
        <v>57</v>
      </c>
      <c r="B196" s="4" t="s">
        <v>6</v>
      </c>
      <c r="C196" s="4">
        <v>5.0</v>
      </c>
      <c r="D196" s="4">
        <v>17.0</v>
      </c>
      <c r="E196" s="4">
        <v>0.0</v>
      </c>
      <c r="F196" s="4">
        <v>1.0</v>
      </c>
    </row>
    <row r="197" ht="15.75" customHeight="1">
      <c r="A197" s="4" t="s">
        <v>57</v>
      </c>
      <c r="B197" s="4" t="s">
        <v>8</v>
      </c>
      <c r="C197" s="4">
        <v>1.0</v>
      </c>
      <c r="D197" s="4">
        <v>28.0</v>
      </c>
      <c r="E197" s="4">
        <v>0.0</v>
      </c>
      <c r="F197" s="4">
        <v>0.0</v>
      </c>
    </row>
    <row r="198" ht="15.75" customHeight="1">
      <c r="A198" s="4" t="s">
        <v>57</v>
      </c>
      <c r="B198" s="4" t="s">
        <v>8</v>
      </c>
      <c r="C198" s="4">
        <v>2.0</v>
      </c>
      <c r="D198" s="4">
        <v>91.0</v>
      </c>
      <c r="E198" s="4">
        <v>0.0</v>
      </c>
      <c r="F198" s="4">
        <v>0.0</v>
      </c>
    </row>
    <row r="199" ht="15.75" customHeight="1">
      <c r="A199" s="4" t="s">
        <v>57</v>
      </c>
      <c r="B199" s="4" t="s">
        <v>8</v>
      </c>
      <c r="C199" s="4">
        <v>3.0</v>
      </c>
      <c r="D199" s="4">
        <v>111.0</v>
      </c>
      <c r="E199" s="4">
        <v>0.0</v>
      </c>
      <c r="F199" s="4">
        <v>0.0</v>
      </c>
    </row>
    <row r="200" ht="15.75" customHeight="1">
      <c r="A200" s="4" t="s">
        <v>57</v>
      </c>
      <c r="B200" s="4" t="s">
        <v>8</v>
      </c>
      <c r="C200" s="4">
        <v>4.0</v>
      </c>
      <c r="D200" s="4">
        <v>195.0</v>
      </c>
      <c r="E200" s="4">
        <v>0.0</v>
      </c>
      <c r="F200" s="4">
        <v>0.0</v>
      </c>
    </row>
    <row r="201" ht="15.75" customHeight="1">
      <c r="A201" s="4" t="s">
        <v>57</v>
      </c>
      <c r="B201" s="4" t="s">
        <v>8</v>
      </c>
      <c r="C201" s="4">
        <v>5.0</v>
      </c>
      <c r="D201" s="4">
        <v>216.0</v>
      </c>
      <c r="E201" s="4">
        <v>0.0</v>
      </c>
      <c r="F201" s="4">
        <v>0.0</v>
      </c>
    </row>
    <row r="202" ht="15.75" customHeight="1">
      <c r="A202" s="4" t="s">
        <v>58</v>
      </c>
      <c r="B202" s="4" t="s">
        <v>3</v>
      </c>
      <c r="C202" s="4">
        <v>1.0</v>
      </c>
      <c r="D202" s="4">
        <v>100.0</v>
      </c>
      <c r="E202" s="4">
        <v>0.0</v>
      </c>
      <c r="F202" s="4">
        <v>0.0</v>
      </c>
    </row>
    <row r="203" ht="15.75" customHeight="1">
      <c r="A203" s="4" t="s">
        <v>58</v>
      </c>
      <c r="B203" s="4" t="s">
        <v>3</v>
      </c>
      <c r="C203" s="4">
        <v>2.0</v>
      </c>
      <c r="D203" s="4">
        <v>35.0</v>
      </c>
      <c r="E203" s="4">
        <v>0.0</v>
      </c>
      <c r="F203" s="4">
        <v>0.0</v>
      </c>
    </row>
    <row r="204" ht="15.75" customHeight="1">
      <c r="A204" s="4" t="s">
        <v>58</v>
      </c>
      <c r="B204" s="4" t="s">
        <v>3</v>
      </c>
      <c r="C204" s="4">
        <v>3.0</v>
      </c>
      <c r="D204" s="4">
        <v>70.0</v>
      </c>
      <c r="E204" s="4">
        <v>0.0</v>
      </c>
      <c r="F204" s="4">
        <v>0.0</v>
      </c>
    </row>
    <row r="205" ht="15.75" customHeight="1">
      <c r="A205" s="4" t="s">
        <v>58</v>
      </c>
      <c r="B205" s="4" t="s">
        <v>3</v>
      </c>
      <c r="C205" s="4">
        <v>4.0</v>
      </c>
      <c r="D205" s="4">
        <v>105.0</v>
      </c>
      <c r="E205" s="4">
        <v>0.0</v>
      </c>
      <c r="F205" s="4">
        <v>0.0</v>
      </c>
    </row>
    <row r="206" ht="15.75" customHeight="1">
      <c r="A206" s="4" t="s">
        <v>58</v>
      </c>
      <c r="B206" s="4" t="s">
        <v>3</v>
      </c>
      <c r="C206" s="4">
        <v>5.0</v>
      </c>
      <c r="D206" s="4">
        <v>112.0</v>
      </c>
      <c r="E206" s="4">
        <v>0.0</v>
      </c>
      <c r="F206" s="4">
        <v>0.0</v>
      </c>
    </row>
    <row r="207" ht="15.75" customHeight="1">
      <c r="A207" s="4" t="s">
        <v>58</v>
      </c>
      <c r="B207" s="4" t="s">
        <v>4</v>
      </c>
      <c r="C207" s="4">
        <v>1.0</v>
      </c>
      <c r="D207" s="4">
        <v>54.0</v>
      </c>
      <c r="E207" s="4">
        <v>0.0</v>
      </c>
      <c r="F207" s="4">
        <v>0.0</v>
      </c>
    </row>
    <row r="208" ht="15.75" customHeight="1">
      <c r="A208" s="4" t="s">
        <v>58</v>
      </c>
      <c r="B208" s="4" t="s">
        <v>4</v>
      </c>
      <c r="C208" s="4">
        <v>2.0</v>
      </c>
      <c r="D208" s="4">
        <v>35.0</v>
      </c>
      <c r="E208" s="4">
        <v>0.0</v>
      </c>
      <c r="F208" s="4">
        <v>0.0</v>
      </c>
    </row>
    <row r="209" ht="15.75" customHeight="1">
      <c r="A209" s="4" t="s">
        <v>58</v>
      </c>
      <c r="B209" s="4" t="s">
        <v>4</v>
      </c>
      <c r="C209" s="4">
        <v>3.0</v>
      </c>
      <c r="D209" s="4">
        <v>52.0</v>
      </c>
      <c r="E209" s="4">
        <v>0.0</v>
      </c>
      <c r="F209" s="4">
        <v>0.0</v>
      </c>
    </row>
    <row r="210" ht="15.75" customHeight="1">
      <c r="A210" s="4" t="s">
        <v>58</v>
      </c>
      <c r="B210" s="4" t="s">
        <v>4</v>
      </c>
      <c r="C210" s="4">
        <v>4.0</v>
      </c>
      <c r="D210" s="4">
        <v>17.0</v>
      </c>
      <c r="E210" s="4">
        <v>0.0</v>
      </c>
      <c r="F210" s="4">
        <v>0.0</v>
      </c>
    </row>
    <row r="211" ht="15.75" customHeight="1">
      <c r="A211" s="4" t="s">
        <v>58</v>
      </c>
      <c r="B211" s="4" t="s">
        <v>4</v>
      </c>
      <c r="C211" s="4">
        <v>5.0</v>
      </c>
      <c r="D211" s="4">
        <v>34.0</v>
      </c>
      <c r="E211" s="4">
        <v>0.0</v>
      </c>
      <c r="F211" s="4">
        <v>0.0</v>
      </c>
    </row>
    <row r="212" ht="15.75" customHeight="1">
      <c r="A212" s="4" t="s">
        <v>58</v>
      </c>
      <c r="B212" s="4" t="s">
        <v>6</v>
      </c>
      <c r="C212" s="4">
        <v>1.0</v>
      </c>
      <c r="D212" s="4">
        <v>52.0</v>
      </c>
      <c r="E212" s="4">
        <v>0.0</v>
      </c>
      <c r="F212" s="4">
        <v>0.0</v>
      </c>
    </row>
    <row r="213" ht="15.75" customHeight="1">
      <c r="A213" s="4" t="s">
        <v>58</v>
      </c>
      <c r="B213" s="4" t="s">
        <v>6</v>
      </c>
      <c r="C213" s="4">
        <v>2.0</v>
      </c>
      <c r="D213" s="4">
        <v>54.0</v>
      </c>
      <c r="E213" s="4">
        <v>0.0</v>
      </c>
      <c r="F213" s="4">
        <v>0.0</v>
      </c>
    </row>
    <row r="214" ht="15.75" customHeight="1">
      <c r="A214" s="4" t="s">
        <v>58</v>
      </c>
      <c r="B214" s="4" t="s">
        <v>6</v>
      </c>
      <c r="C214" s="4">
        <v>3.0</v>
      </c>
      <c r="D214" s="4">
        <v>17.0</v>
      </c>
      <c r="E214" s="4">
        <v>0.0</v>
      </c>
      <c r="F214" s="4">
        <v>0.0</v>
      </c>
    </row>
    <row r="215" ht="15.75" customHeight="1">
      <c r="A215" s="4" t="s">
        <v>58</v>
      </c>
      <c r="B215" s="4" t="s">
        <v>6</v>
      </c>
      <c r="C215" s="4">
        <v>4.0</v>
      </c>
      <c r="D215" s="4">
        <v>35.0</v>
      </c>
      <c r="E215" s="4">
        <v>0.0</v>
      </c>
      <c r="F215" s="4">
        <v>0.0</v>
      </c>
    </row>
    <row r="216" ht="15.75" customHeight="1">
      <c r="A216" s="4" t="s">
        <v>58</v>
      </c>
      <c r="B216" s="4" t="s">
        <v>6</v>
      </c>
      <c r="C216" s="4">
        <v>5.0</v>
      </c>
      <c r="D216" s="4">
        <v>34.0</v>
      </c>
      <c r="E216" s="4">
        <v>0.0</v>
      </c>
      <c r="F216" s="4">
        <v>0.0</v>
      </c>
    </row>
    <row r="217" ht="15.75" customHeight="1">
      <c r="A217" s="4" t="s">
        <v>58</v>
      </c>
      <c r="B217" s="4" t="s">
        <v>8</v>
      </c>
      <c r="C217" s="4">
        <v>1.0</v>
      </c>
      <c r="D217" s="4">
        <v>23.0</v>
      </c>
      <c r="E217" s="4">
        <v>0.0</v>
      </c>
      <c r="F217" s="4">
        <v>0.0</v>
      </c>
    </row>
    <row r="218" ht="15.75" customHeight="1">
      <c r="A218" s="4" t="s">
        <v>58</v>
      </c>
      <c r="B218" s="4" t="s">
        <v>8</v>
      </c>
      <c r="C218" s="4">
        <v>2.0</v>
      </c>
      <c r="D218" s="4">
        <v>70.0</v>
      </c>
      <c r="E218" s="4">
        <v>0.0</v>
      </c>
      <c r="F218" s="4">
        <v>0.0</v>
      </c>
    </row>
    <row r="219" ht="15.75" customHeight="1">
      <c r="A219" s="4" t="s">
        <v>58</v>
      </c>
      <c r="B219" s="4" t="s">
        <v>8</v>
      </c>
      <c r="C219" s="4">
        <v>3.0</v>
      </c>
      <c r="D219" s="4">
        <v>77.0</v>
      </c>
      <c r="E219" s="4">
        <v>0.0</v>
      </c>
      <c r="F219" s="4">
        <v>0.0</v>
      </c>
    </row>
    <row r="220" ht="15.75" customHeight="1">
      <c r="A220" s="4" t="s">
        <v>58</v>
      </c>
      <c r="B220" s="4" t="s">
        <v>8</v>
      </c>
      <c r="C220" s="4">
        <v>4.0</v>
      </c>
      <c r="D220" s="4">
        <v>82.0</v>
      </c>
      <c r="E220" s="4">
        <v>0.0</v>
      </c>
      <c r="F220" s="4">
        <v>0.0</v>
      </c>
    </row>
    <row r="221" ht="15.75" customHeight="1">
      <c r="A221" s="4" t="s">
        <v>58</v>
      </c>
      <c r="B221" s="4" t="s">
        <v>8</v>
      </c>
      <c r="C221" s="4">
        <v>5.0</v>
      </c>
      <c r="D221" s="4">
        <v>116.0</v>
      </c>
      <c r="E221" s="4">
        <v>0.0</v>
      </c>
      <c r="F221" s="4">
        <v>0.0</v>
      </c>
    </row>
    <row r="222" ht="15.75" customHeight="1">
      <c r="A222" s="4" t="s">
        <v>59</v>
      </c>
      <c r="B222" s="4" t="s">
        <v>3</v>
      </c>
      <c r="C222" s="4">
        <v>1.0</v>
      </c>
      <c r="D222" s="4">
        <v>15.0</v>
      </c>
      <c r="E222" s="4">
        <v>0.0</v>
      </c>
      <c r="F222" s="4">
        <v>0.0</v>
      </c>
    </row>
    <row r="223" ht="15.75" customHeight="1">
      <c r="A223" s="4" t="s">
        <v>59</v>
      </c>
      <c r="B223" s="4" t="s">
        <v>3</v>
      </c>
      <c r="C223" s="4">
        <v>2.0</v>
      </c>
      <c r="D223" s="4">
        <v>5.0</v>
      </c>
      <c r="E223" s="4">
        <v>0.0</v>
      </c>
      <c r="F223" s="4">
        <v>0.0</v>
      </c>
    </row>
    <row r="224" ht="15.75" customHeight="1">
      <c r="A224" s="4" t="s">
        <v>59</v>
      </c>
      <c r="B224" s="4" t="s">
        <v>3</v>
      </c>
      <c r="C224" s="4">
        <v>3.0</v>
      </c>
      <c r="D224" s="4">
        <v>3.0</v>
      </c>
      <c r="E224" s="4">
        <v>0.0</v>
      </c>
      <c r="F224" s="4">
        <v>0.0</v>
      </c>
    </row>
    <row r="225" ht="15.75" customHeight="1">
      <c r="A225" s="4" t="s">
        <v>59</v>
      </c>
      <c r="B225" s="4" t="s">
        <v>3</v>
      </c>
      <c r="C225" s="4">
        <v>4.0</v>
      </c>
      <c r="D225" s="4">
        <v>20.0</v>
      </c>
      <c r="E225" s="4">
        <v>1.0</v>
      </c>
      <c r="F225" s="4">
        <v>1.0</v>
      </c>
    </row>
    <row r="226" ht="15.75" customHeight="1">
      <c r="A226" s="4" t="s">
        <v>59</v>
      </c>
      <c r="B226" s="4" t="s">
        <v>3</v>
      </c>
      <c r="C226" s="4">
        <v>5.0</v>
      </c>
      <c r="D226" s="4">
        <v>12.0</v>
      </c>
      <c r="E226" s="4">
        <v>0.0</v>
      </c>
      <c r="F226" s="4">
        <v>1.0</v>
      </c>
    </row>
    <row r="227" ht="15.75" customHeight="1">
      <c r="A227" s="4" t="s">
        <v>59</v>
      </c>
      <c r="B227" s="4" t="s">
        <v>4</v>
      </c>
      <c r="C227" s="4">
        <v>1.0</v>
      </c>
      <c r="D227" s="4">
        <v>7.0</v>
      </c>
      <c r="E227" s="4">
        <v>0.0</v>
      </c>
      <c r="F227" s="4">
        <v>0.0</v>
      </c>
    </row>
    <row r="228" ht="15.75" customHeight="1">
      <c r="A228" s="4" t="s">
        <v>59</v>
      </c>
      <c r="B228" s="4" t="s">
        <v>4</v>
      </c>
      <c r="C228" s="4">
        <v>2.0</v>
      </c>
      <c r="D228" s="4">
        <v>5.0</v>
      </c>
      <c r="E228" s="4">
        <v>0.0</v>
      </c>
      <c r="F228" s="4">
        <v>0.0</v>
      </c>
    </row>
    <row r="229" ht="15.75" customHeight="1">
      <c r="A229" s="4" t="s">
        <v>59</v>
      </c>
      <c r="B229" s="4" t="s">
        <v>4</v>
      </c>
      <c r="C229" s="4">
        <v>3.0</v>
      </c>
      <c r="D229" s="4">
        <v>15.0</v>
      </c>
      <c r="E229" s="4">
        <v>0.0</v>
      </c>
      <c r="F229" s="4">
        <v>0.0</v>
      </c>
    </row>
    <row r="230" ht="15.75" customHeight="1">
      <c r="A230" s="4" t="s">
        <v>59</v>
      </c>
      <c r="B230" s="4" t="s">
        <v>4</v>
      </c>
      <c r="C230" s="4">
        <v>4.0</v>
      </c>
      <c r="D230" s="4">
        <v>3.0</v>
      </c>
      <c r="E230" s="4">
        <v>0.0</v>
      </c>
      <c r="F230" s="4">
        <v>0.0</v>
      </c>
    </row>
    <row r="231" ht="15.75" customHeight="1">
      <c r="A231" s="4" t="s">
        <v>59</v>
      </c>
      <c r="B231" s="4" t="s">
        <v>4</v>
      </c>
      <c r="C231" s="4">
        <v>5.0</v>
      </c>
      <c r="D231" s="4">
        <v>9.0</v>
      </c>
      <c r="E231" s="4">
        <v>0.0</v>
      </c>
      <c r="F231" s="4">
        <v>0.0</v>
      </c>
    </row>
    <row r="232" ht="15.75" customHeight="1">
      <c r="A232" s="4" t="s">
        <v>59</v>
      </c>
      <c r="B232" s="4" t="s">
        <v>6</v>
      </c>
      <c r="C232" s="4">
        <v>1.0</v>
      </c>
      <c r="D232" s="4">
        <v>7.0</v>
      </c>
      <c r="E232" s="4">
        <v>0.0</v>
      </c>
      <c r="F232" s="4">
        <v>0.0</v>
      </c>
    </row>
    <row r="233" ht="15.75" customHeight="1">
      <c r="A233" s="4" t="s">
        <v>59</v>
      </c>
      <c r="B233" s="4" t="s">
        <v>6</v>
      </c>
      <c r="C233" s="4">
        <v>2.0</v>
      </c>
      <c r="D233" s="4">
        <v>5.0</v>
      </c>
      <c r="E233" s="4">
        <v>0.0</v>
      </c>
      <c r="F233" s="4">
        <v>0.0</v>
      </c>
    </row>
    <row r="234" ht="15.75" customHeight="1">
      <c r="A234" s="4" t="s">
        <v>59</v>
      </c>
      <c r="B234" s="4" t="s">
        <v>6</v>
      </c>
      <c r="C234" s="4">
        <v>3.0</v>
      </c>
      <c r="D234" s="4">
        <v>15.0</v>
      </c>
      <c r="E234" s="4">
        <v>0.0</v>
      </c>
      <c r="F234" s="4">
        <v>0.0</v>
      </c>
    </row>
    <row r="235" ht="15.75" customHeight="1">
      <c r="A235" s="4" t="s">
        <v>59</v>
      </c>
      <c r="B235" s="4" t="s">
        <v>6</v>
      </c>
      <c r="C235" s="4">
        <v>4.0</v>
      </c>
      <c r="D235" s="4">
        <v>3.0</v>
      </c>
      <c r="E235" s="4">
        <v>0.0</v>
      </c>
      <c r="F235" s="4">
        <v>0.0</v>
      </c>
    </row>
    <row r="236" ht="15.75" customHeight="1">
      <c r="A236" s="4" t="s">
        <v>59</v>
      </c>
      <c r="B236" s="4" t="s">
        <v>6</v>
      </c>
      <c r="C236" s="4">
        <v>5.0</v>
      </c>
      <c r="D236" s="4">
        <v>9.0</v>
      </c>
      <c r="E236" s="4">
        <v>0.0</v>
      </c>
      <c r="F236" s="4">
        <v>0.0</v>
      </c>
    </row>
    <row r="237" ht="15.75" customHeight="1">
      <c r="A237" s="4" t="s">
        <v>59</v>
      </c>
      <c r="B237" s="4" t="s">
        <v>8</v>
      </c>
      <c r="C237" s="4">
        <v>1.0</v>
      </c>
      <c r="D237" s="4">
        <v>10.0</v>
      </c>
      <c r="E237" s="4">
        <v>0.0</v>
      </c>
      <c r="F237" s="4">
        <v>0.0</v>
      </c>
    </row>
    <row r="238" ht="15.75" customHeight="1">
      <c r="A238" s="4" t="s">
        <v>59</v>
      </c>
      <c r="B238" s="4" t="s">
        <v>8</v>
      </c>
      <c r="C238" s="4">
        <v>2.0</v>
      </c>
      <c r="D238" s="4">
        <v>13.0</v>
      </c>
      <c r="E238" s="4">
        <v>0.0</v>
      </c>
      <c r="F238" s="4">
        <v>0.0</v>
      </c>
    </row>
    <row r="239" ht="15.75" customHeight="1">
      <c r="A239" s="4" t="s">
        <v>59</v>
      </c>
      <c r="B239" s="4" t="s">
        <v>8</v>
      </c>
      <c r="C239" s="4">
        <v>3.0</v>
      </c>
      <c r="D239" s="4">
        <v>16.0</v>
      </c>
      <c r="E239" s="4">
        <v>0.0</v>
      </c>
      <c r="F239" s="4">
        <v>0.0</v>
      </c>
    </row>
    <row r="240" ht="15.75" customHeight="1">
      <c r="A240" s="4" t="s">
        <v>59</v>
      </c>
      <c r="B240" s="4" t="s">
        <v>8</v>
      </c>
      <c r="C240" s="4">
        <v>4.0</v>
      </c>
      <c r="D240" s="4">
        <v>19.0</v>
      </c>
      <c r="E240" s="4">
        <v>0.0</v>
      </c>
      <c r="F240" s="4">
        <v>0.0</v>
      </c>
    </row>
    <row r="241" ht="15.75" customHeight="1">
      <c r="A241" s="4" t="s">
        <v>59</v>
      </c>
      <c r="B241" s="4" t="s">
        <v>8</v>
      </c>
      <c r="C241" s="4">
        <v>5.0</v>
      </c>
      <c r="D241" s="4">
        <v>21.0</v>
      </c>
      <c r="E241" s="4">
        <v>0.0</v>
      </c>
      <c r="F241" s="4">
        <v>0.0</v>
      </c>
    </row>
    <row r="242" ht="15.75" customHeight="1">
      <c r="A242" s="4" t="s">
        <v>60</v>
      </c>
      <c r="B242" s="4" t="s">
        <v>3</v>
      </c>
      <c r="C242" s="4">
        <v>1.0</v>
      </c>
      <c r="D242" s="4">
        <v>110.0</v>
      </c>
      <c r="E242" s="4">
        <v>0.0</v>
      </c>
      <c r="F242" s="4">
        <v>0.0</v>
      </c>
    </row>
    <row r="243" ht="15.75" customHeight="1">
      <c r="A243" s="4" t="s">
        <v>60</v>
      </c>
      <c r="B243" s="4" t="s">
        <v>3</v>
      </c>
      <c r="C243" s="4">
        <v>2.0</v>
      </c>
      <c r="D243" s="4">
        <v>9.0</v>
      </c>
      <c r="E243" s="4">
        <v>0.0</v>
      </c>
      <c r="F243" s="4">
        <v>0.0</v>
      </c>
    </row>
    <row r="244" ht="15.75" customHeight="1">
      <c r="A244" s="4" t="s">
        <v>60</v>
      </c>
      <c r="B244" s="4" t="s">
        <v>3</v>
      </c>
      <c r="C244" s="4">
        <v>3.0</v>
      </c>
      <c r="D244" s="4">
        <v>46.0</v>
      </c>
      <c r="E244" s="4">
        <v>0.0</v>
      </c>
      <c r="F244" s="4">
        <v>0.0</v>
      </c>
    </row>
    <row r="245" ht="15.75" customHeight="1">
      <c r="A245" s="4" t="s">
        <v>60</v>
      </c>
      <c r="B245" s="4" t="s">
        <v>3</v>
      </c>
      <c r="C245" s="4">
        <v>4.0</v>
      </c>
      <c r="D245" s="4">
        <v>29.0</v>
      </c>
      <c r="E245" s="4">
        <v>0.0</v>
      </c>
      <c r="F245" s="4">
        <v>0.0</v>
      </c>
    </row>
    <row r="246" ht="15.75" customHeight="1">
      <c r="A246" s="4" t="s">
        <v>60</v>
      </c>
      <c r="B246" s="4" t="s">
        <v>3</v>
      </c>
      <c r="C246" s="4">
        <v>5.0</v>
      </c>
      <c r="D246" s="4">
        <v>109.0</v>
      </c>
      <c r="E246" s="4">
        <v>0.0</v>
      </c>
      <c r="F246" s="4">
        <v>0.0</v>
      </c>
    </row>
    <row r="247" ht="15.75" customHeight="1">
      <c r="A247" s="4" t="s">
        <v>60</v>
      </c>
      <c r="B247" s="4" t="s">
        <v>4</v>
      </c>
      <c r="C247" s="4">
        <v>1.0</v>
      </c>
      <c r="D247" s="4">
        <v>86.0</v>
      </c>
      <c r="E247" s="4">
        <v>0.0</v>
      </c>
      <c r="F247" s="4">
        <v>0.0</v>
      </c>
    </row>
    <row r="248" ht="15.75" customHeight="1">
      <c r="A248" s="4" t="s">
        <v>60</v>
      </c>
      <c r="B248" s="4" t="s">
        <v>4</v>
      </c>
      <c r="C248" s="4">
        <v>2.0</v>
      </c>
      <c r="D248" s="4">
        <v>81.0</v>
      </c>
      <c r="E248" s="4">
        <v>0.0</v>
      </c>
      <c r="F248" s="4">
        <v>0.0</v>
      </c>
    </row>
    <row r="249" ht="15.75" customHeight="1">
      <c r="A249" s="4" t="s">
        <v>60</v>
      </c>
      <c r="B249" s="4" t="s">
        <v>4</v>
      </c>
      <c r="C249" s="4">
        <v>3.0</v>
      </c>
      <c r="D249" s="4">
        <v>29.0</v>
      </c>
      <c r="E249" s="4">
        <v>0.0</v>
      </c>
      <c r="F249" s="4">
        <v>0.0</v>
      </c>
    </row>
    <row r="250" ht="15.75" customHeight="1">
      <c r="A250" s="4" t="s">
        <v>60</v>
      </c>
      <c r="B250" s="4" t="s">
        <v>4</v>
      </c>
      <c r="C250" s="4">
        <v>4.0</v>
      </c>
      <c r="D250" s="4">
        <v>9.0</v>
      </c>
      <c r="E250" s="4">
        <v>0.0</v>
      </c>
      <c r="F250" s="4">
        <v>0.0</v>
      </c>
    </row>
    <row r="251" ht="15.75" customHeight="1">
      <c r="A251" s="4" t="s">
        <v>60</v>
      </c>
      <c r="B251" s="4" t="s">
        <v>4</v>
      </c>
      <c r="C251" s="4">
        <v>5.0</v>
      </c>
      <c r="D251" s="4">
        <v>30.0</v>
      </c>
      <c r="E251" s="4">
        <v>0.0</v>
      </c>
      <c r="F251" s="4">
        <v>0.0</v>
      </c>
    </row>
    <row r="252" ht="15.75" customHeight="1">
      <c r="A252" s="4" t="s">
        <v>60</v>
      </c>
      <c r="B252" s="4" t="s">
        <v>6</v>
      </c>
      <c r="C252" s="4">
        <v>1.0</v>
      </c>
      <c r="D252" s="4">
        <v>81.0</v>
      </c>
      <c r="E252" s="4">
        <v>0.0</v>
      </c>
      <c r="F252" s="4">
        <v>0.0</v>
      </c>
    </row>
    <row r="253" ht="15.75" customHeight="1">
      <c r="A253" s="4" t="s">
        <v>60</v>
      </c>
      <c r="B253" s="4" t="s">
        <v>6</v>
      </c>
      <c r="C253" s="4">
        <v>2.0</v>
      </c>
      <c r="D253" s="4">
        <v>86.0</v>
      </c>
      <c r="E253" s="4">
        <v>0.0</v>
      </c>
      <c r="F253" s="4">
        <v>0.0</v>
      </c>
    </row>
    <row r="254" ht="15.75" customHeight="1">
      <c r="A254" s="4" t="s">
        <v>60</v>
      </c>
      <c r="B254" s="4" t="s">
        <v>6</v>
      </c>
      <c r="C254" s="4">
        <v>3.0</v>
      </c>
      <c r="D254" s="4">
        <v>29.0</v>
      </c>
      <c r="E254" s="4">
        <v>0.0</v>
      </c>
      <c r="F254" s="4">
        <v>0.0</v>
      </c>
    </row>
    <row r="255" ht="15.75" customHeight="1">
      <c r="A255" s="4" t="s">
        <v>60</v>
      </c>
      <c r="B255" s="4" t="s">
        <v>6</v>
      </c>
      <c r="C255" s="4">
        <v>4.0</v>
      </c>
      <c r="D255" s="4">
        <v>9.0</v>
      </c>
      <c r="E255" s="4">
        <v>0.0</v>
      </c>
      <c r="F255" s="4">
        <v>0.0</v>
      </c>
    </row>
    <row r="256" ht="15.75" customHeight="1">
      <c r="A256" s="4" t="s">
        <v>60</v>
      </c>
      <c r="B256" s="4" t="s">
        <v>6</v>
      </c>
      <c r="C256" s="4">
        <v>5.0</v>
      </c>
      <c r="D256" s="4">
        <v>7.0</v>
      </c>
      <c r="E256" s="4">
        <v>0.0</v>
      </c>
      <c r="F256" s="4">
        <v>0.0</v>
      </c>
    </row>
    <row r="257" ht="15.75" customHeight="1">
      <c r="A257" s="4" t="s">
        <v>60</v>
      </c>
      <c r="B257" s="4" t="s">
        <v>8</v>
      </c>
      <c r="C257" s="4">
        <v>1.0</v>
      </c>
      <c r="D257" s="4">
        <v>13.0</v>
      </c>
      <c r="E257" s="4">
        <v>0.0</v>
      </c>
      <c r="F257" s="4">
        <v>0.0</v>
      </c>
    </row>
    <row r="258" ht="15.75" customHeight="1">
      <c r="A258" s="4" t="s">
        <v>60</v>
      </c>
      <c r="B258" s="4" t="s">
        <v>8</v>
      </c>
      <c r="C258" s="4">
        <v>2.0</v>
      </c>
      <c r="D258" s="4">
        <v>69.0</v>
      </c>
      <c r="E258" s="4">
        <v>0.0</v>
      </c>
      <c r="F258" s="4">
        <v>0.0</v>
      </c>
    </row>
    <row r="259" ht="15.75" customHeight="1">
      <c r="A259" s="4" t="s">
        <v>60</v>
      </c>
      <c r="B259" s="4" t="s">
        <v>8</v>
      </c>
      <c r="C259" s="4">
        <v>3.0</v>
      </c>
      <c r="D259" s="4">
        <v>72.0</v>
      </c>
      <c r="E259" s="4">
        <v>0.0</v>
      </c>
      <c r="F259" s="4">
        <v>0.0</v>
      </c>
    </row>
    <row r="260" ht="15.75" customHeight="1">
      <c r="A260" s="4" t="s">
        <v>60</v>
      </c>
      <c r="B260" s="4" t="s">
        <v>8</v>
      </c>
      <c r="C260" s="4">
        <v>4.0</v>
      </c>
      <c r="D260" s="4">
        <v>83.0</v>
      </c>
      <c r="E260" s="4">
        <v>0.0</v>
      </c>
      <c r="F260" s="4">
        <v>0.0</v>
      </c>
    </row>
    <row r="261" ht="15.75" customHeight="1">
      <c r="A261" s="4" t="s">
        <v>60</v>
      </c>
      <c r="B261" s="4" t="s">
        <v>8</v>
      </c>
      <c r="C261" s="4">
        <v>5.0</v>
      </c>
      <c r="D261" s="4">
        <v>106.0</v>
      </c>
      <c r="E261" s="4">
        <v>0.0</v>
      </c>
      <c r="F261" s="4">
        <v>0.0</v>
      </c>
    </row>
    <row r="262" ht="15.75" customHeight="1">
      <c r="A262" s="4" t="s">
        <v>61</v>
      </c>
      <c r="B262" s="4" t="s">
        <v>3</v>
      </c>
      <c r="C262" s="4">
        <v>1.0</v>
      </c>
      <c r="D262" s="4">
        <v>12.0</v>
      </c>
      <c r="E262" s="4">
        <v>0.0</v>
      </c>
      <c r="F262" s="4">
        <v>0.0</v>
      </c>
    </row>
    <row r="263" ht="15.75" customHeight="1">
      <c r="A263" s="4" t="s">
        <v>61</v>
      </c>
      <c r="B263" s="4" t="s">
        <v>3</v>
      </c>
      <c r="C263" s="4">
        <v>2.0</v>
      </c>
      <c r="D263" s="4">
        <v>33.0</v>
      </c>
      <c r="E263" s="4">
        <v>0.0</v>
      </c>
      <c r="F263" s="4">
        <v>0.0</v>
      </c>
    </row>
    <row r="264" ht="15.75" customHeight="1">
      <c r="A264" s="4" t="s">
        <v>61</v>
      </c>
      <c r="B264" s="4" t="s">
        <v>3</v>
      </c>
      <c r="C264" s="4">
        <v>3.0</v>
      </c>
      <c r="D264" s="4">
        <v>3.0</v>
      </c>
      <c r="E264" s="4">
        <v>0.0</v>
      </c>
      <c r="F264" s="4">
        <v>0.0</v>
      </c>
    </row>
    <row r="265" ht="15.75" customHeight="1">
      <c r="A265" s="4" t="s">
        <v>61</v>
      </c>
      <c r="B265" s="4" t="s">
        <v>3</v>
      </c>
      <c r="C265" s="4">
        <v>4.0</v>
      </c>
      <c r="D265" s="4">
        <v>19.0</v>
      </c>
      <c r="E265" s="4">
        <v>0.0</v>
      </c>
      <c r="F265" s="4">
        <v>0.0</v>
      </c>
    </row>
    <row r="266" ht="15.75" customHeight="1">
      <c r="A266" s="4" t="s">
        <v>61</v>
      </c>
      <c r="B266" s="4" t="s">
        <v>3</v>
      </c>
      <c r="C266" s="4">
        <v>5.0</v>
      </c>
      <c r="D266" s="4">
        <v>66.0</v>
      </c>
      <c r="E266" s="4">
        <v>0.0</v>
      </c>
      <c r="F266" s="4">
        <v>0.0</v>
      </c>
    </row>
    <row r="267" ht="15.75" customHeight="1">
      <c r="A267" s="4" t="s">
        <v>61</v>
      </c>
      <c r="B267" s="4" t="s">
        <v>4</v>
      </c>
      <c r="C267" s="4">
        <v>1.0</v>
      </c>
      <c r="D267" s="4">
        <v>13.0</v>
      </c>
      <c r="E267" s="4">
        <v>0.0</v>
      </c>
      <c r="F267" s="4">
        <v>0.0</v>
      </c>
    </row>
    <row r="268" ht="15.75" customHeight="1">
      <c r="A268" s="4" t="s">
        <v>61</v>
      </c>
      <c r="B268" s="4" t="s">
        <v>4</v>
      </c>
      <c r="C268" s="4">
        <v>2.0</v>
      </c>
      <c r="D268" s="4">
        <v>4.0</v>
      </c>
      <c r="E268" s="4">
        <v>0.0</v>
      </c>
      <c r="F268" s="4">
        <v>0.0</v>
      </c>
    </row>
    <row r="269" ht="15.75" customHeight="1">
      <c r="A269" s="4" t="s">
        <v>61</v>
      </c>
      <c r="B269" s="4" t="s">
        <v>4</v>
      </c>
      <c r="C269" s="4">
        <v>3.0</v>
      </c>
      <c r="D269" s="4">
        <v>12.0</v>
      </c>
      <c r="E269" s="4">
        <v>0.0</v>
      </c>
      <c r="F269" s="4">
        <v>0.0</v>
      </c>
    </row>
    <row r="270" ht="15.75" customHeight="1">
      <c r="A270" s="4" t="s">
        <v>61</v>
      </c>
      <c r="B270" s="4" t="s">
        <v>4</v>
      </c>
      <c r="C270" s="4">
        <v>4.0</v>
      </c>
      <c r="D270" s="4">
        <v>63.0</v>
      </c>
      <c r="E270" s="4">
        <v>0.0</v>
      </c>
      <c r="F270" s="4">
        <v>0.0</v>
      </c>
    </row>
    <row r="271" ht="15.75" customHeight="1">
      <c r="A271" s="4" t="s">
        <v>61</v>
      </c>
      <c r="B271" s="4" t="s">
        <v>4</v>
      </c>
      <c r="C271" s="4">
        <v>5.0</v>
      </c>
      <c r="D271" s="4">
        <v>82.0</v>
      </c>
      <c r="E271" s="4">
        <v>0.0</v>
      </c>
      <c r="F271" s="4">
        <v>0.0</v>
      </c>
    </row>
    <row r="272" ht="15.75" customHeight="1">
      <c r="A272" s="4" t="s">
        <v>61</v>
      </c>
      <c r="B272" s="4" t="s">
        <v>6</v>
      </c>
      <c r="C272" s="4">
        <v>1.0</v>
      </c>
      <c r="D272" s="4">
        <v>4.0</v>
      </c>
      <c r="E272" s="4">
        <v>0.0</v>
      </c>
      <c r="F272" s="4">
        <v>0.0</v>
      </c>
    </row>
    <row r="273" ht="15.75" customHeight="1">
      <c r="A273" s="4" t="s">
        <v>61</v>
      </c>
      <c r="B273" s="4" t="s">
        <v>6</v>
      </c>
      <c r="C273" s="4">
        <v>2.0</v>
      </c>
      <c r="D273" s="4">
        <v>13.0</v>
      </c>
      <c r="E273" s="4">
        <v>0.0</v>
      </c>
      <c r="F273" s="4">
        <v>0.0</v>
      </c>
    </row>
    <row r="274" ht="15.75" customHeight="1">
      <c r="A274" s="4" t="s">
        <v>61</v>
      </c>
      <c r="B274" s="4" t="s">
        <v>6</v>
      </c>
      <c r="C274" s="4">
        <v>3.0</v>
      </c>
      <c r="D274" s="4">
        <v>63.0</v>
      </c>
      <c r="E274" s="4">
        <v>0.0</v>
      </c>
      <c r="F274" s="4">
        <v>0.0</v>
      </c>
    </row>
    <row r="275" ht="15.75" customHeight="1">
      <c r="A275" s="4" t="s">
        <v>61</v>
      </c>
      <c r="B275" s="4" t="s">
        <v>6</v>
      </c>
      <c r="C275" s="4">
        <v>4.0</v>
      </c>
      <c r="D275" s="4">
        <v>82.0</v>
      </c>
      <c r="E275" s="4">
        <v>0.0</v>
      </c>
      <c r="F275" s="4">
        <v>0.0</v>
      </c>
    </row>
    <row r="276" ht="15.75" customHeight="1">
      <c r="A276" s="4" t="s">
        <v>61</v>
      </c>
      <c r="B276" s="4" t="s">
        <v>6</v>
      </c>
      <c r="C276" s="4">
        <v>5.0</v>
      </c>
      <c r="D276" s="4">
        <v>40.0</v>
      </c>
      <c r="E276" s="4">
        <v>0.0</v>
      </c>
      <c r="F276" s="4">
        <v>0.0</v>
      </c>
    </row>
    <row r="277" ht="15.75" customHeight="1">
      <c r="A277" s="4" t="s">
        <v>61</v>
      </c>
      <c r="B277" s="4" t="s">
        <v>8</v>
      </c>
      <c r="C277" s="4">
        <v>1.0</v>
      </c>
      <c r="D277" s="4">
        <v>31.0</v>
      </c>
      <c r="E277" s="4">
        <v>0.0</v>
      </c>
      <c r="F277" s="4">
        <v>0.0</v>
      </c>
    </row>
    <row r="278" ht="15.75" customHeight="1">
      <c r="A278" s="4" t="s">
        <v>61</v>
      </c>
      <c r="B278" s="4" t="s">
        <v>8</v>
      </c>
      <c r="C278" s="4">
        <v>2.0</v>
      </c>
      <c r="D278" s="4">
        <v>43.0</v>
      </c>
      <c r="E278" s="4">
        <v>0.0</v>
      </c>
      <c r="F278" s="4">
        <v>0.0</v>
      </c>
    </row>
    <row r="279" ht="15.75" customHeight="1">
      <c r="A279" s="4" t="s">
        <v>61</v>
      </c>
      <c r="B279" s="4" t="s">
        <v>8</v>
      </c>
      <c r="C279" s="4">
        <v>3.0</v>
      </c>
      <c r="D279" s="4">
        <v>55.0</v>
      </c>
      <c r="E279" s="4">
        <v>0.0</v>
      </c>
      <c r="F279" s="4">
        <v>0.0</v>
      </c>
    </row>
    <row r="280" ht="15.75" customHeight="1">
      <c r="A280" s="4" t="s">
        <v>61</v>
      </c>
      <c r="B280" s="4" t="s">
        <v>8</v>
      </c>
      <c r="C280" s="4">
        <v>4.0</v>
      </c>
      <c r="D280" s="4">
        <v>93.0</v>
      </c>
      <c r="E280" s="4">
        <v>0.0</v>
      </c>
      <c r="F280" s="4">
        <v>0.0</v>
      </c>
    </row>
    <row r="281" ht="15.75" customHeight="1">
      <c r="A281" s="4" t="s">
        <v>61</v>
      </c>
      <c r="B281" s="4" t="s">
        <v>8</v>
      </c>
      <c r="C281" s="4">
        <v>5.0</v>
      </c>
      <c r="D281" s="4">
        <v>95.0</v>
      </c>
      <c r="E281" s="4">
        <v>0.0</v>
      </c>
      <c r="F281" s="4">
        <v>0.0</v>
      </c>
    </row>
    <row r="282" ht="15.75" customHeight="1">
      <c r="A282" s="4" t="s">
        <v>62</v>
      </c>
      <c r="B282" s="4" t="s">
        <v>3</v>
      </c>
      <c r="C282" s="4">
        <v>1.0</v>
      </c>
      <c r="D282" s="4">
        <v>7.0</v>
      </c>
      <c r="E282" s="4">
        <v>1.0</v>
      </c>
      <c r="F282" s="4">
        <v>1.0</v>
      </c>
    </row>
    <row r="283" ht="15.75" customHeight="1">
      <c r="A283" s="4" t="s">
        <v>62</v>
      </c>
      <c r="B283" s="4" t="s">
        <v>3</v>
      </c>
      <c r="C283" s="4">
        <v>2.0</v>
      </c>
      <c r="D283" s="4">
        <v>6.0</v>
      </c>
      <c r="E283" s="4">
        <v>1.0</v>
      </c>
      <c r="F283" s="4">
        <v>1.0</v>
      </c>
    </row>
    <row r="284" ht="15.75" customHeight="1">
      <c r="A284" s="4" t="s">
        <v>62</v>
      </c>
      <c r="B284" s="4" t="s">
        <v>3</v>
      </c>
      <c r="C284" s="4">
        <v>3.0</v>
      </c>
      <c r="D284" s="4">
        <v>13.0</v>
      </c>
      <c r="E284" s="4">
        <v>0.0</v>
      </c>
      <c r="F284" s="4">
        <v>1.0</v>
      </c>
    </row>
    <row r="285" ht="15.75" customHeight="1">
      <c r="A285" s="4" t="s">
        <v>62</v>
      </c>
      <c r="B285" s="4" t="s">
        <v>3</v>
      </c>
      <c r="C285" s="4">
        <v>4.0</v>
      </c>
      <c r="D285" s="4">
        <v>15.0</v>
      </c>
      <c r="E285" s="4">
        <v>0.0</v>
      </c>
      <c r="F285" s="4">
        <v>1.0</v>
      </c>
    </row>
    <row r="286" ht="15.75" customHeight="1">
      <c r="A286" s="4" t="s">
        <v>62</v>
      </c>
      <c r="B286" s="4" t="s">
        <v>3</v>
      </c>
      <c r="C286" s="4">
        <v>5.0</v>
      </c>
      <c r="D286" s="4">
        <v>23.0</v>
      </c>
      <c r="E286" s="4">
        <v>0.0</v>
      </c>
      <c r="F286" s="4">
        <v>1.0</v>
      </c>
    </row>
    <row r="287" ht="15.75" customHeight="1">
      <c r="A287" s="4" t="s">
        <v>62</v>
      </c>
      <c r="B287" s="4" t="s">
        <v>4</v>
      </c>
      <c r="C287" s="4">
        <v>1.0</v>
      </c>
      <c r="D287" s="4">
        <v>7.0</v>
      </c>
      <c r="E287" s="4">
        <v>1.0</v>
      </c>
      <c r="F287" s="4">
        <v>1.0</v>
      </c>
    </row>
    <row r="288" ht="15.75" customHeight="1">
      <c r="A288" s="4" t="s">
        <v>62</v>
      </c>
      <c r="B288" s="4" t="s">
        <v>4</v>
      </c>
      <c r="C288" s="4">
        <v>2.0</v>
      </c>
      <c r="D288" s="4">
        <v>16.0</v>
      </c>
      <c r="E288" s="4">
        <v>0.0</v>
      </c>
      <c r="F288" s="4">
        <v>1.0</v>
      </c>
    </row>
    <row r="289" ht="15.75" customHeight="1">
      <c r="A289" s="4" t="s">
        <v>62</v>
      </c>
      <c r="B289" s="4" t="s">
        <v>4</v>
      </c>
      <c r="C289" s="4">
        <v>3.0</v>
      </c>
      <c r="D289" s="4">
        <v>8.0</v>
      </c>
      <c r="E289" s="4">
        <v>1.0</v>
      </c>
      <c r="F289" s="4">
        <v>1.0</v>
      </c>
    </row>
    <row r="290" ht="15.75" customHeight="1">
      <c r="A290" s="4" t="s">
        <v>62</v>
      </c>
      <c r="B290" s="4" t="s">
        <v>4</v>
      </c>
      <c r="C290" s="4">
        <v>4.0</v>
      </c>
      <c r="D290" s="4">
        <v>14.0</v>
      </c>
      <c r="E290" s="4">
        <v>0.0</v>
      </c>
      <c r="F290" s="4">
        <v>1.0</v>
      </c>
    </row>
    <row r="291" ht="15.75" customHeight="1">
      <c r="A291" s="4" t="s">
        <v>62</v>
      </c>
      <c r="B291" s="4" t="s">
        <v>4</v>
      </c>
      <c r="C291" s="4">
        <v>5.0</v>
      </c>
      <c r="D291" s="4">
        <v>48.0</v>
      </c>
      <c r="E291" s="4">
        <v>1.0</v>
      </c>
      <c r="F291" s="4">
        <v>1.0</v>
      </c>
    </row>
    <row r="292" ht="15.75" customHeight="1">
      <c r="A292" s="4" t="s">
        <v>62</v>
      </c>
      <c r="B292" s="4" t="s">
        <v>6</v>
      </c>
      <c r="C292" s="4">
        <v>1.0</v>
      </c>
      <c r="D292" s="4">
        <v>7.0</v>
      </c>
      <c r="E292" s="4">
        <v>1.0</v>
      </c>
      <c r="F292" s="4">
        <v>1.0</v>
      </c>
    </row>
    <row r="293" ht="15.75" customHeight="1">
      <c r="A293" s="4" t="s">
        <v>62</v>
      </c>
      <c r="B293" s="4" t="s">
        <v>6</v>
      </c>
      <c r="C293" s="4">
        <v>2.0</v>
      </c>
      <c r="D293" s="4">
        <v>16.0</v>
      </c>
      <c r="E293" s="4">
        <v>0.0</v>
      </c>
      <c r="F293" s="4">
        <v>1.0</v>
      </c>
    </row>
    <row r="294" ht="15.75" customHeight="1">
      <c r="A294" s="4" t="s">
        <v>62</v>
      </c>
      <c r="B294" s="4" t="s">
        <v>6</v>
      </c>
      <c r="C294" s="4">
        <v>3.0</v>
      </c>
      <c r="D294" s="4">
        <v>8.0</v>
      </c>
      <c r="E294" s="4">
        <v>1.0</v>
      </c>
      <c r="F294" s="4">
        <v>1.0</v>
      </c>
    </row>
    <row r="295" ht="15.75" customHeight="1">
      <c r="A295" s="4" t="s">
        <v>62</v>
      </c>
      <c r="B295" s="4" t="s">
        <v>6</v>
      </c>
      <c r="C295" s="4">
        <v>4.0</v>
      </c>
      <c r="D295" s="4">
        <v>14.0</v>
      </c>
      <c r="E295" s="4">
        <v>0.0</v>
      </c>
      <c r="F295" s="4">
        <v>1.0</v>
      </c>
    </row>
    <row r="296" ht="15.75" customHeight="1">
      <c r="A296" s="4" t="s">
        <v>62</v>
      </c>
      <c r="B296" s="4" t="s">
        <v>6</v>
      </c>
      <c r="C296" s="4">
        <v>5.0</v>
      </c>
      <c r="D296" s="4">
        <v>48.0</v>
      </c>
      <c r="E296" s="4">
        <v>1.0</v>
      </c>
      <c r="F296" s="4">
        <v>1.0</v>
      </c>
    </row>
    <row r="297" ht="15.75" customHeight="1">
      <c r="A297" s="4" t="s">
        <v>62</v>
      </c>
      <c r="B297" s="4" t="s">
        <v>8</v>
      </c>
      <c r="C297" s="4">
        <v>1.0</v>
      </c>
      <c r="D297" s="4">
        <v>18.0</v>
      </c>
      <c r="E297" s="4">
        <v>0.0</v>
      </c>
      <c r="F297" s="4">
        <v>0.0</v>
      </c>
    </row>
    <row r="298" ht="15.75" customHeight="1">
      <c r="A298" s="4" t="s">
        <v>62</v>
      </c>
      <c r="B298" s="4" t="s">
        <v>8</v>
      </c>
      <c r="C298" s="4">
        <v>2.0</v>
      </c>
      <c r="D298" s="4">
        <v>23.0</v>
      </c>
      <c r="E298" s="4">
        <v>0.0</v>
      </c>
      <c r="F298" s="4">
        <v>0.0</v>
      </c>
    </row>
    <row r="299" ht="15.75" customHeight="1">
      <c r="A299" s="4" t="s">
        <v>62</v>
      </c>
      <c r="B299" s="4" t="s">
        <v>8</v>
      </c>
      <c r="C299" s="4">
        <v>3.0</v>
      </c>
      <c r="D299" s="4">
        <v>28.0</v>
      </c>
      <c r="E299" s="4">
        <v>0.0</v>
      </c>
      <c r="F299" s="4">
        <v>0.0</v>
      </c>
    </row>
    <row r="300" ht="15.75" customHeight="1">
      <c r="A300" s="4" t="s">
        <v>62</v>
      </c>
      <c r="B300" s="4" t="s">
        <v>8</v>
      </c>
      <c r="C300" s="4">
        <v>4.0</v>
      </c>
      <c r="D300" s="4">
        <v>29.0</v>
      </c>
      <c r="E300" s="4">
        <v>0.0</v>
      </c>
      <c r="F300" s="4">
        <v>0.0</v>
      </c>
    </row>
    <row r="301" ht="15.75" customHeight="1">
      <c r="A301" s="4" t="s">
        <v>62</v>
      </c>
      <c r="B301" s="4" t="s">
        <v>8</v>
      </c>
      <c r="C301" s="4">
        <v>5.0</v>
      </c>
      <c r="D301" s="4">
        <v>30.0</v>
      </c>
      <c r="E301" s="4">
        <v>0.0</v>
      </c>
      <c r="F301" s="4">
        <v>0.0</v>
      </c>
    </row>
    <row r="302" ht="15.75" customHeight="1">
      <c r="A302" s="4" t="s">
        <v>63</v>
      </c>
      <c r="B302" s="4" t="s">
        <v>3</v>
      </c>
      <c r="C302" s="4">
        <v>1.0</v>
      </c>
      <c r="D302" s="4">
        <v>208.0</v>
      </c>
      <c r="E302" s="4">
        <v>0.0</v>
      </c>
      <c r="F302" s="4">
        <v>0.0</v>
      </c>
    </row>
    <row r="303" ht="15.75" customHeight="1">
      <c r="A303" s="4" t="s">
        <v>63</v>
      </c>
      <c r="B303" s="4" t="s">
        <v>3</v>
      </c>
      <c r="C303" s="4">
        <v>2.0</v>
      </c>
      <c r="D303" s="4">
        <v>199.0</v>
      </c>
      <c r="E303" s="4">
        <v>0.0</v>
      </c>
      <c r="F303" s="4">
        <v>0.0</v>
      </c>
    </row>
    <row r="304" ht="15.75" customHeight="1">
      <c r="A304" s="4" t="s">
        <v>63</v>
      </c>
      <c r="B304" s="4" t="s">
        <v>3</v>
      </c>
      <c r="C304" s="4">
        <v>3.0</v>
      </c>
      <c r="D304" s="4">
        <v>213.0</v>
      </c>
      <c r="E304" s="4">
        <v>0.0</v>
      </c>
      <c r="F304" s="4">
        <v>0.0</v>
      </c>
    </row>
    <row r="305" ht="15.75" customHeight="1">
      <c r="A305" s="4" t="s">
        <v>63</v>
      </c>
      <c r="B305" s="4" t="s">
        <v>3</v>
      </c>
      <c r="C305" s="4">
        <v>4.0</v>
      </c>
      <c r="D305" s="4">
        <v>64.0</v>
      </c>
      <c r="E305" s="4">
        <v>0.0</v>
      </c>
      <c r="F305" s="4">
        <v>0.0</v>
      </c>
    </row>
    <row r="306" ht="15.75" customHeight="1">
      <c r="A306" s="4" t="s">
        <v>63</v>
      </c>
      <c r="B306" s="4" t="s">
        <v>3</v>
      </c>
      <c r="C306" s="4">
        <v>5.0</v>
      </c>
      <c r="D306" s="4">
        <v>39.0</v>
      </c>
      <c r="E306" s="4">
        <v>0.0</v>
      </c>
      <c r="F306" s="4">
        <v>0.0</v>
      </c>
    </row>
    <row r="307" ht="15.75" customHeight="1">
      <c r="A307" s="4" t="s">
        <v>63</v>
      </c>
      <c r="B307" s="4" t="s">
        <v>4</v>
      </c>
      <c r="C307" s="4">
        <v>1.0</v>
      </c>
      <c r="D307" s="4">
        <v>2.0</v>
      </c>
      <c r="E307" s="4">
        <v>0.0</v>
      </c>
      <c r="F307" s="4">
        <v>0.0</v>
      </c>
    </row>
    <row r="308" ht="15.75" customHeight="1">
      <c r="A308" s="4" t="s">
        <v>63</v>
      </c>
      <c r="B308" s="4" t="s">
        <v>4</v>
      </c>
      <c r="C308" s="4">
        <v>2.0</v>
      </c>
      <c r="D308" s="4">
        <v>115.0</v>
      </c>
      <c r="E308" s="4">
        <v>0.0</v>
      </c>
      <c r="F308" s="4">
        <v>0.0</v>
      </c>
    </row>
    <row r="309" ht="15.75" customHeight="1">
      <c r="A309" s="4" t="s">
        <v>63</v>
      </c>
      <c r="B309" s="4" t="s">
        <v>4</v>
      </c>
      <c r="C309" s="4">
        <v>3.0</v>
      </c>
      <c r="D309" s="4">
        <v>14.0</v>
      </c>
      <c r="E309" s="4">
        <v>0.0</v>
      </c>
      <c r="F309" s="4">
        <v>0.0</v>
      </c>
    </row>
    <row r="310" ht="15.75" customHeight="1">
      <c r="A310" s="4" t="s">
        <v>63</v>
      </c>
      <c r="B310" s="4" t="s">
        <v>4</v>
      </c>
      <c r="C310" s="4">
        <v>4.0</v>
      </c>
      <c r="D310" s="4">
        <v>42.0</v>
      </c>
      <c r="E310" s="4">
        <v>0.0</v>
      </c>
      <c r="F310" s="4">
        <v>0.0</v>
      </c>
    </row>
    <row r="311" ht="15.75" customHeight="1">
      <c r="A311" s="4" t="s">
        <v>63</v>
      </c>
      <c r="B311" s="4" t="s">
        <v>4</v>
      </c>
      <c r="C311" s="4">
        <v>5.0</v>
      </c>
      <c r="D311" s="4">
        <v>155.0</v>
      </c>
      <c r="E311" s="4">
        <v>0.0</v>
      </c>
      <c r="F311" s="4">
        <v>0.0</v>
      </c>
    </row>
    <row r="312" ht="15.75" customHeight="1">
      <c r="A312" s="4" t="s">
        <v>63</v>
      </c>
      <c r="B312" s="4" t="s">
        <v>6</v>
      </c>
      <c r="C312" s="4">
        <v>1.0</v>
      </c>
      <c r="D312" s="4">
        <v>2.0</v>
      </c>
      <c r="E312" s="4">
        <v>0.0</v>
      </c>
      <c r="F312" s="4">
        <v>0.0</v>
      </c>
    </row>
    <row r="313" ht="15.75" customHeight="1">
      <c r="A313" s="4" t="s">
        <v>63</v>
      </c>
      <c r="B313" s="4" t="s">
        <v>6</v>
      </c>
      <c r="C313" s="4">
        <v>2.0</v>
      </c>
      <c r="D313" s="4">
        <v>115.0</v>
      </c>
      <c r="E313" s="4">
        <v>0.0</v>
      </c>
      <c r="F313" s="4">
        <v>0.0</v>
      </c>
    </row>
    <row r="314" ht="15.75" customHeight="1">
      <c r="A314" s="4" t="s">
        <v>63</v>
      </c>
      <c r="B314" s="4" t="s">
        <v>6</v>
      </c>
      <c r="C314" s="4">
        <v>3.0</v>
      </c>
      <c r="D314" s="4">
        <v>14.0</v>
      </c>
      <c r="E314" s="4">
        <v>0.0</v>
      </c>
      <c r="F314" s="4">
        <v>0.0</v>
      </c>
    </row>
    <row r="315" ht="15.75" customHeight="1">
      <c r="A315" s="4" t="s">
        <v>63</v>
      </c>
      <c r="B315" s="4" t="s">
        <v>6</v>
      </c>
      <c r="C315" s="4">
        <v>4.0</v>
      </c>
      <c r="D315" s="4">
        <v>42.0</v>
      </c>
      <c r="E315" s="4">
        <v>0.0</v>
      </c>
      <c r="F315" s="4">
        <v>0.0</v>
      </c>
    </row>
    <row r="316" ht="15.75" customHeight="1">
      <c r="A316" s="4" t="s">
        <v>63</v>
      </c>
      <c r="B316" s="4" t="s">
        <v>6</v>
      </c>
      <c r="C316" s="4">
        <v>5.0</v>
      </c>
      <c r="D316" s="4">
        <v>155.0</v>
      </c>
      <c r="E316" s="4">
        <v>0.0</v>
      </c>
      <c r="F316" s="4">
        <v>0.0</v>
      </c>
    </row>
    <row r="317" ht="15.75" customHeight="1">
      <c r="A317" s="4" t="s">
        <v>63</v>
      </c>
      <c r="B317" s="4" t="s">
        <v>8</v>
      </c>
      <c r="C317" s="4">
        <v>1.0</v>
      </c>
      <c r="D317" s="4">
        <v>37.0</v>
      </c>
      <c r="E317" s="4">
        <v>0.0</v>
      </c>
      <c r="F317" s="4">
        <v>0.0</v>
      </c>
    </row>
    <row r="318" ht="15.75" customHeight="1">
      <c r="A318" s="4" t="s">
        <v>63</v>
      </c>
      <c r="B318" s="4" t="s">
        <v>8</v>
      </c>
      <c r="C318" s="4">
        <v>2.0</v>
      </c>
      <c r="D318" s="4">
        <v>99.0</v>
      </c>
      <c r="E318" s="4">
        <v>0.0</v>
      </c>
      <c r="F318" s="4">
        <v>0.0</v>
      </c>
    </row>
    <row r="319" ht="15.75" customHeight="1">
      <c r="A319" s="4" t="s">
        <v>63</v>
      </c>
      <c r="B319" s="4" t="s">
        <v>8</v>
      </c>
      <c r="C319" s="4">
        <v>3.0</v>
      </c>
      <c r="D319" s="4">
        <v>139.0</v>
      </c>
      <c r="E319" s="4">
        <v>0.0</v>
      </c>
      <c r="F319" s="4">
        <v>0.0</v>
      </c>
    </row>
    <row r="320" ht="15.75" customHeight="1">
      <c r="A320" s="4" t="s">
        <v>63</v>
      </c>
      <c r="B320" s="4" t="s">
        <v>8</v>
      </c>
      <c r="C320" s="4">
        <v>4.0</v>
      </c>
      <c r="D320" s="4">
        <v>157.0</v>
      </c>
      <c r="E320" s="4">
        <v>0.0</v>
      </c>
      <c r="F320" s="4">
        <v>0.0</v>
      </c>
    </row>
    <row r="321" ht="15.75" customHeight="1">
      <c r="A321" s="4" t="s">
        <v>63</v>
      </c>
      <c r="B321" s="4" t="s">
        <v>8</v>
      </c>
      <c r="C321" s="4">
        <v>5.0</v>
      </c>
      <c r="D321" s="4">
        <v>168.0</v>
      </c>
      <c r="E321" s="4">
        <v>0.0</v>
      </c>
      <c r="F321" s="4">
        <v>0.0</v>
      </c>
    </row>
    <row r="322" ht="15.75" customHeight="1">
      <c r="A322" s="4" t="s">
        <v>64</v>
      </c>
      <c r="B322" s="4" t="s">
        <v>3</v>
      </c>
      <c r="C322" s="4">
        <v>1.0</v>
      </c>
      <c r="D322" s="4">
        <v>30.0</v>
      </c>
      <c r="E322" s="4">
        <v>0.0</v>
      </c>
      <c r="F322" s="4">
        <v>0.0</v>
      </c>
    </row>
    <row r="323" ht="15.75" customHeight="1">
      <c r="A323" s="4" t="s">
        <v>64</v>
      </c>
      <c r="B323" s="4" t="s">
        <v>3</v>
      </c>
      <c r="C323" s="4">
        <v>2.0</v>
      </c>
      <c r="D323" s="4">
        <v>42.0</v>
      </c>
      <c r="E323" s="4">
        <v>0.0</v>
      </c>
      <c r="F323" s="4">
        <v>0.0</v>
      </c>
    </row>
    <row r="324" ht="15.75" customHeight="1">
      <c r="A324" s="4" t="s">
        <v>64</v>
      </c>
      <c r="B324" s="4" t="s">
        <v>3</v>
      </c>
      <c r="C324" s="4">
        <v>3.0</v>
      </c>
      <c r="D324" s="4">
        <v>33.0</v>
      </c>
      <c r="E324" s="4">
        <v>0.0</v>
      </c>
      <c r="F324" s="4">
        <v>0.0</v>
      </c>
    </row>
    <row r="325" ht="15.75" customHeight="1">
      <c r="A325" s="4" t="s">
        <v>64</v>
      </c>
      <c r="B325" s="4" t="s">
        <v>3</v>
      </c>
      <c r="C325" s="4">
        <v>4.0</v>
      </c>
      <c r="D325" s="4">
        <v>41.0</v>
      </c>
      <c r="E325" s="4">
        <v>0.0</v>
      </c>
      <c r="F325" s="4">
        <v>0.0</v>
      </c>
    </row>
    <row r="326" ht="15.75" customHeight="1">
      <c r="A326" s="4" t="s">
        <v>64</v>
      </c>
      <c r="B326" s="4" t="s">
        <v>3</v>
      </c>
      <c r="C326" s="4">
        <v>5.0</v>
      </c>
      <c r="D326" s="4">
        <v>8.0</v>
      </c>
      <c r="E326" s="4">
        <v>1.0</v>
      </c>
      <c r="F326" s="4">
        <v>1.0</v>
      </c>
    </row>
    <row r="327" ht="15.75" customHeight="1">
      <c r="A327" s="4" t="s">
        <v>64</v>
      </c>
      <c r="B327" s="4" t="s">
        <v>4</v>
      </c>
      <c r="C327" s="4">
        <v>1.0</v>
      </c>
      <c r="D327" s="4">
        <v>8.0</v>
      </c>
      <c r="E327" s="4">
        <v>1.0</v>
      </c>
      <c r="F327" s="4">
        <v>1.0</v>
      </c>
    </row>
    <row r="328" ht="15.75" customHeight="1">
      <c r="A328" s="4" t="s">
        <v>64</v>
      </c>
      <c r="B328" s="4" t="s">
        <v>4</v>
      </c>
      <c r="C328" s="4">
        <v>2.0</v>
      </c>
      <c r="D328" s="4">
        <v>9.0</v>
      </c>
      <c r="E328" s="4">
        <v>0.0</v>
      </c>
      <c r="F328" s="4">
        <v>1.0</v>
      </c>
    </row>
    <row r="329" ht="15.75" customHeight="1">
      <c r="A329" s="4" t="s">
        <v>64</v>
      </c>
      <c r="B329" s="4" t="s">
        <v>4</v>
      </c>
      <c r="C329" s="4">
        <v>3.0</v>
      </c>
      <c r="D329" s="4">
        <v>12.0</v>
      </c>
      <c r="E329" s="4">
        <v>1.0</v>
      </c>
      <c r="F329" s="4">
        <v>1.0</v>
      </c>
    </row>
    <row r="330" ht="15.75" customHeight="1">
      <c r="A330" s="4" t="s">
        <v>64</v>
      </c>
      <c r="B330" s="4" t="s">
        <v>4</v>
      </c>
      <c r="C330" s="4">
        <v>4.0</v>
      </c>
      <c r="D330" s="4">
        <v>27.0</v>
      </c>
      <c r="E330" s="4">
        <v>0.0</v>
      </c>
      <c r="F330" s="4">
        <v>1.0</v>
      </c>
    </row>
    <row r="331" ht="15.75" customHeight="1">
      <c r="A331" s="4" t="s">
        <v>64</v>
      </c>
      <c r="B331" s="4" t="s">
        <v>4</v>
      </c>
      <c r="C331" s="4">
        <v>5.0</v>
      </c>
      <c r="D331" s="4">
        <v>32.0</v>
      </c>
      <c r="E331" s="4">
        <v>0.0</v>
      </c>
      <c r="F331" s="4">
        <v>1.0</v>
      </c>
    </row>
    <row r="332" ht="15.75" customHeight="1">
      <c r="A332" s="4" t="s">
        <v>64</v>
      </c>
      <c r="B332" s="4" t="s">
        <v>6</v>
      </c>
      <c r="C332" s="4">
        <v>1.0</v>
      </c>
      <c r="D332" s="4">
        <v>8.0</v>
      </c>
      <c r="E332" s="4">
        <v>1.0</v>
      </c>
      <c r="F332" s="4">
        <v>1.0</v>
      </c>
    </row>
    <row r="333" ht="15.75" customHeight="1">
      <c r="A333" s="4" t="s">
        <v>64</v>
      </c>
      <c r="B333" s="4" t="s">
        <v>6</v>
      </c>
      <c r="C333" s="4">
        <v>2.0</v>
      </c>
      <c r="D333" s="4">
        <v>27.0</v>
      </c>
      <c r="E333" s="4">
        <v>0.0</v>
      </c>
      <c r="F333" s="4">
        <v>1.0</v>
      </c>
    </row>
    <row r="334" ht="15.75" customHeight="1">
      <c r="A334" s="4" t="s">
        <v>64</v>
      </c>
      <c r="B334" s="4" t="s">
        <v>6</v>
      </c>
      <c r="C334" s="4">
        <v>3.0</v>
      </c>
      <c r="D334" s="4">
        <v>9.0</v>
      </c>
      <c r="E334" s="4">
        <v>0.0</v>
      </c>
      <c r="F334" s="4">
        <v>1.0</v>
      </c>
    </row>
    <row r="335" ht="15.75" customHeight="1">
      <c r="A335" s="4" t="s">
        <v>64</v>
      </c>
      <c r="B335" s="4" t="s">
        <v>6</v>
      </c>
      <c r="C335" s="4">
        <v>4.0</v>
      </c>
      <c r="D335" s="4">
        <v>12.0</v>
      </c>
      <c r="E335" s="4">
        <v>1.0</v>
      </c>
      <c r="F335" s="4">
        <v>1.0</v>
      </c>
    </row>
    <row r="336" ht="15.75" customHeight="1">
      <c r="A336" s="4" t="s">
        <v>64</v>
      </c>
      <c r="B336" s="4" t="s">
        <v>6</v>
      </c>
      <c r="C336" s="4">
        <v>5.0</v>
      </c>
      <c r="D336" s="4">
        <v>32.0</v>
      </c>
      <c r="E336" s="4">
        <v>0.0</v>
      </c>
      <c r="F336" s="4">
        <v>1.0</v>
      </c>
    </row>
    <row r="337" ht="15.75" customHeight="1">
      <c r="A337" s="4" t="s">
        <v>64</v>
      </c>
      <c r="B337" s="4" t="s">
        <v>8</v>
      </c>
      <c r="C337" s="4">
        <v>1.0</v>
      </c>
      <c r="D337" s="4">
        <v>12.0</v>
      </c>
      <c r="E337" s="4">
        <v>1.0</v>
      </c>
      <c r="F337" s="4">
        <v>1.0</v>
      </c>
    </row>
    <row r="338" ht="15.75" customHeight="1">
      <c r="A338" s="4" t="s">
        <v>64</v>
      </c>
      <c r="B338" s="4" t="s">
        <v>8</v>
      </c>
      <c r="C338" s="4">
        <v>2.0</v>
      </c>
      <c r="D338" s="4">
        <v>25.0</v>
      </c>
      <c r="E338" s="4">
        <v>0.0</v>
      </c>
      <c r="F338" s="4">
        <v>1.0</v>
      </c>
    </row>
    <row r="339" ht="15.75" customHeight="1">
      <c r="A339" s="4" t="s">
        <v>64</v>
      </c>
      <c r="B339" s="4" t="s">
        <v>8</v>
      </c>
      <c r="C339" s="4">
        <v>3.0</v>
      </c>
      <c r="D339" s="4">
        <v>29.0</v>
      </c>
      <c r="E339" s="4">
        <v>0.0</v>
      </c>
      <c r="F339" s="4">
        <v>1.0</v>
      </c>
    </row>
    <row r="340" ht="15.75" customHeight="1">
      <c r="A340" s="4" t="s">
        <v>64</v>
      </c>
      <c r="B340" s="4" t="s">
        <v>8</v>
      </c>
      <c r="C340" s="4">
        <v>4.0</v>
      </c>
      <c r="D340" s="4">
        <v>34.0</v>
      </c>
      <c r="E340" s="4">
        <v>0.0</v>
      </c>
      <c r="F340" s="4">
        <v>1.0</v>
      </c>
    </row>
    <row r="341" ht="15.75" customHeight="1">
      <c r="A341" s="4" t="s">
        <v>64</v>
      </c>
      <c r="B341" s="4" t="s">
        <v>8</v>
      </c>
      <c r="C341" s="4">
        <v>5.0</v>
      </c>
      <c r="D341" s="4">
        <v>37.0</v>
      </c>
      <c r="E341" s="4">
        <v>0.0</v>
      </c>
      <c r="F341" s="4">
        <v>1.0</v>
      </c>
    </row>
    <row r="342" ht="15.75" customHeight="1">
      <c r="A342" s="4" t="s">
        <v>65</v>
      </c>
      <c r="B342" s="4" t="s">
        <v>3</v>
      </c>
      <c r="C342" s="4">
        <v>1.0</v>
      </c>
      <c r="D342" s="4">
        <v>145.0</v>
      </c>
      <c r="E342" s="4">
        <v>0.0</v>
      </c>
      <c r="F342" s="4">
        <v>0.0</v>
      </c>
    </row>
    <row r="343" ht="15.75" customHeight="1">
      <c r="A343" s="4" t="s">
        <v>65</v>
      </c>
      <c r="B343" s="4" t="s">
        <v>3</v>
      </c>
      <c r="C343" s="4">
        <v>2.0</v>
      </c>
      <c r="D343" s="4">
        <v>173.0</v>
      </c>
      <c r="E343" s="4">
        <v>1.0</v>
      </c>
      <c r="F343" s="4">
        <v>1.0</v>
      </c>
    </row>
    <row r="344" ht="15.75" customHeight="1">
      <c r="A344" s="4" t="s">
        <v>65</v>
      </c>
      <c r="B344" s="4" t="s">
        <v>3</v>
      </c>
      <c r="C344" s="4">
        <v>3.0</v>
      </c>
      <c r="D344" s="4">
        <v>7.0</v>
      </c>
      <c r="E344" s="4">
        <v>0.0</v>
      </c>
      <c r="F344" s="4">
        <v>1.0</v>
      </c>
    </row>
    <row r="345" ht="15.75" customHeight="1">
      <c r="A345" s="4" t="s">
        <v>65</v>
      </c>
      <c r="B345" s="4" t="s">
        <v>3</v>
      </c>
      <c r="C345" s="4">
        <v>4.0</v>
      </c>
      <c r="D345" s="4">
        <v>157.0</v>
      </c>
      <c r="E345" s="4">
        <v>0.0</v>
      </c>
      <c r="F345" s="4">
        <v>1.0</v>
      </c>
    </row>
    <row r="346" ht="15.75" customHeight="1">
      <c r="A346" s="4" t="s">
        <v>65</v>
      </c>
      <c r="B346" s="4" t="s">
        <v>3</v>
      </c>
      <c r="C346" s="4">
        <v>5.0</v>
      </c>
      <c r="D346" s="4">
        <v>182.0</v>
      </c>
      <c r="E346" s="4">
        <v>0.0</v>
      </c>
      <c r="F346" s="4">
        <v>1.0</v>
      </c>
    </row>
    <row r="347" ht="15.75" customHeight="1">
      <c r="A347" s="4" t="s">
        <v>65</v>
      </c>
      <c r="B347" s="4" t="s">
        <v>4</v>
      </c>
      <c r="C347" s="4">
        <v>1.0</v>
      </c>
      <c r="D347" s="4">
        <v>8.0</v>
      </c>
      <c r="E347" s="4">
        <v>1.0</v>
      </c>
      <c r="F347" s="4">
        <v>1.0</v>
      </c>
    </row>
    <row r="348" ht="15.75" customHeight="1">
      <c r="A348" s="4" t="s">
        <v>65</v>
      </c>
      <c r="B348" s="4" t="s">
        <v>4</v>
      </c>
      <c r="C348" s="4">
        <v>2.0</v>
      </c>
      <c r="D348" s="4">
        <v>145.0</v>
      </c>
      <c r="E348" s="4">
        <v>0.0</v>
      </c>
      <c r="F348" s="4">
        <v>1.0</v>
      </c>
    </row>
    <row r="349" ht="15.75" customHeight="1">
      <c r="A349" s="4" t="s">
        <v>65</v>
      </c>
      <c r="B349" s="4" t="s">
        <v>4</v>
      </c>
      <c r="C349" s="4">
        <v>3.0</v>
      </c>
      <c r="D349" s="4">
        <v>163.0</v>
      </c>
      <c r="E349" s="4">
        <v>0.0</v>
      </c>
      <c r="F349" s="4">
        <v>1.0</v>
      </c>
    </row>
    <row r="350" ht="15.75" customHeight="1">
      <c r="A350" s="4" t="s">
        <v>65</v>
      </c>
      <c r="B350" s="4" t="s">
        <v>4</v>
      </c>
      <c r="C350" s="4">
        <v>4.0</v>
      </c>
      <c r="D350" s="4">
        <v>183.0</v>
      </c>
      <c r="E350" s="4">
        <v>0.0</v>
      </c>
      <c r="F350" s="4">
        <v>1.0</v>
      </c>
    </row>
    <row r="351" ht="15.75" customHeight="1">
      <c r="A351" s="4" t="s">
        <v>65</v>
      </c>
      <c r="B351" s="4" t="s">
        <v>4</v>
      </c>
      <c r="C351" s="4">
        <v>5.0</v>
      </c>
      <c r="D351" s="4">
        <v>185.0</v>
      </c>
      <c r="E351" s="4">
        <v>0.0</v>
      </c>
      <c r="F351" s="4">
        <v>1.0</v>
      </c>
    </row>
    <row r="352" ht="15.75" customHeight="1">
      <c r="A352" s="4" t="s">
        <v>65</v>
      </c>
      <c r="B352" s="4" t="s">
        <v>6</v>
      </c>
      <c r="C352" s="4">
        <v>1.0</v>
      </c>
      <c r="D352" s="4">
        <v>8.0</v>
      </c>
      <c r="E352" s="4">
        <v>1.0</v>
      </c>
      <c r="F352" s="4">
        <v>1.0</v>
      </c>
    </row>
    <row r="353" ht="15.75" customHeight="1">
      <c r="A353" s="4" t="s">
        <v>65</v>
      </c>
      <c r="B353" s="4" t="s">
        <v>6</v>
      </c>
      <c r="C353" s="4">
        <v>2.0</v>
      </c>
      <c r="D353" s="4">
        <v>146.0</v>
      </c>
      <c r="E353" s="4">
        <v>1.0</v>
      </c>
      <c r="F353" s="4">
        <v>1.0</v>
      </c>
    </row>
    <row r="354" ht="15.75" customHeight="1">
      <c r="A354" s="4" t="s">
        <v>65</v>
      </c>
      <c r="B354" s="4" t="s">
        <v>6</v>
      </c>
      <c r="C354" s="4">
        <v>3.0</v>
      </c>
      <c r="D354" s="4">
        <v>145.0</v>
      </c>
      <c r="E354" s="4">
        <v>0.0</v>
      </c>
      <c r="F354" s="4">
        <v>1.0</v>
      </c>
    </row>
    <row r="355" ht="15.75" customHeight="1">
      <c r="A355" s="4" t="s">
        <v>65</v>
      </c>
      <c r="B355" s="4" t="s">
        <v>6</v>
      </c>
      <c r="C355" s="4">
        <v>4.0</v>
      </c>
      <c r="D355" s="4">
        <v>185.0</v>
      </c>
      <c r="E355" s="4">
        <v>0.0</v>
      </c>
      <c r="F355" s="4">
        <v>1.0</v>
      </c>
    </row>
    <row r="356" ht="15.75" customHeight="1">
      <c r="A356" s="4" t="s">
        <v>65</v>
      </c>
      <c r="B356" s="4" t="s">
        <v>6</v>
      </c>
      <c r="C356" s="4">
        <v>5.0</v>
      </c>
      <c r="D356" s="4">
        <v>163.0</v>
      </c>
      <c r="E356" s="4">
        <v>0.0</v>
      </c>
      <c r="F356" s="4">
        <v>1.0</v>
      </c>
    </row>
    <row r="357" ht="15.75" customHeight="1">
      <c r="A357" s="4" t="s">
        <v>65</v>
      </c>
      <c r="B357" s="4" t="s">
        <v>8</v>
      </c>
      <c r="C357" s="4">
        <v>1.0</v>
      </c>
      <c r="D357" s="4">
        <v>6.0</v>
      </c>
      <c r="E357" s="4">
        <v>1.0</v>
      </c>
      <c r="F357" s="4">
        <v>1.0</v>
      </c>
    </row>
    <row r="358" ht="15.75" customHeight="1">
      <c r="A358" s="4" t="s">
        <v>65</v>
      </c>
      <c r="B358" s="4" t="s">
        <v>8</v>
      </c>
      <c r="C358" s="4">
        <v>2.0</v>
      </c>
      <c r="D358" s="4">
        <v>22.0</v>
      </c>
      <c r="E358" s="4">
        <v>0.0</v>
      </c>
      <c r="F358" s="4">
        <v>1.0</v>
      </c>
    </row>
    <row r="359" ht="15.75" customHeight="1">
      <c r="A359" s="4" t="s">
        <v>65</v>
      </c>
      <c r="B359" s="4" t="s">
        <v>8</v>
      </c>
      <c r="C359" s="4">
        <v>3.0</v>
      </c>
      <c r="D359" s="4">
        <v>44.0</v>
      </c>
      <c r="E359" s="4">
        <v>0.0</v>
      </c>
      <c r="F359" s="4">
        <v>1.0</v>
      </c>
    </row>
    <row r="360" ht="15.75" customHeight="1">
      <c r="A360" s="4" t="s">
        <v>65</v>
      </c>
      <c r="B360" s="4" t="s">
        <v>8</v>
      </c>
      <c r="C360" s="4">
        <v>4.0</v>
      </c>
      <c r="D360" s="4">
        <v>53.0</v>
      </c>
      <c r="E360" s="4">
        <v>0.0</v>
      </c>
      <c r="F360" s="4">
        <v>1.0</v>
      </c>
    </row>
    <row r="361" ht="15.75" customHeight="1">
      <c r="A361" s="4" t="s">
        <v>65</v>
      </c>
      <c r="B361" s="4" t="s">
        <v>8</v>
      </c>
      <c r="C361" s="4">
        <v>5.0</v>
      </c>
      <c r="D361" s="4">
        <v>95.0</v>
      </c>
      <c r="E361" s="4">
        <v>0.0</v>
      </c>
      <c r="F361" s="4">
        <v>1.0</v>
      </c>
    </row>
    <row r="362" ht="15.75" customHeight="1">
      <c r="A362" s="4" t="s">
        <v>66</v>
      </c>
      <c r="B362" s="4" t="s">
        <v>3</v>
      </c>
      <c r="C362" s="4">
        <v>1.0</v>
      </c>
      <c r="D362" s="4">
        <v>20.0</v>
      </c>
      <c r="E362" s="4">
        <v>0.0</v>
      </c>
      <c r="F362" s="4">
        <v>0.0</v>
      </c>
    </row>
    <row r="363" ht="15.75" customHeight="1">
      <c r="A363" s="4" t="s">
        <v>66</v>
      </c>
      <c r="B363" s="4" t="s">
        <v>3</v>
      </c>
      <c r="C363" s="4">
        <v>2.0</v>
      </c>
      <c r="D363" s="4">
        <v>14.0</v>
      </c>
      <c r="E363" s="4">
        <v>1.0</v>
      </c>
      <c r="F363" s="4">
        <v>1.0</v>
      </c>
    </row>
    <row r="364" ht="15.75" customHeight="1">
      <c r="A364" s="4" t="s">
        <v>66</v>
      </c>
      <c r="B364" s="4" t="s">
        <v>3</v>
      </c>
      <c r="C364" s="4">
        <v>3.0</v>
      </c>
      <c r="D364" s="4">
        <v>12.0</v>
      </c>
      <c r="E364" s="4">
        <v>0.0</v>
      </c>
      <c r="F364" s="4">
        <v>1.0</v>
      </c>
    </row>
    <row r="365" ht="15.75" customHeight="1">
      <c r="A365" s="4" t="s">
        <v>66</v>
      </c>
      <c r="B365" s="4" t="s">
        <v>3</v>
      </c>
      <c r="C365" s="4">
        <v>4.0</v>
      </c>
      <c r="D365" s="4">
        <v>28.0</v>
      </c>
      <c r="E365" s="4">
        <v>0.0</v>
      </c>
      <c r="F365" s="4">
        <v>1.0</v>
      </c>
    </row>
    <row r="366" ht="15.75" customHeight="1">
      <c r="A366" s="4" t="s">
        <v>66</v>
      </c>
      <c r="B366" s="4" t="s">
        <v>3</v>
      </c>
      <c r="C366" s="4">
        <v>5.0</v>
      </c>
      <c r="D366" s="4">
        <v>30.0</v>
      </c>
      <c r="E366" s="4">
        <v>0.0</v>
      </c>
      <c r="F366" s="4">
        <v>1.0</v>
      </c>
    </row>
    <row r="367" ht="15.75" customHeight="1">
      <c r="A367" s="4" t="s">
        <v>66</v>
      </c>
      <c r="B367" s="4" t="s">
        <v>4</v>
      </c>
      <c r="C367" s="4">
        <v>1.0</v>
      </c>
      <c r="D367" s="4">
        <v>8.0</v>
      </c>
      <c r="E367" s="4">
        <v>0.0</v>
      </c>
      <c r="F367" s="4">
        <v>0.0</v>
      </c>
    </row>
    <row r="368" ht="15.75" customHeight="1">
      <c r="A368" s="4" t="s">
        <v>66</v>
      </c>
      <c r="B368" s="4" t="s">
        <v>4</v>
      </c>
      <c r="C368" s="4">
        <v>2.0</v>
      </c>
      <c r="D368" s="4">
        <v>14.0</v>
      </c>
      <c r="E368" s="4">
        <v>1.0</v>
      </c>
      <c r="F368" s="4">
        <v>1.0</v>
      </c>
    </row>
    <row r="369" ht="15.75" customHeight="1">
      <c r="A369" s="4" t="s">
        <v>66</v>
      </c>
      <c r="B369" s="4" t="s">
        <v>4</v>
      </c>
      <c r="C369" s="4">
        <v>3.0</v>
      </c>
      <c r="D369" s="4">
        <v>32.0</v>
      </c>
      <c r="E369" s="4">
        <v>0.0</v>
      </c>
      <c r="F369" s="4">
        <v>1.0</v>
      </c>
    </row>
    <row r="370" ht="15.75" customHeight="1">
      <c r="A370" s="4" t="s">
        <v>66</v>
      </c>
      <c r="B370" s="4" t="s">
        <v>4</v>
      </c>
      <c r="C370" s="4">
        <v>4.0</v>
      </c>
      <c r="D370" s="4">
        <v>22.0</v>
      </c>
      <c r="E370" s="4">
        <v>1.0</v>
      </c>
      <c r="F370" s="4">
        <v>1.0</v>
      </c>
    </row>
    <row r="371" ht="15.75" customHeight="1">
      <c r="A371" s="4" t="s">
        <v>66</v>
      </c>
      <c r="B371" s="4" t="s">
        <v>4</v>
      </c>
      <c r="C371" s="4">
        <v>5.0</v>
      </c>
      <c r="D371" s="4">
        <v>33.0</v>
      </c>
      <c r="E371" s="4">
        <v>0.0</v>
      </c>
      <c r="F371" s="4">
        <v>1.0</v>
      </c>
    </row>
    <row r="372" ht="15.75" customHeight="1">
      <c r="A372" s="4" t="s">
        <v>66</v>
      </c>
      <c r="B372" s="4" t="s">
        <v>6</v>
      </c>
      <c r="C372" s="4">
        <v>1.0</v>
      </c>
      <c r="D372" s="4">
        <v>33.0</v>
      </c>
      <c r="E372" s="4">
        <v>0.0</v>
      </c>
      <c r="F372" s="4">
        <v>0.0</v>
      </c>
    </row>
    <row r="373" ht="15.75" customHeight="1">
      <c r="A373" s="4" t="s">
        <v>66</v>
      </c>
      <c r="B373" s="4" t="s">
        <v>6</v>
      </c>
      <c r="C373" s="4">
        <v>2.0</v>
      </c>
      <c r="D373" s="4">
        <v>8.0</v>
      </c>
      <c r="E373" s="4">
        <v>0.0</v>
      </c>
      <c r="F373" s="4">
        <v>0.0</v>
      </c>
    </row>
    <row r="374" ht="15.75" customHeight="1">
      <c r="A374" s="4" t="s">
        <v>66</v>
      </c>
      <c r="B374" s="4" t="s">
        <v>6</v>
      </c>
      <c r="C374" s="4">
        <v>3.0</v>
      </c>
      <c r="D374" s="4">
        <v>22.0</v>
      </c>
      <c r="E374" s="4">
        <v>1.0</v>
      </c>
      <c r="F374" s="4">
        <v>1.0</v>
      </c>
    </row>
    <row r="375" ht="15.75" customHeight="1">
      <c r="A375" s="4" t="s">
        <v>66</v>
      </c>
      <c r="B375" s="4" t="s">
        <v>6</v>
      </c>
      <c r="C375" s="4">
        <v>4.0</v>
      </c>
      <c r="D375" s="4">
        <v>32.0</v>
      </c>
      <c r="E375" s="4">
        <v>0.0</v>
      </c>
      <c r="F375" s="4">
        <v>1.0</v>
      </c>
    </row>
    <row r="376" ht="15.75" customHeight="1">
      <c r="A376" s="4" t="s">
        <v>66</v>
      </c>
      <c r="B376" s="4" t="s">
        <v>6</v>
      </c>
      <c r="C376" s="4">
        <v>5.0</v>
      </c>
      <c r="D376" s="4">
        <v>14.0</v>
      </c>
      <c r="E376" s="4">
        <v>1.0</v>
      </c>
      <c r="F376" s="4">
        <v>1.0</v>
      </c>
    </row>
    <row r="377" ht="15.75" customHeight="1">
      <c r="A377" s="4" t="s">
        <v>66</v>
      </c>
      <c r="B377" s="4" t="s">
        <v>8</v>
      </c>
      <c r="C377" s="4">
        <v>1.0</v>
      </c>
      <c r="D377" s="4">
        <v>10.0</v>
      </c>
      <c r="E377" s="4">
        <v>1.0</v>
      </c>
      <c r="F377" s="4">
        <v>1.0</v>
      </c>
    </row>
    <row r="378" ht="15.75" customHeight="1">
      <c r="A378" s="4" t="s">
        <v>66</v>
      </c>
      <c r="B378" s="4" t="s">
        <v>8</v>
      </c>
      <c r="C378" s="4">
        <v>2.0</v>
      </c>
      <c r="D378" s="4">
        <v>16.0</v>
      </c>
      <c r="E378" s="4">
        <v>0.0</v>
      </c>
      <c r="F378" s="4">
        <v>1.0</v>
      </c>
    </row>
    <row r="379" ht="15.75" customHeight="1">
      <c r="A379" s="4" t="s">
        <v>66</v>
      </c>
      <c r="B379" s="4" t="s">
        <v>8</v>
      </c>
      <c r="C379" s="4">
        <v>3.0</v>
      </c>
      <c r="D379" s="4">
        <v>23.0</v>
      </c>
      <c r="E379" s="4">
        <v>0.0</v>
      </c>
      <c r="F379" s="4">
        <v>1.0</v>
      </c>
    </row>
    <row r="380" ht="15.75" customHeight="1">
      <c r="A380" s="4" t="s">
        <v>66</v>
      </c>
      <c r="B380" s="4" t="s">
        <v>8</v>
      </c>
      <c r="C380" s="4">
        <v>4.0</v>
      </c>
      <c r="D380" s="4">
        <v>28.0</v>
      </c>
      <c r="E380" s="4">
        <v>0.0</v>
      </c>
      <c r="F380" s="4">
        <v>1.0</v>
      </c>
    </row>
    <row r="381" ht="15.75" customHeight="1">
      <c r="A381" s="4" t="s">
        <v>66</v>
      </c>
      <c r="B381" s="4" t="s">
        <v>8</v>
      </c>
      <c r="C381" s="4">
        <v>5.0</v>
      </c>
      <c r="D381" s="4">
        <v>30.0</v>
      </c>
      <c r="E381" s="4">
        <v>0.0</v>
      </c>
      <c r="F381" s="4">
        <v>1.0</v>
      </c>
    </row>
    <row r="382" ht="15.75" customHeight="1">
      <c r="A382" s="4" t="s">
        <v>67</v>
      </c>
      <c r="B382" s="4" t="s">
        <v>3</v>
      </c>
      <c r="C382" s="4">
        <v>1.0</v>
      </c>
      <c r="D382" s="4">
        <v>18.0</v>
      </c>
      <c r="E382" s="4">
        <v>0.0</v>
      </c>
      <c r="F382" s="4">
        <v>0.0</v>
      </c>
    </row>
    <row r="383" ht="15.75" customHeight="1">
      <c r="A383" s="4" t="s">
        <v>67</v>
      </c>
      <c r="B383" s="4" t="s">
        <v>3</v>
      </c>
      <c r="C383" s="4">
        <v>2.0</v>
      </c>
      <c r="D383" s="4">
        <v>45.0</v>
      </c>
      <c r="E383" s="4">
        <v>0.0</v>
      </c>
      <c r="F383" s="4">
        <v>0.0</v>
      </c>
    </row>
    <row r="384" ht="15.75" customHeight="1">
      <c r="A384" s="4" t="s">
        <v>67</v>
      </c>
      <c r="B384" s="4" t="s">
        <v>3</v>
      </c>
      <c r="C384" s="4">
        <v>3.0</v>
      </c>
      <c r="D384" s="4">
        <v>31.0</v>
      </c>
      <c r="E384" s="4">
        <v>0.0</v>
      </c>
      <c r="F384" s="4">
        <v>0.0</v>
      </c>
    </row>
    <row r="385" ht="15.75" customHeight="1">
      <c r="A385" s="4" t="s">
        <v>67</v>
      </c>
      <c r="B385" s="4" t="s">
        <v>3</v>
      </c>
      <c r="C385" s="4">
        <v>4.0</v>
      </c>
      <c r="D385" s="4">
        <v>50.0</v>
      </c>
      <c r="E385" s="4">
        <v>0.0</v>
      </c>
      <c r="F385" s="4">
        <v>0.0</v>
      </c>
    </row>
    <row r="386" ht="15.75" customHeight="1">
      <c r="A386" s="4" t="s">
        <v>67</v>
      </c>
      <c r="B386" s="4" t="s">
        <v>3</v>
      </c>
      <c r="C386" s="4">
        <v>5.0</v>
      </c>
      <c r="D386" s="4">
        <v>19.0</v>
      </c>
      <c r="E386" s="4">
        <v>0.0</v>
      </c>
      <c r="F386" s="4">
        <v>0.0</v>
      </c>
    </row>
    <row r="387" ht="15.75" customHeight="1">
      <c r="A387" s="4" t="s">
        <v>67</v>
      </c>
      <c r="B387" s="4" t="s">
        <v>4</v>
      </c>
      <c r="C387" s="4">
        <v>1.0</v>
      </c>
      <c r="D387" s="4">
        <v>26.0</v>
      </c>
      <c r="E387" s="4">
        <v>1.0</v>
      </c>
      <c r="F387" s="4">
        <v>1.0</v>
      </c>
    </row>
    <row r="388" ht="15.75" customHeight="1">
      <c r="A388" s="4" t="s">
        <v>67</v>
      </c>
      <c r="B388" s="4" t="s">
        <v>4</v>
      </c>
      <c r="C388" s="4">
        <v>2.0</v>
      </c>
      <c r="D388" s="4">
        <v>19.0</v>
      </c>
      <c r="E388" s="4">
        <v>0.0</v>
      </c>
      <c r="F388" s="4">
        <v>1.0</v>
      </c>
    </row>
    <row r="389" ht="15.75" customHeight="1">
      <c r="A389" s="4" t="s">
        <v>67</v>
      </c>
      <c r="B389" s="4" t="s">
        <v>4</v>
      </c>
      <c r="C389" s="4">
        <v>3.0</v>
      </c>
      <c r="D389" s="4">
        <v>7.0</v>
      </c>
      <c r="E389" s="4">
        <v>0.0</v>
      </c>
      <c r="F389" s="4">
        <v>1.0</v>
      </c>
    </row>
    <row r="390" ht="15.75" customHeight="1">
      <c r="A390" s="4" t="s">
        <v>67</v>
      </c>
      <c r="B390" s="4" t="s">
        <v>4</v>
      </c>
      <c r="C390" s="4">
        <v>4.0</v>
      </c>
      <c r="D390" s="4">
        <v>17.0</v>
      </c>
      <c r="E390" s="4">
        <v>0.0</v>
      </c>
      <c r="F390" s="4">
        <v>1.0</v>
      </c>
    </row>
    <row r="391" ht="15.75" customHeight="1">
      <c r="A391" s="4" t="s">
        <v>67</v>
      </c>
      <c r="B391" s="4" t="s">
        <v>4</v>
      </c>
      <c r="C391" s="4">
        <v>5.0</v>
      </c>
      <c r="D391" s="4">
        <v>38.0</v>
      </c>
      <c r="E391" s="4">
        <v>0.0</v>
      </c>
      <c r="F391" s="4">
        <v>1.0</v>
      </c>
    </row>
    <row r="392" ht="15.75" customHeight="1">
      <c r="A392" s="4" t="s">
        <v>67</v>
      </c>
      <c r="B392" s="4" t="s">
        <v>6</v>
      </c>
      <c r="C392" s="4">
        <v>1.0</v>
      </c>
      <c r="D392" s="4">
        <v>38.0</v>
      </c>
      <c r="E392" s="4">
        <v>0.0</v>
      </c>
      <c r="F392" s="4">
        <v>0.0</v>
      </c>
    </row>
    <row r="393" ht="15.75" customHeight="1">
      <c r="A393" s="4" t="s">
        <v>67</v>
      </c>
      <c r="B393" s="4" t="s">
        <v>6</v>
      </c>
      <c r="C393" s="4">
        <v>2.0</v>
      </c>
      <c r="D393" s="4">
        <v>19.0</v>
      </c>
      <c r="E393" s="4">
        <v>0.0</v>
      </c>
      <c r="F393" s="4">
        <v>0.0</v>
      </c>
    </row>
    <row r="394" ht="15.75" customHeight="1">
      <c r="A394" s="4" t="s">
        <v>67</v>
      </c>
      <c r="B394" s="4" t="s">
        <v>6</v>
      </c>
      <c r="C394" s="4">
        <v>3.0</v>
      </c>
      <c r="D394" s="4">
        <v>26.0</v>
      </c>
      <c r="E394" s="4">
        <v>1.0</v>
      </c>
      <c r="F394" s="4">
        <v>1.0</v>
      </c>
    </row>
    <row r="395" ht="15.75" customHeight="1">
      <c r="A395" s="4" t="s">
        <v>67</v>
      </c>
      <c r="B395" s="4" t="s">
        <v>6</v>
      </c>
      <c r="C395" s="4">
        <v>4.0</v>
      </c>
      <c r="D395" s="4">
        <v>17.0</v>
      </c>
      <c r="E395" s="4">
        <v>0.0</v>
      </c>
      <c r="F395" s="4">
        <v>1.0</v>
      </c>
    </row>
    <row r="396" ht="15.75" customHeight="1">
      <c r="A396" s="4" t="s">
        <v>67</v>
      </c>
      <c r="B396" s="4" t="s">
        <v>6</v>
      </c>
      <c r="C396" s="4">
        <v>5.0</v>
      </c>
      <c r="D396" s="4">
        <v>7.0</v>
      </c>
      <c r="E396" s="4">
        <v>0.0</v>
      </c>
      <c r="F396" s="4">
        <v>1.0</v>
      </c>
    </row>
    <row r="397" ht="15.75" customHeight="1">
      <c r="A397" s="4" t="s">
        <v>67</v>
      </c>
      <c r="B397" s="4" t="s">
        <v>8</v>
      </c>
      <c r="C397" s="4">
        <v>1.0</v>
      </c>
      <c r="D397" s="4">
        <v>20.0</v>
      </c>
      <c r="E397" s="4">
        <v>1.0</v>
      </c>
      <c r="F397" s="4">
        <v>1.0</v>
      </c>
    </row>
    <row r="398" ht="15.75" customHeight="1">
      <c r="A398" s="4" t="s">
        <v>67</v>
      </c>
      <c r="B398" s="4" t="s">
        <v>8</v>
      </c>
      <c r="C398" s="4">
        <v>2.0</v>
      </c>
      <c r="D398" s="4">
        <v>24.0</v>
      </c>
      <c r="E398" s="4">
        <v>0.0</v>
      </c>
      <c r="F398" s="4">
        <v>1.0</v>
      </c>
    </row>
    <row r="399" ht="15.75" customHeight="1">
      <c r="A399" s="4" t="s">
        <v>67</v>
      </c>
      <c r="B399" s="4" t="s">
        <v>8</v>
      </c>
      <c r="C399" s="4">
        <v>3.0</v>
      </c>
      <c r="D399" s="4">
        <v>45.0</v>
      </c>
      <c r="E399" s="4">
        <v>0.0</v>
      </c>
      <c r="F399" s="4">
        <v>1.0</v>
      </c>
    </row>
    <row r="400" ht="15.75" customHeight="1">
      <c r="A400" s="4" t="s">
        <v>67</v>
      </c>
      <c r="B400" s="4" t="s">
        <v>8</v>
      </c>
      <c r="C400" s="4">
        <v>4.0</v>
      </c>
      <c r="D400" s="4">
        <v>53.0</v>
      </c>
      <c r="E400" s="4">
        <v>0.0</v>
      </c>
      <c r="F400" s="4">
        <v>1.0</v>
      </c>
    </row>
    <row r="401" ht="15.75" customHeight="1">
      <c r="A401" s="4" t="s">
        <v>67</v>
      </c>
      <c r="B401" s="4" t="s">
        <v>8</v>
      </c>
      <c r="C401" s="4">
        <v>5.0</v>
      </c>
      <c r="D401" s="4">
        <v>56.0</v>
      </c>
      <c r="E401" s="4">
        <v>0.0</v>
      </c>
      <c r="F401" s="4">
        <v>1.0</v>
      </c>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2" width="9.75"/>
    <col customWidth="1" min="3" max="3" width="9.13"/>
    <col customWidth="1" min="4" max="4" width="8.38"/>
    <col customWidth="1" min="5" max="5" width="8.63"/>
    <col customWidth="1" min="6" max="6" width="14.63"/>
    <col customWidth="1" min="7" max="7" width="13.88"/>
    <col customWidth="1" min="8" max="8" width="13.38"/>
    <col customWidth="1" min="9" max="9" width="12.75"/>
    <col customWidth="1" min="10" max="26" width="8.63"/>
  </cols>
  <sheetData>
    <row r="1" ht="27.0" customHeight="1">
      <c r="A1" s="2" t="s">
        <v>1</v>
      </c>
      <c r="B1" s="2" t="s">
        <v>3</v>
      </c>
      <c r="C1" s="2" t="s">
        <v>4</v>
      </c>
      <c r="D1" s="2" t="s">
        <v>6</v>
      </c>
      <c r="E1" s="2" t="s">
        <v>8</v>
      </c>
      <c r="F1" s="2" t="s">
        <v>9</v>
      </c>
      <c r="G1" s="2" t="s">
        <v>11</v>
      </c>
      <c r="H1" s="2" t="s">
        <v>12</v>
      </c>
      <c r="I1" s="2" t="s">
        <v>14</v>
      </c>
    </row>
    <row r="2">
      <c r="A2" s="4" t="s">
        <v>17</v>
      </c>
      <c r="B2" s="5">
        <v>1.0</v>
      </c>
      <c r="C2" s="5">
        <v>1.0</v>
      </c>
      <c r="D2" s="5">
        <v>1.0</v>
      </c>
      <c r="E2" s="5">
        <v>1.0</v>
      </c>
      <c r="F2" s="5">
        <f t="shared" ref="F2:F21" si="1">SUM(B2:E2)</f>
        <v>4</v>
      </c>
      <c r="G2" s="4" t="str">
        <f t="shared" ref="G2:G21" si="2">IF(F2=0,"Sin recuperación",IF(F2=4,"Robusto",IF(F2=1,"Exclusivo","Compartido")))</f>
        <v>Robusto</v>
      </c>
      <c r="H2" s="4">
        <f t="shared" ref="H2:H21" si="3">--AND(B2=1,C2=0)</f>
        <v>0</v>
      </c>
      <c r="I2" s="4">
        <f t="shared" ref="I2:I21" si="4">--AND(B2=0,C2=1)</f>
        <v>0</v>
      </c>
    </row>
    <row r="3">
      <c r="A3" s="4" t="s">
        <v>49</v>
      </c>
      <c r="B3" s="5">
        <v>0.0</v>
      </c>
      <c r="C3" s="5">
        <v>0.0</v>
      </c>
      <c r="D3" s="5">
        <v>0.0</v>
      </c>
      <c r="E3" s="5">
        <v>0.0</v>
      </c>
      <c r="F3" s="5">
        <f t="shared" si="1"/>
        <v>0</v>
      </c>
      <c r="G3" s="4" t="str">
        <f t="shared" si="2"/>
        <v>Sin recuperación</v>
      </c>
      <c r="H3" s="4">
        <f t="shared" si="3"/>
        <v>0</v>
      </c>
      <c r="I3" s="4">
        <f t="shared" si="4"/>
        <v>0</v>
      </c>
    </row>
    <row r="4">
      <c r="A4" s="4" t="s">
        <v>50</v>
      </c>
      <c r="B4" s="5">
        <v>0.0</v>
      </c>
      <c r="C4" s="5">
        <v>0.0</v>
      </c>
      <c r="D4" s="5">
        <v>0.0</v>
      </c>
      <c r="E4" s="5">
        <v>0.0</v>
      </c>
      <c r="F4" s="5">
        <f t="shared" si="1"/>
        <v>0</v>
      </c>
      <c r="G4" s="4" t="str">
        <f t="shared" si="2"/>
        <v>Sin recuperación</v>
      </c>
      <c r="H4" s="4">
        <f t="shared" si="3"/>
        <v>0</v>
      </c>
      <c r="I4" s="4">
        <f t="shared" si="4"/>
        <v>0</v>
      </c>
    </row>
    <row r="5">
      <c r="A5" s="4" t="s">
        <v>51</v>
      </c>
      <c r="B5" s="5">
        <v>1.0</v>
      </c>
      <c r="C5" s="5">
        <v>1.0</v>
      </c>
      <c r="D5" s="5">
        <v>1.0</v>
      </c>
      <c r="E5" s="5">
        <v>1.0</v>
      </c>
      <c r="F5" s="5">
        <f t="shared" si="1"/>
        <v>4</v>
      </c>
      <c r="G5" s="4" t="str">
        <f t="shared" si="2"/>
        <v>Robusto</v>
      </c>
      <c r="H5" s="4">
        <f t="shared" si="3"/>
        <v>0</v>
      </c>
      <c r="I5" s="4">
        <f t="shared" si="4"/>
        <v>0</v>
      </c>
    </row>
    <row r="6">
      <c r="A6" s="4" t="s">
        <v>52</v>
      </c>
      <c r="B6" s="5">
        <v>1.0</v>
      </c>
      <c r="C6" s="5">
        <v>1.0</v>
      </c>
      <c r="D6" s="5">
        <v>1.0</v>
      </c>
      <c r="E6" s="5">
        <v>0.0</v>
      </c>
      <c r="F6" s="5">
        <f t="shared" si="1"/>
        <v>3</v>
      </c>
      <c r="G6" s="4" t="str">
        <f t="shared" si="2"/>
        <v>Compartido</v>
      </c>
      <c r="H6" s="4">
        <f t="shared" si="3"/>
        <v>0</v>
      </c>
      <c r="I6" s="4">
        <f t="shared" si="4"/>
        <v>0</v>
      </c>
    </row>
    <row r="7">
      <c r="A7" s="4" t="s">
        <v>53</v>
      </c>
      <c r="B7" s="5">
        <v>1.0</v>
      </c>
      <c r="C7" s="5">
        <v>1.0</v>
      </c>
      <c r="D7" s="5">
        <v>1.0</v>
      </c>
      <c r="E7" s="5">
        <v>0.0</v>
      </c>
      <c r="F7" s="5">
        <f t="shared" si="1"/>
        <v>3</v>
      </c>
      <c r="G7" s="4" t="str">
        <f t="shared" si="2"/>
        <v>Compartido</v>
      </c>
      <c r="H7" s="4">
        <f t="shared" si="3"/>
        <v>0</v>
      </c>
      <c r="I7" s="4">
        <f t="shared" si="4"/>
        <v>0</v>
      </c>
    </row>
    <row r="8">
      <c r="A8" s="4" t="s">
        <v>54</v>
      </c>
      <c r="B8" s="5">
        <v>0.0</v>
      </c>
      <c r="C8" s="5">
        <v>0.0</v>
      </c>
      <c r="D8" s="5">
        <v>0.0</v>
      </c>
      <c r="E8" s="5">
        <v>0.0</v>
      </c>
      <c r="F8" s="5">
        <f t="shared" si="1"/>
        <v>0</v>
      </c>
      <c r="G8" s="4" t="str">
        <f t="shared" si="2"/>
        <v>Sin recuperación</v>
      </c>
      <c r="H8" s="4">
        <f t="shared" si="3"/>
        <v>0</v>
      </c>
      <c r="I8" s="4">
        <f t="shared" si="4"/>
        <v>0</v>
      </c>
    </row>
    <row r="9">
      <c r="A9" s="4" t="s">
        <v>55</v>
      </c>
      <c r="B9" s="5">
        <v>0.0</v>
      </c>
      <c r="C9" s="5">
        <v>0.0</v>
      </c>
      <c r="D9" s="5">
        <v>0.0</v>
      </c>
      <c r="E9" s="5">
        <v>0.0</v>
      </c>
      <c r="F9" s="5">
        <f t="shared" si="1"/>
        <v>0</v>
      </c>
      <c r="G9" s="4" t="str">
        <f t="shared" si="2"/>
        <v>Sin recuperación</v>
      </c>
      <c r="H9" s="4">
        <f t="shared" si="3"/>
        <v>0</v>
      </c>
      <c r="I9" s="4">
        <f t="shared" si="4"/>
        <v>0</v>
      </c>
    </row>
    <row r="10">
      <c r="A10" s="4" t="s">
        <v>56</v>
      </c>
      <c r="B10" s="5">
        <v>0.0</v>
      </c>
      <c r="C10" s="5">
        <v>0.0</v>
      </c>
      <c r="D10" s="5">
        <v>0.0</v>
      </c>
      <c r="E10" s="5">
        <v>0.0</v>
      </c>
      <c r="F10" s="5">
        <f t="shared" si="1"/>
        <v>0</v>
      </c>
      <c r="G10" s="4" t="str">
        <f t="shared" si="2"/>
        <v>Sin recuperación</v>
      </c>
      <c r="H10" s="4">
        <f t="shared" si="3"/>
        <v>0</v>
      </c>
      <c r="I10" s="4">
        <f t="shared" si="4"/>
        <v>0</v>
      </c>
    </row>
    <row r="11">
      <c r="A11" s="4" t="s">
        <v>57</v>
      </c>
      <c r="B11" s="5">
        <v>1.0</v>
      </c>
      <c r="C11" s="5">
        <v>1.0</v>
      </c>
      <c r="D11" s="5">
        <v>1.0</v>
      </c>
      <c r="E11" s="5">
        <v>0.0</v>
      </c>
      <c r="F11" s="5">
        <f t="shared" si="1"/>
        <v>3</v>
      </c>
      <c r="G11" s="4" t="str">
        <f t="shared" si="2"/>
        <v>Compartido</v>
      </c>
      <c r="H11" s="4">
        <f t="shared" si="3"/>
        <v>0</v>
      </c>
      <c r="I11" s="4">
        <f t="shared" si="4"/>
        <v>0</v>
      </c>
    </row>
    <row r="12">
      <c r="A12" s="4" t="s">
        <v>58</v>
      </c>
      <c r="B12" s="5">
        <v>0.0</v>
      </c>
      <c r="C12" s="5">
        <v>0.0</v>
      </c>
      <c r="D12" s="5">
        <v>0.0</v>
      </c>
      <c r="E12" s="5">
        <v>0.0</v>
      </c>
      <c r="F12" s="5">
        <f t="shared" si="1"/>
        <v>0</v>
      </c>
      <c r="G12" s="4" t="str">
        <f t="shared" si="2"/>
        <v>Sin recuperación</v>
      </c>
      <c r="H12" s="4">
        <f t="shared" si="3"/>
        <v>0</v>
      </c>
      <c r="I12" s="4">
        <f t="shared" si="4"/>
        <v>0</v>
      </c>
    </row>
    <row r="13">
      <c r="A13" s="4" t="s">
        <v>59</v>
      </c>
      <c r="B13" s="5">
        <v>1.0</v>
      </c>
      <c r="C13" s="5">
        <v>0.0</v>
      </c>
      <c r="D13" s="5">
        <v>0.0</v>
      </c>
      <c r="E13" s="5">
        <v>0.0</v>
      </c>
      <c r="F13" s="5">
        <f t="shared" si="1"/>
        <v>1</v>
      </c>
      <c r="G13" s="4" t="str">
        <f t="shared" si="2"/>
        <v>Exclusivo</v>
      </c>
      <c r="H13" s="4">
        <f t="shared" si="3"/>
        <v>1</v>
      </c>
      <c r="I13" s="4">
        <f t="shared" si="4"/>
        <v>0</v>
      </c>
    </row>
    <row r="14">
      <c r="A14" s="4" t="s">
        <v>60</v>
      </c>
      <c r="B14" s="5">
        <v>0.0</v>
      </c>
      <c r="C14" s="5">
        <v>0.0</v>
      </c>
      <c r="D14" s="5">
        <v>0.0</v>
      </c>
      <c r="E14" s="5">
        <v>0.0</v>
      </c>
      <c r="F14" s="5">
        <f t="shared" si="1"/>
        <v>0</v>
      </c>
      <c r="G14" s="4" t="str">
        <f t="shared" si="2"/>
        <v>Sin recuperación</v>
      </c>
      <c r="H14" s="4">
        <f t="shared" si="3"/>
        <v>0</v>
      </c>
      <c r="I14" s="4">
        <f t="shared" si="4"/>
        <v>0</v>
      </c>
    </row>
    <row r="15">
      <c r="A15" s="4" t="s">
        <v>61</v>
      </c>
      <c r="B15" s="5">
        <v>0.0</v>
      </c>
      <c r="C15" s="5">
        <v>0.0</v>
      </c>
      <c r="D15" s="5">
        <v>0.0</v>
      </c>
      <c r="E15" s="5">
        <v>0.0</v>
      </c>
      <c r="F15" s="5">
        <f t="shared" si="1"/>
        <v>0</v>
      </c>
      <c r="G15" s="4" t="str">
        <f t="shared" si="2"/>
        <v>Sin recuperación</v>
      </c>
      <c r="H15" s="4">
        <f t="shared" si="3"/>
        <v>0</v>
      </c>
      <c r="I15" s="4">
        <f t="shared" si="4"/>
        <v>0</v>
      </c>
    </row>
    <row r="16">
      <c r="A16" s="4" t="s">
        <v>62</v>
      </c>
      <c r="B16" s="5">
        <v>1.0</v>
      </c>
      <c r="C16" s="5">
        <v>1.0</v>
      </c>
      <c r="D16" s="5">
        <v>1.0</v>
      </c>
      <c r="E16" s="5">
        <v>0.0</v>
      </c>
      <c r="F16" s="5">
        <f t="shared" si="1"/>
        <v>3</v>
      </c>
      <c r="G16" s="4" t="str">
        <f t="shared" si="2"/>
        <v>Compartido</v>
      </c>
      <c r="H16" s="4">
        <f t="shared" si="3"/>
        <v>0</v>
      </c>
      <c r="I16" s="4">
        <f t="shared" si="4"/>
        <v>0</v>
      </c>
    </row>
    <row r="17">
      <c r="A17" s="4" t="s">
        <v>63</v>
      </c>
      <c r="B17" s="5">
        <v>0.0</v>
      </c>
      <c r="C17" s="5">
        <v>0.0</v>
      </c>
      <c r="D17" s="5">
        <v>0.0</v>
      </c>
      <c r="E17" s="5">
        <v>0.0</v>
      </c>
      <c r="F17" s="5">
        <f t="shared" si="1"/>
        <v>0</v>
      </c>
      <c r="G17" s="4" t="str">
        <f t="shared" si="2"/>
        <v>Sin recuperación</v>
      </c>
      <c r="H17" s="4">
        <f t="shared" si="3"/>
        <v>0</v>
      </c>
      <c r="I17" s="4">
        <f t="shared" si="4"/>
        <v>0</v>
      </c>
    </row>
    <row r="18">
      <c r="A18" s="4" t="s">
        <v>64</v>
      </c>
      <c r="B18" s="5">
        <v>1.0</v>
      </c>
      <c r="C18" s="5">
        <v>1.0</v>
      </c>
      <c r="D18" s="5">
        <v>1.0</v>
      </c>
      <c r="E18" s="5">
        <v>1.0</v>
      </c>
      <c r="F18" s="5">
        <f t="shared" si="1"/>
        <v>4</v>
      </c>
      <c r="G18" s="4" t="str">
        <f t="shared" si="2"/>
        <v>Robusto</v>
      </c>
      <c r="H18" s="4">
        <f t="shared" si="3"/>
        <v>0</v>
      </c>
      <c r="I18" s="4">
        <f t="shared" si="4"/>
        <v>0</v>
      </c>
    </row>
    <row r="19">
      <c r="A19" s="4" t="s">
        <v>65</v>
      </c>
      <c r="B19" s="5">
        <v>1.0</v>
      </c>
      <c r="C19" s="5">
        <v>1.0</v>
      </c>
      <c r="D19" s="5">
        <v>1.0</v>
      </c>
      <c r="E19" s="5">
        <v>1.0</v>
      </c>
      <c r="F19" s="5">
        <f t="shared" si="1"/>
        <v>4</v>
      </c>
      <c r="G19" s="4" t="str">
        <f t="shared" si="2"/>
        <v>Robusto</v>
      </c>
      <c r="H19" s="4">
        <f t="shared" si="3"/>
        <v>0</v>
      </c>
      <c r="I19" s="4">
        <f t="shared" si="4"/>
        <v>0</v>
      </c>
    </row>
    <row r="20">
      <c r="A20" s="4" t="s">
        <v>66</v>
      </c>
      <c r="B20" s="5">
        <v>1.0</v>
      </c>
      <c r="C20" s="5">
        <v>1.0</v>
      </c>
      <c r="D20" s="5">
        <v>1.0</v>
      </c>
      <c r="E20" s="5">
        <v>1.0</v>
      </c>
      <c r="F20" s="5">
        <f t="shared" si="1"/>
        <v>4</v>
      </c>
      <c r="G20" s="4" t="str">
        <f t="shared" si="2"/>
        <v>Robusto</v>
      </c>
      <c r="H20" s="4">
        <f t="shared" si="3"/>
        <v>0</v>
      </c>
      <c r="I20" s="4">
        <f t="shared" si="4"/>
        <v>0</v>
      </c>
    </row>
    <row r="21" ht="15.75" customHeight="1">
      <c r="A21" s="4" t="s">
        <v>67</v>
      </c>
      <c r="B21" s="5">
        <v>0.0</v>
      </c>
      <c r="C21" s="5">
        <v>1.0</v>
      </c>
      <c r="D21" s="5">
        <v>1.0</v>
      </c>
      <c r="E21" s="5">
        <v>1.0</v>
      </c>
      <c r="F21" s="5">
        <f t="shared" si="1"/>
        <v>3</v>
      </c>
      <c r="G21" s="4" t="str">
        <f t="shared" si="2"/>
        <v>Compartido</v>
      </c>
      <c r="H21" s="4">
        <f t="shared" si="3"/>
        <v>0</v>
      </c>
      <c r="I21" s="4">
        <f t="shared" si="4"/>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E21">
    <cfRule type="colorScale" priority="1">
      <colorScale>
        <cfvo type="min"/>
        <cfvo type="max"/>
        <color rgb="FFF3F4F6"/>
        <color rgb="FF7BA9D1"/>
      </colorScale>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7.75"/>
    <col customWidth="1" min="3" max="4" width="12.25"/>
    <col customWidth="1" min="5" max="5" width="9.13"/>
    <col customWidth="1" min="6" max="6" width="11.63"/>
    <col customWidth="1" min="7" max="7" width="11.13"/>
    <col customWidth="1" min="8" max="8" width="7.25"/>
    <col customWidth="1" min="9" max="9" width="9.5"/>
    <col customWidth="1" min="10" max="12" width="8.88"/>
    <col customWidth="1" min="13" max="13" width="10.75"/>
    <col customWidth="1" min="14" max="14" width="24.5"/>
    <col customWidth="1" min="15" max="15" width="42.25"/>
    <col customWidth="1" min="16" max="26" width="8.63"/>
  </cols>
  <sheetData>
    <row r="1" ht="22.5" customHeight="1">
      <c r="A1" s="8" t="s">
        <v>1</v>
      </c>
      <c r="B1" s="8" t="s">
        <v>68</v>
      </c>
      <c r="C1" s="8" t="s">
        <v>69</v>
      </c>
      <c r="D1" s="8" t="s">
        <v>70</v>
      </c>
      <c r="E1" s="8" t="s">
        <v>71</v>
      </c>
      <c r="F1" s="8" t="s">
        <v>72</v>
      </c>
      <c r="G1" s="8" t="s">
        <v>73</v>
      </c>
      <c r="H1" s="8" t="s">
        <v>74</v>
      </c>
      <c r="I1" s="8" t="s">
        <v>75</v>
      </c>
      <c r="J1" s="8" t="s">
        <v>76</v>
      </c>
      <c r="K1" s="8" t="s">
        <v>77</v>
      </c>
      <c r="L1" s="8" t="s">
        <v>78</v>
      </c>
      <c r="M1" s="8" t="s">
        <v>79</v>
      </c>
      <c r="N1" s="8" t="s">
        <v>80</v>
      </c>
      <c r="O1" s="8" t="s">
        <v>81</v>
      </c>
    </row>
    <row r="2" ht="18.0" customHeight="1">
      <c r="A2" s="9" t="s">
        <v>50</v>
      </c>
      <c r="B2" s="9">
        <v>4.0</v>
      </c>
      <c r="C2" s="9" t="s">
        <v>82</v>
      </c>
      <c r="D2" s="9" t="s">
        <v>83</v>
      </c>
      <c r="E2" s="10">
        <v>0.6120908260345459</v>
      </c>
      <c r="F2" s="10">
        <v>0.5210752338171005</v>
      </c>
      <c r="G2" s="10">
        <v>0.45464852607709744</v>
      </c>
      <c r="H2" s="9">
        <v>0.0</v>
      </c>
      <c r="I2" s="9">
        <v>0.0</v>
      </c>
      <c r="J2" s="9">
        <v>1.0</v>
      </c>
      <c r="K2" s="9">
        <v>1.0</v>
      </c>
      <c r="L2" s="9">
        <v>0.0</v>
      </c>
      <c r="M2" s="11">
        <v>12.547088355000596</v>
      </c>
      <c r="N2" s="9" t="s">
        <v>84</v>
      </c>
      <c r="O2" s="9" t="s">
        <v>85</v>
      </c>
    </row>
    <row r="3" ht="18.0" customHeight="1">
      <c r="A3" s="9" t="s">
        <v>50</v>
      </c>
      <c r="B3" s="9">
        <v>34.0</v>
      </c>
      <c r="C3" s="9" t="s">
        <v>86</v>
      </c>
      <c r="D3" s="9" t="s">
        <v>87</v>
      </c>
      <c r="E3" s="10">
        <v>1.0912885772995651E-4</v>
      </c>
      <c r="F3" s="10">
        <v>0.9999891354277679</v>
      </c>
      <c r="G3" s="10">
        <v>0.852607709750567</v>
      </c>
      <c r="H3" s="9">
        <v>0.0</v>
      </c>
      <c r="I3" s="9">
        <v>1.0</v>
      </c>
      <c r="J3" s="9">
        <v>0.0</v>
      </c>
      <c r="K3" s="9">
        <v>0.0</v>
      </c>
      <c r="L3" s="9">
        <v>0.0</v>
      </c>
      <c r="M3" s="11">
        <v>3.146050567000202</v>
      </c>
      <c r="N3" s="9" t="s">
        <v>88</v>
      </c>
      <c r="O3" s="9" t="s">
        <v>89</v>
      </c>
    </row>
    <row r="4" ht="18.0" customHeight="1">
      <c r="A4" s="9" t="s">
        <v>50</v>
      </c>
      <c r="B4" s="9">
        <v>63.0</v>
      </c>
      <c r="C4" s="9" t="s">
        <v>90</v>
      </c>
      <c r="D4" s="9" t="s">
        <v>91</v>
      </c>
      <c r="E4" s="10">
        <v>4.4175193761475384E-4</v>
      </c>
      <c r="F4" s="10">
        <v>0.999936833683023</v>
      </c>
      <c r="G4" s="10">
        <v>0.1575963718820862</v>
      </c>
      <c r="H4" s="9">
        <v>0.0</v>
      </c>
      <c r="I4" s="9">
        <v>0.0</v>
      </c>
      <c r="J4" s="9">
        <v>0.0</v>
      </c>
      <c r="K4" s="9">
        <v>0.0</v>
      </c>
      <c r="L4" s="9">
        <v>1.0</v>
      </c>
      <c r="M4" s="11">
        <v>6.285721657000067</v>
      </c>
      <c r="N4" s="9" t="s">
        <v>92</v>
      </c>
      <c r="O4" s="9" t="s">
        <v>93</v>
      </c>
    </row>
    <row r="5" ht="18.0" customHeight="1">
      <c r="A5" s="9" t="s">
        <v>50</v>
      </c>
      <c r="B5" s="9">
        <v>111.0</v>
      </c>
      <c r="C5" s="9" t="s">
        <v>94</v>
      </c>
      <c r="D5" s="9" t="s">
        <v>95</v>
      </c>
      <c r="E5" s="10">
        <v>1.17483389377594</v>
      </c>
      <c r="F5" s="10">
        <v>0.05148676037788391</v>
      </c>
      <c r="G5" s="10">
        <v>0.8378684807256236</v>
      </c>
      <c r="H5" s="9">
        <v>0.0</v>
      </c>
      <c r="I5" s="9">
        <v>1.0</v>
      </c>
      <c r="J5" s="9">
        <v>1.0</v>
      </c>
      <c r="K5" s="9">
        <v>1.0</v>
      </c>
      <c r="L5" s="9">
        <v>0.0</v>
      </c>
      <c r="M5" s="11">
        <v>3.1565060080001786</v>
      </c>
      <c r="N5" s="9" t="s">
        <v>97</v>
      </c>
      <c r="O5" s="9" t="s">
        <v>99</v>
      </c>
    </row>
    <row r="6" ht="18.0" customHeight="1">
      <c r="A6" s="9" t="s">
        <v>50</v>
      </c>
      <c r="B6" s="9">
        <v>84.0</v>
      </c>
      <c r="C6" s="9" t="s">
        <v>100</v>
      </c>
      <c r="D6" s="9" t="s">
        <v>101</v>
      </c>
      <c r="E6" s="10">
        <v>1.0185161045228597E-5</v>
      </c>
      <c r="F6" s="10">
        <v>0.9999991006491769</v>
      </c>
      <c r="G6" s="10">
        <v>0.24263038548752835</v>
      </c>
      <c r="H6" s="9">
        <v>0.0</v>
      </c>
      <c r="I6" s="9">
        <v>0.0</v>
      </c>
      <c r="J6" s="9">
        <v>0.0</v>
      </c>
      <c r="K6" s="9">
        <v>0.0</v>
      </c>
      <c r="L6" s="9">
        <v>1.0</v>
      </c>
      <c r="M6" s="11">
        <v>4.972159588000068</v>
      </c>
      <c r="N6" s="9" t="s">
        <v>105</v>
      </c>
      <c r="O6" s="9" t="s">
        <v>106</v>
      </c>
    </row>
    <row r="7" ht="18.0" customHeight="1">
      <c r="A7" s="9" t="s">
        <v>50</v>
      </c>
      <c r="B7" s="9">
        <v>100.0</v>
      </c>
      <c r="C7" s="9" t="s">
        <v>107</v>
      </c>
      <c r="D7" s="9" t="s">
        <v>108</v>
      </c>
      <c r="E7" s="10">
        <v>1.822847843868658E-5</v>
      </c>
      <c r="F7" s="10">
        <v>0.999998569480681</v>
      </c>
      <c r="G7" s="10">
        <v>0.373015873015873</v>
      </c>
      <c r="H7" s="9">
        <v>0.0</v>
      </c>
      <c r="I7" s="9">
        <v>0.0</v>
      </c>
      <c r="J7" s="9">
        <v>0.0</v>
      </c>
      <c r="K7" s="9">
        <v>0.0</v>
      </c>
      <c r="L7" s="9">
        <v>1.0</v>
      </c>
      <c r="M7" s="11">
        <v>3.886896429999979</v>
      </c>
      <c r="N7" s="9" t="s">
        <v>109</v>
      </c>
      <c r="O7" s="9" t="s">
        <v>110</v>
      </c>
    </row>
    <row r="8" ht="18.0" customHeight="1">
      <c r="A8" s="9" t="s">
        <v>50</v>
      </c>
      <c r="B8" s="9">
        <v>15.0</v>
      </c>
      <c r="C8" s="9" t="s">
        <v>111</v>
      </c>
      <c r="D8" s="9" t="s">
        <v>94</v>
      </c>
      <c r="E8" s="10">
        <v>0.4412795603275299</v>
      </c>
      <c r="F8" s="10">
        <v>0.8755050003528595</v>
      </c>
      <c r="G8" s="10">
        <v>0.8117913832199547</v>
      </c>
      <c r="H8" s="9">
        <v>0.0</v>
      </c>
      <c r="I8" s="9">
        <v>1.0</v>
      </c>
      <c r="J8" s="9">
        <v>0.0</v>
      </c>
      <c r="K8" s="9">
        <v>0.0</v>
      </c>
      <c r="L8" s="9">
        <v>0.0</v>
      </c>
      <c r="M8" s="11">
        <v>3.378721041999597</v>
      </c>
      <c r="N8" s="9" t="s">
        <v>112</v>
      </c>
      <c r="O8" s="9" t="s">
        <v>113</v>
      </c>
    </row>
    <row r="9" ht="18.0" customHeight="1">
      <c r="A9" s="9" t="s">
        <v>50</v>
      </c>
      <c r="B9" s="9">
        <v>26.0</v>
      </c>
      <c r="C9" s="9" t="s">
        <v>114</v>
      </c>
      <c r="D9" s="9" t="s">
        <v>115</v>
      </c>
      <c r="E9" s="10">
        <v>0.6239526271820068</v>
      </c>
      <c r="F9" s="10">
        <v>0.6364912390708923</v>
      </c>
      <c r="G9" s="10">
        <v>0.634920634920635</v>
      </c>
      <c r="H9" s="9">
        <v>0.0</v>
      </c>
      <c r="I9" s="9">
        <v>0.0</v>
      </c>
      <c r="J9" s="9">
        <v>1.0</v>
      </c>
      <c r="K9" s="9">
        <v>1.0</v>
      </c>
      <c r="L9" s="9">
        <v>0.0</v>
      </c>
      <c r="M9" s="11">
        <v>3.612886312000228</v>
      </c>
      <c r="N9" s="9" t="s">
        <v>116</v>
      </c>
      <c r="O9" s="9" t="s">
        <v>117</v>
      </c>
    </row>
    <row r="10" ht="18.0" customHeight="1">
      <c r="A10" s="9" t="s">
        <v>50</v>
      </c>
      <c r="B10" s="9">
        <v>128.0</v>
      </c>
      <c r="C10" s="9" t="s">
        <v>118</v>
      </c>
      <c r="D10" s="9" t="s">
        <v>119</v>
      </c>
      <c r="E10" s="10">
        <v>0.7318528890609741</v>
      </c>
      <c r="F10" s="10">
        <v>0.26996803283691406</v>
      </c>
      <c r="G10" s="10">
        <v>0.7528344671201813</v>
      </c>
      <c r="H10" s="9">
        <v>0.0</v>
      </c>
      <c r="I10" s="9">
        <v>0.0</v>
      </c>
      <c r="J10" s="9">
        <v>1.0</v>
      </c>
      <c r="K10" s="9">
        <v>1.0</v>
      </c>
      <c r="L10" s="9">
        <v>0.0</v>
      </c>
      <c r="M10" s="11">
        <v>2.0281003389991383</v>
      </c>
      <c r="N10" s="9" t="s">
        <v>120</v>
      </c>
      <c r="O10" s="9" t="s">
        <v>121</v>
      </c>
    </row>
    <row r="11" ht="18.0" customHeight="1">
      <c r="A11" s="9" t="s">
        <v>50</v>
      </c>
      <c r="B11" s="9">
        <v>120.0</v>
      </c>
      <c r="C11" s="9" t="s">
        <v>122</v>
      </c>
      <c r="D11" s="9" t="s">
        <v>123</v>
      </c>
      <c r="E11" s="10">
        <v>1.0525668859481812</v>
      </c>
      <c r="F11" s="10">
        <v>0.11145567893981934</v>
      </c>
      <c r="G11" s="10">
        <v>0.12018140589569164</v>
      </c>
      <c r="H11" s="9">
        <v>0.0</v>
      </c>
      <c r="I11" s="9">
        <v>0.0</v>
      </c>
      <c r="J11" s="9">
        <v>1.0</v>
      </c>
      <c r="K11" s="9">
        <v>1.0</v>
      </c>
      <c r="L11" s="9">
        <v>0.0</v>
      </c>
      <c r="M11" s="11">
        <v>2.6961180950002017</v>
      </c>
      <c r="N11" s="9" t="s">
        <v>124</v>
      </c>
      <c r="O11" s="9" t="s">
        <v>125</v>
      </c>
    </row>
    <row r="12" ht="18.0" customHeight="1">
      <c r="A12" s="9" t="s">
        <v>50</v>
      </c>
      <c r="B12" s="9">
        <v>73.0</v>
      </c>
      <c r="C12" s="9" t="s">
        <v>82</v>
      </c>
      <c r="D12" s="9" t="s">
        <v>126</v>
      </c>
      <c r="E12" s="10">
        <v>1.5936809359118342E-4</v>
      </c>
      <c r="F12" s="10">
        <v>0.9999859644126445</v>
      </c>
      <c r="G12" s="10">
        <v>0.699546485260771</v>
      </c>
      <c r="H12" s="9">
        <v>0.0</v>
      </c>
      <c r="I12" s="9">
        <v>0.0</v>
      </c>
      <c r="J12" s="9">
        <v>0.0</v>
      </c>
      <c r="K12" s="9">
        <v>0.0</v>
      </c>
      <c r="L12" s="9">
        <v>1.0</v>
      </c>
      <c r="M12" s="11">
        <v>5.919035529000212</v>
      </c>
      <c r="N12" s="9" t="s">
        <v>127</v>
      </c>
      <c r="O12" s="9" t="s">
        <v>128</v>
      </c>
    </row>
    <row r="13" ht="18.0" customHeight="1">
      <c r="A13" s="9" t="s">
        <v>50</v>
      </c>
      <c r="B13" s="9">
        <v>28.0</v>
      </c>
      <c r="C13" s="9" t="s">
        <v>129</v>
      </c>
      <c r="D13" s="9" t="s">
        <v>87</v>
      </c>
      <c r="E13" s="10">
        <v>0.03688867762684822</v>
      </c>
      <c r="F13" s="10">
        <v>0.9919887953437865</v>
      </c>
      <c r="G13" s="10">
        <v>0.8435374149659864</v>
      </c>
      <c r="H13" s="9">
        <v>0.0</v>
      </c>
      <c r="I13" s="9">
        <v>1.0</v>
      </c>
      <c r="J13" s="9">
        <v>0.0</v>
      </c>
      <c r="K13" s="9">
        <v>0.0</v>
      </c>
      <c r="L13" s="9">
        <v>0.0</v>
      </c>
      <c r="M13" s="11">
        <v>3.4922164870004053</v>
      </c>
      <c r="N13" s="9" t="s">
        <v>130</v>
      </c>
      <c r="O13" s="9" t="s">
        <v>131</v>
      </c>
    </row>
    <row r="14" ht="18.0" customHeight="1">
      <c r="A14" s="9" t="s">
        <v>50</v>
      </c>
      <c r="B14" s="9">
        <v>137.0</v>
      </c>
      <c r="C14" s="9" t="s">
        <v>83</v>
      </c>
      <c r="D14" s="9" t="s">
        <v>132</v>
      </c>
      <c r="E14" s="10">
        <v>0.0019857920706272125</v>
      </c>
      <c r="F14" s="10">
        <v>0.9996170790254837</v>
      </c>
      <c r="G14" s="10">
        <v>0.8718820861678004</v>
      </c>
      <c r="H14" s="9">
        <v>0.0</v>
      </c>
      <c r="I14" s="9">
        <v>1.0</v>
      </c>
      <c r="J14" s="9">
        <v>0.0</v>
      </c>
      <c r="K14" s="9">
        <v>0.0</v>
      </c>
      <c r="L14" s="9">
        <v>0.0</v>
      </c>
      <c r="M14" s="11">
        <v>2.1254513630001384</v>
      </c>
      <c r="N14" s="9" t="s">
        <v>133</v>
      </c>
      <c r="O14" s="9" t="s">
        <v>134</v>
      </c>
    </row>
    <row r="15" ht="18.0" customHeight="1">
      <c r="A15" s="9" t="s">
        <v>50</v>
      </c>
      <c r="B15" s="9">
        <v>37.0</v>
      </c>
      <c r="C15" s="9" t="s">
        <v>135</v>
      </c>
      <c r="D15" s="9" t="s">
        <v>136</v>
      </c>
      <c r="E15" s="10">
        <v>3.578478208510205E-5</v>
      </c>
      <c r="F15" s="10">
        <v>0.9999965970058611</v>
      </c>
      <c r="G15" s="10">
        <v>0.6859410430839002</v>
      </c>
      <c r="H15" s="9">
        <v>0.0</v>
      </c>
      <c r="I15" s="9">
        <v>0.0</v>
      </c>
      <c r="J15" s="9">
        <v>0.0</v>
      </c>
      <c r="K15" s="9">
        <v>0.0</v>
      </c>
      <c r="L15" s="9">
        <v>1.0</v>
      </c>
      <c r="M15" s="11">
        <v>0.39287185099965427</v>
      </c>
      <c r="N15" s="9" t="s">
        <v>137</v>
      </c>
      <c r="O15" s="9" t="s">
        <v>138</v>
      </c>
    </row>
    <row r="16" ht="18.0" customHeight="1">
      <c r="A16" s="9" t="s">
        <v>59</v>
      </c>
      <c r="B16" s="9">
        <v>3.0</v>
      </c>
      <c r="C16" s="9" t="s">
        <v>139</v>
      </c>
      <c r="D16" s="9" t="s">
        <v>140</v>
      </c>
      <c r="E16" s="10">
        <v>0.036144357174634933</v>
      </c>
      <c r="F16" s="10">
        <v>0.9887304240837693</v>
      </c>
      <c r="G16" s="10">
        <v>0.725</v>
      </c>
      <c r="H16" s="9">
        <v>0.0</v>
      </c>
      <c r="I16" s="9">
        <v>1.0</v>
      </c>
      <c r="J16" s="9">
        <v>1.0</v>
      </c>
      <c r="K16" s="9">
        <v>1.0</v>
      </c>
      <c r="L16" s="9">
        <v>0.0</v>
      </c>
      <c r="M16" s="11">
        <v>2.1141102390001834</v>
      </c>
      <c r="N16" s="9" t="s">
        <v>141</v>
      </c>
      <c r="O16" s="9" t="s">
        <v>142</v>
      </c>
    </row>
    <row r="17" ht="18.0" customHeight="1">
      <c r="A17" s="9" t="s">
        <v>59</v>
      </c>
      <c r="B17" s="9">
        <v>21.0</v>
      </c>
      <c r="C17" s="13" t="s">
        <v>143</v>
      </c>
      <c r="D17" s="13" t="s">
        <v>144</v>
      </c>
      <c r="E17" s="10">
        <v>0.0048796809278428555</v>
      </c>
      <c r="F17" s="10">
        <v>0.9989759005839005</v>
      </c>
      <c r="G17" s="10">
        <v>0.5499999999999999</v>
      </c>
      <c r="H17" s="9">
        <v>0.0</v>
      </c>
      <c r="I17" s="9">
        <v>0.0</v>
      </c>
      <c r="J17" s="9">
        <v>0.0</v>
      </c>
      <c r="K17" s="9">
        <v>0.0</v>
      </c>
      <c r="L17" s="9">
        <v>1.0</v>
      </c>
      <c r="M17" s="11">
        <v>0.8906894330002615</v>
      </c>
      <c r="N17" s="9" t="s">
        <v>145</v>
      </c>
      <c r="O17" s="9" t="s">
        <v>146</v>
      </c>
    </row>
    <row r="18" ht="18.0" customHeight="1">
      <c r="A18" s="9" t="s">
        <v>59</v>
      </c>
      <c r="B18" s="9">
        <v>9.0</v>
      </c>
      <c r="C18" s="9" t="s">
        <v>147</v>
      </c>
      <c r="D18" s="9" t="s">
        <v>148</v>
      </c>
      <c r="E18" s="10">
        <v>0.012348762713372707</v>
      </c>
      <c r="F18" s="10">
        <v>0.9972325321286917</v>
      </c>
      <c r="G18" s="10">
        <v>0.2416666666666667</v>
      </c>
      <c r="H18" s="9">
        <v>0.0</v>
      </c>
      <c r="I18" s="9">
        <v>0.0</v>
      </c>
      <c r="J18" s="9">
        <v>1.0</v>
      </c>
      <c r="K18" s="9">
        <v>1.0</v>
      </c>
      <c r="L18" s="9">
        <v>0.0</v>
      </c>
      <c r="M18" s="11">
        <v>1.660280858999613</v>
      </c>
      <c r="N18" s="9" t="s">
        <v>149</v>
      </c>
      <c r="O18" s="9" t="s">
        <v>150</v>
      </c>
    </row>
    <row r="19" ht="18.0" customHeight="1">
      <c r="A19" s="9" t="s">
        <v>59</v>
      </c>
      <c r="B19" s="9">
        <v>10.0</v>
      </c>
      <c r="C19" s="9" t="s">
        <v>151</v>
      </c>
      <c r="D19" s="9" t="s">
        <v>152</v>
      </c>
      <c r="E19" s="10">
        <v>0.0010497260373085737</v>
      </c>
      <c r="F19" s="10">
        <v>0.9998318142897915</v>
      </c>
      <c r="G19" s="10">
        <v>0.6416666666666666</v>
      </c>
      <c r="H19" s="9">
        <v>0.0</v>
      </c>
      <c r="I19" s="9">
        <v>0.0</v>
      </c>
      <c r="J19" s="9">
        <v>0.0</v>
      </c>
      <c r="K19" s="9">
        <v>0.0</v>
      </c>
      <c r="L19" s="9">
        <v>1.0</v>
      </c>
      <c r="M19" s="11">
        <v>1.5325146790000872</v>
      </c>
      <c r="N19" s="9" t="s">
        <v>153</v>
      </c>
      <c r="O19" s="9" t="s">
        <v>154</v>
      </c>
    </row>
    <row r="20" ht="18.0" customHeight="1">
      <c r="A20" s="9" t="s">
        <v>59</v>
      </c>
      <c r="B20" s="9">
        <v>7.0</v>
      </c>
      <c r="C20" s="9" t="s">
        <v>155</v>
      </c>
      <c r="D20" s="9" t="s">
        <v>156</v>
      </c>
      <c r="E20" s="10">
        <v>1.0632418394088745</v>
      </c>
      <c r="F20" s="10">
        <v>0.06863129138946533</v>
      </c>
      <c r="G20" s="10">
        <v>0.6833333333333332</v>
      </c>
      <c r="H20" s="9">
        <v>0.0</v>
      </c>
      <c r="I20" s="9">
        <v>0.0</v>
      </c>
      <c r="J20" s="9">
        <v>1.0</v>
      </c>
      <c r="K20" s="9">
        <v>1.0</v>
      </c>
      <c r="L20" s="9">
        <v>0.0</v>
      </c>
      <c r="M20" s="11">
        <v>1.8581983880003463</v>
      </c>
      <c r="N20" s="9" t="s">
        <v>157</v>
      </c>
      <c r="O20" s="9" t="s">
        <v>158</v>
      </c>
    </row>
    <row r="21" ht="18.0" customHeight="1">
      <c r="A21" s="9" t="s">
        <v>59</v>
      </c>
      <c r="B21" s="9">
        <v>19.0</v>
      </c>
      <c r="C21" s="13" t="s">
        <v>159</v>
      </c>
      <c r="D21" s="13" t="s">
        <v>160</v>
      </c>
      <c r="E21" s="10">
        <v>5.059128852735739E-6</v>
      </c>
      <c r="F21" s="10">
        <v>0.9999994849071072</v>
      </c>
      <c r="G21" s="10">
        <v>0.525</v>
      </c>
      <c r="H21" s="9">
        <v>0.0</v>
      </c>
      <c r="I21" s="9">
        <v>0.0</v>
      </c>
      <c r="J21" s="9">
        <v>0.0</v>
      </c>
      <c r="K21" s="9">
        <v>0.0</v>
      </c>
      <c r="L21" s="9">
        <v>1.0</v>
      </c>
      <c r="M21" s="11">
        <v>0.9487769269999262</v>
      </c>
      <c r="N21" s="9" t="s">
        <v>161</v>
      </c>
      <c r="O21" s="9" t="s">
        <v>162</v>
      </c>
    </row>
    <row r="22" ht="18.0" customHeight="1">
      <c r="A22" s="9" t="s">
        <v>59</v>
      </c>
      <c r="B22" s="9">
        <v>5.0</v>
      </c>
      <c r="C22" s="9" t="s">
        <v>163</v>
      </c>
      <c r="D22" s="9" t="s">
        <v>111</v>
      </c>
      <c r="E22" s="10">
        <v>0.21295614540576935</v>
      </c>
      <c r="F22" s="10">
        <v>0.9102808684110641</v>
      </c>
      <c r="G22" s="10">
        <v>0.775</v>
      </c>
      <c r="H22" s="9">
        <v>0.0</v>
      </c>
      <c r="I22" s="9">
        <v>1.0</v>
      </c>
      <c r="J22" s="9">
        <v>1.0</v>
      </c>
      <c r="K22" s="9">
        <v>1.0</v>
      </c>
      <c r="L22" s="9">
        <v>0.0</v>
      </c>
      <c r="M22" s="11">
        <v>8.042398823999974</v>
      </c>
      <c r="N22" s="9" t="s">
        <v>164</v>
      </c>
      <c r="O22" s="9" t="s">
        <v>165</v>
      </c>
    </row>
    <row r="23" ht="18.0" customHeight="1">
      <c r="A23" s="9" t="s">
        <v>59</v>
      </c>
      <c r="B23" s="9">
        <v>16.0</v>
      </c>
      <c r="C23" s="9" t="s">
        <v>94</v>
      </c>
      <c r="D23" s="9" t="s">
        <v>166</v>
      </c>
      <c r="E23" s="10">
        <v>8.963048458099365E-5</v>
      </c>
      <c r="F23" s="10">
        <v>0.9999930154597223</v>
      </c>
      <c r="G23" s="10">
        <v>0.23333333333333336</v>
      </c>
      <c r="H23" s="9">
        <v>0.0</v>
      </c>
      <c r="I23" s="9">
        <v>0.0</v>
      </c>
      <c r="J23" s="9">
        <v>0.0</v>
      </c>
      <c r="K23" s="9">
        <v>0.0</v>
      </c>
      <c r="L23" s="9">
        <v>1.0</v>
      </c>
      <c r="M23" s="11">
        <v>1.2125450450002973</v>
      </c>
      <c r="N23" s="9" t="s">
        <v>167</v>
      </c>
      <c r="O23" s="9" t="s">
        <v>168</v>
      </c>
    </row>
    <row r="24" ht="18.0" customHeight="1">
      <c r="A24" s="9" t="s">
        <v>59</v>
      </c>
      <c r="B24" s="9">
        <v>15.0</v>
      </c>
      <c r="C24" s="9" t="s">
        <v>169</v>
      </c>
      <c r="D24" s="9" t="s">
        <v>151</v>
      </c>
      <c r="E24" s="10">
        <v>0.04289950802922249</v>
      </c>
      <c r="F24" s="10">
        <v>0.9866134012117982</v>
      </c>
      <c r="G24" s="10">
        <v>0.8166666666666668</v>
      </c>
      <c r="H24" s="9">
        <v>0.0</v>
      </c>
      <c r="I24" s="9">
        <v>1.0</v>
      </c>
      <c r="J24" s="9">
        <v>1.0</v>
      </c>
      <c r="K24" s="9">
        <v>1.0</v>
      </c>
      <c r="L24" s="9">
        <v>0.0</v>
      </c>
      <c r="M24" s="11">
        <v>1.535841935999997</v>
      </c>
      <c r="N24" s="9" t="s">
        <v>170</v>
      </c>
      <c r="O24" s="9" t="s">
        <v>171</v>
      </c>
    </row>
    <row r="25" ht="18.0" customHeight="1">
      <c r="A25" s="9" t="s">
        <v>59</v>
      </c>
      <c r="B25" s="9">
        <v>12.0</v>
      </c>
      <c r="C25" s="9" t="s">
        <v>172</v>
      </c>
      <c r="D25" s="9" t="s">
        <v>159</v>
      </c>
      <c r="E25" s="10">
        <v>1.704301030258648E-5</v>
      </c>
      <c r="F25" s="10">
        <v>0.9999986473542322</v>
      </c>
      <c r="G25" s="10">
        <v>0.6833333333333335</v>
      </c>
      <c r="H25" s="9">
        <v>0.0</v>
      </c>
      <c r="I25" s="9">
        <v>1.0</v>
      </c>
      <c r="J25" s="9">
        <v>0.0</v>
      </c>
      <c r="K25" s="9">
        <v>0.0</v>
      </c>
      <c r="L25" s="9">
        <v>0.0</v>
      </c>
      <c r="M25" s="11">
        <v>1.5301485319996573</v>
      </c>
      <c r="N25" s="9" t="s">
        <v>173</v>
      </c>
      <c r="O25" s="9" t="s">
        <v>174</v>
      </c>
    </row>
    <row r="26" ht="18.0" customHeight="1">
      <c r="A26" s="9" t="s">
        <v>59</v>
      </c>
      <c r="B26" s="9">
        <v>13.0</v>
      </c>
      <c r="C26" s="9" t="s">
        <v>175</v>
      </c>
      <c r="D26" s="9" t="s">
        <v>176</v>
      </c>
      <c r="E26" s="10">
        <v>6.537595618283376E-5</v>
      </c>
      <c r="F26" s="10">
        <v>0.9999909939592726</v>
      </c>
      <c r="G26" s="10">
        <v>0.15833333333333333</v>
      </c>
      <c r="H26" s="9">
        <v>0.0</v>
      </c>
      <c r="I26" s="9">
        <v>0.0</v>
      </c>
      <c r="J26" s="9">
        <v>0.0</v>
      </c>
      <c r="K26" s="9">
        <v>0.0</v>
      </c>
      <c r="L26" s="9">
        <v>1.0</v>
      </c>
      <c r="M26" s="11">
        <v>1.4029301720001968</v>
      </c>
      <c r="N26" s="9" t="s">
        <v>177</v>
      </c>
      <c r="O26" s="9" t="s">
        <v>178</v>
      </c>
    </row>
    <row r="27" ht="18.0" customHeight="1">
      <c r="A27" s="9" t="s">
        <v>59</v>
      </c>
      <c r="B27" s="9">
        <v>20.0</v>
      </c>
      <c r="C27" s="14" t="s">
        <v>160</v>
      </c>
      <c r="D27" s="14" t="s">
        <v>159</v>
      </c>
      <c r="E27" s="10">
        <v>1.7421500615455443E-6</v>
      </c>
      <c r="F27" s="10">
        <v>0.999999808132543</v>
      </c>
      <c r="G27" s="10">
        <v>0.7000000000000001</v>
      </c>
      <c r="H27" s="9">
        <v>1.0</v>
      </c>
      <c r="I27" s="9">
        <v>1.0</v>
      </c>
      <c r="J27" s="9">
        <v>0.0</v>
      </c>
      <c r="K27" s="9">
        <v>0.0</v>
      </c>
      <c r="L27" s="9">
        <v>0.0</v>
      </c>
      <c r="M27" s="11">
        <v>1.0180144840005596</v>
      </c>
      <c r="N27" s="9"/>
      <c r="O27" s="9" t="s">
        <v>179</v>
      </c>
    </row>
    <row r="28" ht="18.0" customHeight="1">
      <c r="A28" s="9" t="s">
        <v>61</v>
      </c>
      <c r="B28" s="9">
        <v>13.0</v>
      </c>
      <c r="C28" s="9" t="s">
        <v>180</v>
      </c>
      <c r="D28" s="9" t="s">
        <v>181</v>
      </c>
      <c r="E28" s="10">
        <v>1.0629148483276367</v>
      </c>
      <c r="F28" s="10">
        <v>0.31427641212940216</v>
      </c>
      <c r="G28" s="10">
        <v>0.7006802721088435</v>
      </c>
      <c r="H28" s="9">
        <v>0.0</v>
      </c>
      <c r="I28" s="9">
        <v>0.0</v>
      </c>
      <c r="J28" s="9">
        <v>1.0</v>
      </c>
      <c r="K28" s="9">
        <v>1.0</v>
      </c>
      <c r="L28" s="9">
        <v>0.0</v>
      </c>
      <c r="M28" s="11">
        <v>8.481729866000023</v>
      </c>
      <c r="N28" s="9" t="s">
        <v>183</v>
      </c>
      <c r="O28" s="9" t="s">
        <v>184</v>
      </c>
    </row>
    <row r="29" ht="18.0" customHeight="1">
      <c r="A29" s="9" t="s">
        <v>61</v>
      </c>
      <c r="B29" s="9">
        <v>95.0</v>
      </c>
      <c r="C29" s="9" t="s">
        <v>147</v>
      </c>
      <c r="D29" s="9" t="s">
        <v>159</v>
      </c>
      <c r="E29" s="10">
        <v>1.2316206266405061E-5</v>
      </c>
      <c r="F29" s="10">
        <v>0.9999987959142231</v>
      </c>
      <c r="G29" s="10">
        <v>0.6241496598639455</v>
      </c>
      <c r="H29" s="9">
        <v>0.0</v>
      </c>
      <c r="I29" s="9">
        <v>0.0</v>
      </c>
      <c r="J29" s="9">
        <v>0.0</v>
      </c>
      <c r="K29" s="9">
        <v>0.0</v>
      </c>
      <c r="L29" s="9">
        <v>1.0</v>
      </c>
      <c r="M29" s="11">
        <v>1.504939710999679</v>
      </c>
      <c r="N29" s="9" t="s">
        <v>185</v>
      </c>
      <c r="O29" s="9" t="s">
        <v>186</v>
      </c>
    </row>
    <row r="30" ht="18.0" customHeight="1">
      <c r="A30" s="9" t="s">
        <v>61</v>
      </c>
      <c r="B30" s="9">
        <v>93.0</v>
      </c>
      <c r="C30" s="9" t="s">
        <v>187</v>
      </c>
      <c r="D30" s="9" t="s">
        <v>188</v>
      </c>
      <c r="E30" s="10">
        <v>1.9773520762100816E-4</v>
      </c>
      <c r="F30" s="10">
        <v>0.9999791982468196</v>
      </c>
      <c r="G30" s="10">
        <v>0.2704081632653061</v>
      </c>
      <c r="H30" s="9">
        <v>0.0</v>
      </c>
      <c r="I30" s="9">
        <v>0.0</v>
      </c>
      <c r="J30" s="9">
        <v>0.0</v>
      </c>
      <c r="K30" s="9">
        <v>0.0</v>
      </c>
      <c r="L30" s="9">
        <v>1.0</v>
      </c>
      <c r="M30" s="11">
        <v>1.4830828030007979</v>
      </c>
      <c r="N30" s="9" t="s">
        <v>189</v>
      </c>
      <c r="O30" s="9" t="s">
        <v>190</v>
      </c>
    </row>
    <row r="31" ht="18.0" customHeight="1">
      <c r="A31" s="9" t="s">
        <v>61</v>
      </c>
      <c r="B31" s="9">
        <v>40.0</v>
      </c>
      <c r="C31" s="9" t="s">
        <v>94</v>
      </c>
      <c r="D31" s="9" t="s">
        <v>187</v>
      </c>
      <c r="E31" s="10">
        <v>0.4397544860839844</v>
      </c>
      <c r="F31" s="10">
        <v>0.68729168176651</v>
      </c>
      <c r="G31" s="10">
        <v>0.8248299319727891</v>
      </c>
      <c r="H31" s="9">
        <v>0.0</v>
      </c>
      <c r="I31" s="9">
        <v>0.0</v>
      </c>
      <c r="J31" s="9">
        <v>0.0</v>
      </c>
      <c r="K31" s="9">
        <v>1.0</v>
      </c>
      <c r="L31" s="9">
        <v>0.0</v>
      </c>
      <c r="M31" s="11">
        <v>4.108732824000072</v>
      </c>
      <c r="N31" s="9" t="s">
        <v>191</v>
      </c>
      <c r="O31" s="9" t="s">
        <v>192</v>
      </c>
    </row>
    <row r="32" ht="18.0" customHeight="1">
      <c r="A32" s="9" t="s">
        <v>61</v>
      </c>
      <c r="B32" s="9">
        <v>19.0</v>
      </c>
      <c r="C32" s="9" t="s">
        <v>193</v>
      </c>
      <c r="D32" s="9" t="s">
        <v>194</v>
      </c>
      <c r="E32" s="10">
        <v>3.861058576148935E-5</v>
      </c>
      <c r="F32" s="10">
        <v>0.9999952205805585</v>
      </c>
      <c r="G32" s="10">
        <v>0.8520408163265305</v>
      </c>
      <c r="H32" s="9">
        <v>0.0</v>
      </c>
      <c r="I32" s="9">
        <v>1.0</v>
      </c>
      <c r="J32" s="9">
        <v>0.0</v>
      </c>
      <c r="K32" s="9">
        <v>0.0</v>
      </c>
      <c r="L32" s="9">
        <v>0.0</v>
      </c>
      <c r="M32" s="11">
        <v>6.656526646000202</v>
      </c>
      <c r="N32" s="9" t="s">
        <v>195</v>
      </c>
      <c r="O32" s="9" t="s">
        <v>196</v>
      </c>
    </row>
    <row r="33" ht="18.0" customHeight="1">
      <c r="A33" s="9" t="s">
        <v>61</v>
      </c>
      <c r="B33" s="9">
        <v>4.0</v>
      </c>
      <c r="C33" s="9" t="s">
        <v>197</v>
      </c>
      <c r="D33" s="9" t="s">
        <v>83</v>
      </c>
      <c r="E33" s="10">
        <v>0.7552945613861084</v>
      </c>
      <c r="F33" s="10">
        <v>0.04642334580421448</v>
      </c>
      <c r="G33" s="10">
        <v>0.8214285714285715</v>
      </c>
      <c r="H33" s="9">
        <v>0.0</v>
      </c>
      <c r="I33" s="9">
        <v>0.0</v>
      </c>
      <c r="J33" s="9">
        <v>1.0</v>
      </c>
      <c r="K33" s="9">
        <v>1.0</v>
      </c>
      <c r="L33" s="9">
        <v>0.0</v>
      </c>
      <c r="M33" s="11">
        <v>11.7475696649999</v>
      </c>
      <c r="N33" s="9" t="s">
        <v>198</v>
      </c>
      <c r="O33" s="9" t="s">
        <v>199</v>
      </c>
    </row>
    <row r="34" ht="18.0" customHeight="1">
      <c r="A34" s="9" t="s">
        <v>61</v>
      </c>
      <c r="B34" s="9">
        <v>12.0</v>
      </c>
      <c r="C34" s="9" t="s">
        <v>200</v>
      </c>
      <c r="D34" s="9" t="s">
        <v>201</v>
      </c>
      <c r="E34" s="10">
        <v>0.5984967350959778</v>
      </c>
      <c r="F34" s="10">
        <v>0.7944483533501625</v>
      </c>
      <c r="G34" s="10">
        <v>0.8639455782312925</v>
      </c>
      <c r="H34" s="9">
        <v>0.0</v>
      </c>
      <c r="I34" s="9">
        <v>1.0</v>
      </c>
      <c r="J34" s="9">
        <v>1.0</v>
      </c>
      <c r="K34" s="9">
        <v>0.0</v>
      </c>
      <c r="L34" s="9">
        <v>0.0</v>
      </c>
      <c r="M34" s="11">
        <v>8.137750437999784</v>
      </c>
      <c r="N34" s="9" t="s">
        <v>204</v>
      </c>
      <c r="O34" s="9" t="s">
        <v>205</v>
      </c>
    </row>
    <row r="35" ht="18.0" customHeight="1">
      <c r="A35" s="9" t="s">
        <v>61</v>
      </c>
      <c r="B35" s="9">
        <v>33.0</v>
      </c>
      <c r="C35" s="9" t="s">
        <v>193</v>
      </c>
      <c r="D35" s="9" t="s">
        <v>194</v>
      </c>
      <c r="E35" s="10">
        <v>1.0297248991264496E-5</v>
      </c>
      <c r="F35" s="10">
        <v>0.9999990658219531</v>
      </c>
      <c r="G35" s="10">
        <v>0.8588435374149661</v>
      </c>
      <c r="H35" s="9">
        <v>0.0</v>
      </c>
      <c r="I35" s="9">
        <v>1.0</v>
      </c>
      <c r="J35" s="9">
        <v>0.0</v>
      </c>
      <c r="K35" s="9">
        <v>0.0</v>
      </c>
      <c r="L35" s="9">
        <v>0.0</v>
      </c>
      <c r="M35" s="11">
        <v>5.120769999000004</v>
      </c>
      <c r="N35" s="9" t="s">
        <v>212</v>
      </c>
      <c r="O35" s="9" t="s">
        <v>215</v>
      </c>
    </row>
    <row r="36" ht="18.0" customHeight="1">
      <c r="A36" s="9" t="s">
        <v>61</v>
      </c>
      <c r="B36" s="9">
        <v>31.0</v>
      </c>
      <c r="C36" s="9" t="s">
        <v>217</v>
      </c>
      <c r="D36" s="9" t="s">
        <v>218</v>
      </c>
      <c r="E36" s="10">
        <v>2.2216278011910617E-5</v>
      </c>
      <c r="F36" s="10">
        <v>0.9999972407107407</v>
      </c>
      <c r="G36" s="10">
        <v>0.4217687074829932</v>
      </c>
      <c r="H36" s="9">
        <v>0.0</v>
      </c>
      <c r="I36" s="9">
        <v>0.0</v>
      </c>
      <c r="J36" s="9">
        <v>0.0</v>
      </c>
      <c r="K36" s="9">
        <v>0.0</v>
      </c>
      <c r="L36" s="9">
        <v>1.0</v>
      </c>
      <c r="M36" s="11">
        <v>5.654205488000116</v>
      </c>
      <c r="N36" s="9" t="s">
        <v>221</v>
      </c>
      <c r="O36" s="9" t="s">
        <v>223</v>
      </c>
    </row>
    <row r="37" ht="18.0" customHeight="1">
      <c r="A37" s="9" t="s">
        <v>61</v>
      </c>
      <c r="B37" s="9">
        <v>66.0</v>
      </c>
      <c r="C37" s="9" t="s">
        <v>225</v>
      </c>
      <c r="D37" s="9" t="s">
        <v>226</v>
      </c>
      <c r="E37" s="10">
        <v>0.0013835766585543752</v>
      </c>
      <c r="F37" s="10">
        <v>0.9997900094895158</v>
      </c>
      <c r="G37" s="10">
        <v>0.8418367346938775</v>
      </c>
      <c r="H37" s="9">
        <v>0.0</v>
      </c>
      <c r="I37" s="9">
        <v>1.0</v>
      </c>
      <c r="J37" s="9">
        <v>0.0</v>
      </c>
      <c r="K37" s="9">
        <v>0.0</v>
      </c>
      <c r="L37" s="9">
        <v>0.0</v>
      </c>
      <c r="M37" s="11">
        <v>2.7656711809995613</v>
      </c>
      <c r="N37" s="9" t="s">
        <v>228</v>
      </c>
      <c r="O37" s="9" t="s">
        <v>229</v>
      </c>
    </row>
    <row r="38" ht="18.0" customHeight="1">
      <c r="A38" s="9" t="s">
        <v>61</v>
      </c>
      <c r="B38" s="9">
        <v>3.0</v>
      </c>
      <c r="C38" s="9" t="s">
        <v>231</v>
      </c>
      <c r="D38" s="9" t="s">
        <v>234</v>
      </c>
      <c r="E38" s="10">
        <v>0.2501063048839569</v>
      </c>
      <c r="F38" s="10">
        <v>0.8989721350371838</v>
      </c>
      <c r="G38" s="10">
        <v>0.8571428571428572</v>
      </c>
      <c r="H38" s="9">
        <v>0.0</v>
      </c>
      <c r="I38" s="9">
        <v>1.0</v>
      </c>
      <c r="J38" s="9">
        <v>0.0</v>
      </c>
      <c r="K38" s="9">
        <v>0.0</v>
      </c>
      <c r="L38" s="9">
        <v>0.0</v>
      </c>
      <c r="M38" s="11">
        <v>12.166534421000506</v>
      </c>
      <c r="N38" s="9" t="s">
        <v>235</v>
      </c>
      <c r="O38" s="9" t="s">
        <v>236</v>
      </c>
    </row>
    <row r="39" ht="18.0" customHeight="1">
      <c r="A39" s="9" t="s">
        <v>61</v>
      </c>
      <c r="B39" s="9">
        <v>63.0</v>
      </c>
      <c r="C39" s="9" t="s">
        <v>237</v>
      </c>
      <c r="D39" s="9" t="s">
        <v>238</v>
      </c>
      <c r="E39" s="10">
        <v>0.5445423722267151</v>
      </c>
      <c r="F39" s="10">
        <v>0.6357032209634781</v>
      </c>
      <c r="G39" s="10">
        <v>0.5340136054421768</v>
      </c>
      <c r="H39" s="9">
        <v>0.0</v>
      </c>
      <c r="I39" s="9">
        <v>0.0</v>
      </c>
      <c r="J39" s="9">
        <v>1.0</v>
      </c>
      <c r="K39" s="9">
        <v>1.0</v>
      </c>
      <c r="L39" s="9">
        <v>0.0</v>
      </c>
      <c r="M39" s="11">
        <v>3.5026131889999306</v>
      </c>
      <c r="N39" s="9" t="s">
        <v>240</v>
      </c>
      <c r="O39" s="9" t="s">
        <v>243</v>
      </c>
    </row>
    <row r="40" ht="18.0" customHeight="1">
      <c r="A40" s="9" t="s">
        <v>61</v>
      </c>
      <c r="B40" s="9">
        <v>82.0</v>
      </c>
      <c r="C40" s="9" t="s">
        <v>244</v>
      </c>
      <c r="D40" s="9" t="s">
        <v>245</v>
      </c>
      <c r="E40" s="10">
        <v>0.45764559507369995</v>
      </c>
      <c r="F40" s="10">
        <v>0.6578737944364548</v>
      </c>
      <c r="G40" s="10">
        <v>0.6156462585034013</v>
      </c>
      <c r="H40" s="9">
        <v>0.0</v>
      </c>
      <c r="I40" s="9">
        <v>0.0</v>
      </c>
      <c r="J40" s="9">
        <v>1.0</v>
      </c>
      <c r="K40" s="9">
        <v>1.0</v>
      </c>
      <c r="L40" s="9">
        <v>0.0</v>
      </c>
      <c r="M40" s="11">
        <v>2.28952741699959</v>
      </c>
      <c r="N40" s="9" t="s">
        <v>247</v>
      </c>
      <c r="O40" s="9" t="s">
        <v>249</v>
      </c>
    </row>
    <row r="41" ht="18.0" customHeight="1">
      <c r="A41" s="9" t="s">
        <v>61</v>
      </c>
      <c r="B41" s="9">
        <v>55.0</v>
      </c>
      <c r="C41" s="9" t="s">
        <v>200</v>
      </c>
      <c r="D41" s="9" t="s">
        <v>250</v>
      </c>
      <c r="E41" s="10">
        <v>1.3993867469253018E-5</v>
      </c>
      <c r="F41" s="10">
        <v>0.9999990992052972</v>
      </c>
      <c r="G41" s="10">
        <v>0.1717687074829932</v>
      </c>
      <c r="H41" s="9">
        <v>0.0</v>
      </c>
      <c r="I41" s="9">
        <v>0.0</v>
      </c>
      <c r="J41" s="9">
        <v>0.0</v>
      </c>
      <c r="K41" s="9">
        <v>0.0</v>
      </c>
      <c r="L41" s="9">
        <v>1.0</v>
      </c>
      <c r="M41" s="11">
        <v>4.032259354999951</v>
      </c>
      <c r="N41" s="9" t="s">
        <v>251</v>
      </c>
      <c r="O41" s="9" t="s">
        <v>253</v>
      </c>
    </row>
    <row r="42" ht="18.0" customHeight="1">
      <c r="A42" s="9" t="s">
        <v>61</v>
      </c>
      <c r="B42" s="9">
        <v>43.0</v>
      </c>
      <c r="C42" s="9" t="s">
        <v>256</v>
      </c>
      <c r="D42" s="9" t="s">
        <v>257</v>
      </c>
      <c r="E42" s="10">
        <v>6.519434009533143E-6</v>
      </c>
      <c r="F42" s="10">
        <v>0.9999995206925831</v>
      </c>
      <c r="G42" s="10">
        <v>0.32142857142857145</v>
      </c>
      <c r="H42" s="9">
        <v>0.0</v>
      </c>
      <c r="I42" s="9">
        <v>0.0</v>
      </c>
      <c r="J42" s="9">
        <v>0.0</v>
      </c>
      <c r="K42" s="9">
        <v>0.0</v>
      </c>
      <c r="L42" s="9">
        <v>1.0</v>
      </c>
      <c r="M42" s="11">
        <v>4.865075074999368</v>
      </c>
      <c r="N42" s="9" t="s">
        <v>259</v>
      </c>
      <c r="O42" s="9" t="s">
        <v>260</v>
      </c>
    </row>
    <row r="43" ht="18.0" customHeight="1">
      <c r="A43" s="9" t="s">
        <v>58</v>
      </c>
      <c r="B43" s="9">
        <v>100.0</v>
      </c>
      <c r="C43" s="9" t="s">
        <v>261</v>
      </c>
      <c r="D43" s="9" t="s">
        <v>262</v>
      </c>
      <c r="E43" s="10">
        <v>1.470419083489105E-4</v>
      </c>
      <c r="F43" s="10">
        <v>0.9999774835814605</v>
      </c>
      <c r="G43" s="10">
        <v>0.8618233618233618</v>
      </c>
      <c r="H43" s="9">
        <v>0.0</v>
      </c>
      <c r="I43" s="9">
        <v>1.0</v>
      </c>
      <c r="J43" s="9">
        <v>0.0</v>
      </c>
      <c r="K43" s="9">
        <v>0.0</v>
      </c>
      <c r="L43" s="9">
        <v>0.0</v>
      </c>
      <c r="M43" s="11">
        <v>2.771548564999648</v>
      </c>
      <c r="N43" s="9" t="s">
        <v>266</v>
      </c>
      <c r="O43" s="9" t="s">
        <v>268</v>
      </c>
    </row>
    <row r="44" ht="18.0" customHeight="1">
      <c r="A44" s="9" t="s">
        <v>58</v>
      </c>
      <c r="B44" s="9">
        <v>17.0</v>
      </c>
      <c r="C44" s="9" t="s">
        <v>181</v>
      </c>
      <c r="D44" s="9" t="s">
        <v>270</v>
      </c>
      <c r="E44" s="10">
        <v>0.6204717755317688</v>
      </c>
      <c r="F44" s="10">
        <v>0.46474093198776245</v>
      </c>
      <c r="G44" s="10">
        <v>0.24074074074074073</v>
      </c>
      <c r="H44" s="9">
        <v>0.0</v>
      </c>
      <c r="I44" s="9">
        <v>0.0</v>
      </c>
      <c r="J44" s="9">
        <v>1.0</v>
      </c>
      <c r="K44" s="9">
        <v>1.0</v>
      </c>
      <c r="L44" s="9">
        <v>0.0</v>
      </c>
      <c r="M44" s="11">
        <v>8.048430763999932</v>
      </c>
      <c r="N44" s="9" t="s">
        <v>271</v>
      </c>
      <c r="O44" s="9" t="s">
        <v>273</v>
      </c>
    </row>
    <row r="45" ht="18.0" customHeight="1">
      <c r="A45" s="9" t="s">
        <v>58</v>
      </c>
      <c r="B45" s="9">
        <v>105.0</v>
      </c>
      <c r="C45" s="13" t="s">
        <v>274</v>
      </c>
      <c r="D45" s="13" t="s">
        <v>275</v>
      </c>
      <c r="E45" s="10">
        <v>0.0025540771894156933</v>
      </c>
      <c r="F45" s="10">
        <v>0.9995495754701551</v>
      </c>
      <c r="G45" s="10">
        <v>0.8276353276353277</v>
      </c>
      <c r="H45" s="9">
        <v>0.0</v>
      </c>
      <c r="I45" s="9">
        <v>1.0</v>
      </c>
      <c r="J45" s="9">
        <v>0.0</v>
      </c>
      <c r="K45" s="9">
        <v>0.0</v>
      </c>
      <c r="L45" s="9">
        <v>0.0</v>
      </c>
      <c r="M45" s="11">
        <v>1.0068566350000765</v>
      </c>
      <c r="N45" s="9" t="s">
        <v>276</v>
      </c>
      <c r="O45" s="9" t="s">
        <v>278</v>
      </c>
    </row>
    <row r="46" ht="18.0" customHeight="1">
      <c r="A46" s="9" t="s">
        <v>58</v>
      </c>
      <c r="B46" s="9">
        <v>82.0</v>
      </c>
      <c r="C46" s="9" t="s">
        <v>159</v>
      </c>
      <c r="D46" s="9" t="s">
        <v>160</v>
      </c>
      <c r="E46" s="10">
        <v>3.2909422316151904E-6</v>
      </c>
      <c r="F46" s="10">
        <v>0.9999998200825431</v>
      </c>
      <c r="G46" s="10">
        <v>0.5256410256410257</v>
      </c>
      <c r="H46" s="9">
        <v>0.0</v>
      </c>
      <c r="I46" s="9">
        <v>0.0</v>
      </c>
      <c r="J46" s="9">
        <v>0.0</v>
      </c>
      <c r="K46" s="9">
        <v>0.0</v>
      </c>
      <c r="L46" s="9">
        <v>1.0</v>
      </c>
      <c r="M46" s="11">
        <v>3.4426156620002075</v>
      </c>
      <c r="N46" s="9" t="s">
        <v>279</v>
      </c>
      <c r="O46" s="9" t="s">
        <v>280</v>
      </c>
    </row>
    <row r="47" ht="18.0" customHeight="1">
      <c r="A47" s="9" t="s">
        <v>58</v>
      </c>
      <c r="B47" s="9">
        <v>54.0</v>
      </c>
      <c r="C47" s="9" t="s">
        <v>281</v>
      </c>
      <c r="D47" s="9" t="s">
        <v>282</v>
      </c>
      <c r="E47" s="10">
        <v>1.7681677341461182</v>
      </c>
      <c r="F47" s="10">
        <v>0.1897023469209671</v>
      </c>
      <c r="G47" s="10">
        <v>0.10256410256410257</v>
      </c>
      <c r="H47" s="9">
        <v>0.0</v>
      </c>
      <c r="I47" s="9">
        <v>0.0</v>
      </c>
      <c r="J47" s="9">
        <v>1.0</v>
      </c>
      <c r="K47" s="9">
        <v>1.0</v>
      </c>
      <c r="L47" s="9">
        <v>0.0</v>
      </c>
      <c r="M47" s="11">
        <v>5.401150486999541</v>
      </c>
      <c r="N47" s="9" t="s">
        <v>283</v>
      </c>
      <c r="O47" s="9" t="s">
        <v>284</v>
      </c>
    </row>
    <row r="48" ht="18.0" customHeight="1">
      <c r="A48" s="9" t="s">
        <v>58</v>
      </c>
      <c r="B48" s="9">
        <v>116.0</v>
      </c>
      <c r="C48" s="9" t="s">
        <v>160</v>
      </c>
      <c r="D48" s="9" t="s">
        <v>270</v>
      </c>
      <c r="E48" s="10">
        <v>7.19642048352398E-5</v>
      </c>
      <c r="F48" s="10">
        <v>0.999989817801179</v>
      </c>
      <c r="G48" s="10">
        <v>0.45584045584045585</v>
      </c>
      <c r="H48" s="9">
        <v>0.0</v>
      </c>
      <c r="I48" s="9">
        <v>0.0</v>
      </c>
      <c r="J48" s="9">
        <v>0.0</v>
      </c>
      <c r="K48" s="9">
        <v>0.0</v>
      </c>
      <c r="L48" s="9">
        <v>1.0</v>
      </c>
      <c r="M48" s="11">
        <v>1.2964527509993786</v>
      </c>
      <c r="N48" s="9" t="s">
        <v>285</v>
      </c>
      <c r="O48" s="9" t="s">
        <v>286</v>
      </c>
    </row>
    <row r="49" ht="18.0" customHeight="1">
      <c r="A49" s="9" t="s">
        <v>58</v>
      </c>
      <c r="B49" s="9">
        <v>52.0</v>
      </c>
      <c r="C49" s="9" t="s">
        <v>289</v>
      </c>
      <c r="D49" s="9" t="s">
        <v>232</v>
      </c>
      <c r="E49" s="10">
        <v>0.6937786340713501</v>
      </c>
      <c r="F49" s="10">
        <v>0.10115090012550354</v>
      </c>
      <c r="G49" s="10">
        <v>0.5968660968660968</v>
      </c>
      <c r="H49" s="9">
        <v>0.0</v>
      </c>
      <c r="I49" s="9">
        <v>0.0</v>
      </c>
      <c r="J49" s="9">
        <v>1.0</v>
      </c>
      <c r="K49" s="9">
        <v>1.0</v>
      </c>
      <c r="L49" s="9">
        <v>0.0</v>
      </c>
      <c r="M49" s="11">
        <v>5.667446159000065</v>
      </c>
      <c r="N49" s="9" t="s">
        <v>291</v>
      </c>
      <c r="O49" s="9" t="s">
        <v>293</v>
      </c>
    </row>
    <row r="50" ht="18.0" customHeight="1">
      <c r="A50" s="9" t="s">
        <v>58</v>
      </c>
      <c r="B50" s="9">
        <v>34.0</v>
      </c>
      <c r="C50" s="9" t="s">
        <v>232</v>
      </c>
      <c r="D50" s="9" t="s">
        <v>289</v>
      </c>
      <c r="E50" s="10">
        <v>0.5373890399932861</v>
      </c>
      <c r="F50" s="10">
        <v>0.5489739030599594</v>
      </c>
      <c r="G50" s="10">
        <v>0.7507122507122507</v>
      </c>
      <c r="H50" s="9">
        <v>0.0</v>
      </c>
      <c r="I50" s="9">
        <v>0.0</v>
      </c>
      <c r="J50" s="9">
        <v>1.0</v>
      </c>
      <c r="K50" s="9">
        <v>1.0</v>
      </c>
      <c r="L50" s="9">
        <v>0.0</v>
      </c>
      <c r="M50" s="11">
        <v>5.534080296999491</v>
      </c>
      <c r="N50" s="9" t="s">
        <v>295</v>
      </c>
      <c r="O50" s="9" t="s">
        <v>296</v>
      </c>
    </row>
    <row r="51" ht="18.0" customHeight="1">
      <c r="A51" s="9" t="s">
        <v>58</v>
      </c>
      <c r="B51" s="9">
        <v>35.0</v>
      </c>
      <c r="C51" s="9" t="s">
        <v>262</v>
      </c>
      <c r="D51" s="9" t="s">
        <v>281</v>
      </c>
      <c r="E51" s="10">
        <v>1.1520901918411255</v>
      </c>
      <c r="F51" s="10">
        <v>0.4929659962654114</v>
      </c>
      <c r="G51" s="10">
        <v>0.8532763532763532</v>
      </c>
      <c r="H51" s="9">
        <v>0.0</v>
      </c>
      <c r="I51" s="9">
        <v>1.0</v>
      </c>
      <c r="J51" s="9">
        <v>1.0</v>
      </c>
      <c r="K51" s="9">
        <v>1.0</v>
      </c>
      <c r="L51" s="9">
        <v>0.0</v>
      </c>
      <c r="M51" s="11">
        <v>5.4095664889991895</v>
      </c>
      <c r="N51" s="9" t="s">
        <v>299</v>
      </c>
      <c r="O51" s="9" t="s">
        <v>300</v>
      </c>
    </row>
    <row r="52" ht="18.0" customHeight="1">
      <c r="A52" s="9" t="s">
        <v>58</v>
      </c>
      <c r="B52" s="9">
        <v>112.0</v>
      </c>
      <c r="C52" s="9" t="s">
        <v>281</v>
      </c>
      <c r="D52" s="9" t="s">
        <v>159</v>
      </c>
      <c r="E52" s="10">
        <v>6.482504977611825E-5</v>
      </c>
      <c r="F52" s="10">
        <v>0.9999949387888591</v>
      </c>
      <c r="G52" s="10">
        <v>0.8176638176638177</v>
      </c>
      <c r="H52" s="9">
        <v>0.0</v>
      </c>
      <c r="I52" s="9">
        <v>1.0</v>
      </c>
      <c r="J52" s="9">
        <v>0.0</v>
      </c>
      <c r="K52" s="9">
        <v>0.0</v>
      </c>
      <c r="L52" s="9">
        <v>0.0</v>
      </c>
      <c r="M52" s="11">
        <v>1.21428586500042</v>
      </c>
      <c r="N52" s="9" t="s">
        <v>303</v>
      </c>
      <c r="O52" s="9" t="s">
        <v>305</v>
      </c>
    </row>
    <row r="53" ht="18.0" customHeight="1">
      <c r="A53" s="9" t="s">
        <v>58</v>
      </c>
      <c r="B53" s="9">
        <v>77.0</v>
      </c>
      <c r="C53" s="9" t="s">
        <v>139</v>
      </c>
      <c r="D53" s="9" t="s">
        <v>151</v>
      </c>
      <c r="E53" s="10">
        <v>5.125607131049037E-4</v>
      </c>
      <c r="F53" s="10">
        <v>0.9999486989090656</v>
      </c>
      <c r="G53" s="10">
        <v>0.6837606837606837</v>
      </c>
      <c r="H53" s="9">
        <v>0.0</v>
      </c>
      <c r="I53" s="9">
        <v>0.0</v>
      </c>
      <c r="J53" s="9">
        <v>0.0</v>
      </c>
      <c r="K53" s="9">
        <v>0.0</v>
      </c>
      <c r="L53" s="9">
        <v>1.0</v>
      </c>
      <c r="M53" s="11">
        <v>3.232289505999688</v>
      </c>
      <c r="N53" s="9" t="s">
        <v>307</v>
      </c>
      <c r="O53" s="9" t="s">
        <v>308</v>
      </c>
    </row>
    <row r="54" ht="18.0" customHeight="1">
      <c r="A54" s="9" t="s">
        <v>58</v>
      </c>
      <c r="B54" s="9">
        <v>70.0</v>
      </c>
      <c r="C54" s="9" t="s">
        <v>311</v>
      </c>
      <c r="D54" s="9" t="s">
        <v>312</v>
      </c>
      <c r="E54" s="10">
        <v>1.7741495685186237E-4</v>
      </c>
      <c r="F54" s="10">
        <v>0.9999807653011885</v>
      </c>
      <c r="G54" s="10">
        <v>0.8461538461538461</v>
      </c>
      <c r="H54" s="9">
        <v>0.0</v>
      </c>
      <c r="I54" s="9">
        <v>1.0</v>
      </c>
      <c r="J54" s="9">
        <v>0.0</v>
      </c>
      <c r="K54" s="9">
        <v>0.0</v>
      </c>
      <c r="L54" s="9">
        <v>1.0</v>
      </c>
      <c r="M54" s="11">
        <v>4.44664358800037</v>
      </c>
      <c r="N54" s="9" t="s">
        <v>313</v>
      </c>
      <c r="O54" s="9" t="s">
        <v>315</v>
      </c>
    </row>
    <row r="55" ht="18.0" customHeight="1">
      <c r="A55" s="9" t="s">
        <v>58</v>
      </c>
      <c r="B55" s="9">
        <v>23.0</v>
      </c>
      <c r="C55" s="9" t="s">
        <v>159</v>
      </c>
      <c r="D55" s="9" t="s">
        <v>181</v>
      </c>
      <c r="E55" s="10">
        <v>7.907710096333176E-5</v>
      </c>
      <c r="F55" s="10">
        <v>0.9999893827202868</v>
      </c>
      <c r="G55" s="10">
        <v>0.5170940170940171</v>
      </c>
      <c r="H55" s="9">
        <v>0.0</v>
      </c>
      <c r="I55" s="9">
        <v>0.0</v>
      </c>
      <c r="J55" s="9">
        <v>0.0</v>
      </c>
      <c r="K55" s="9">
        <v>0.0</v>
      </c>
      <c r="L55" s="9">
        <v>1.0</v>
      </c>
      <c r="M55" s="11">
        <v>7.556376677999651</v>
      </c>
      <c r="N55" s="9" t="s">
        <v>317</v>
      </c>
      <c r="O55" s="9" t="s">
        <v>319</v>
      </c>
    </row>
    <row r="56" ht="18.0" customHeight="1">
      <c r="A56" s="9" t="s">
        <v>64</v>
      </c>
      <c r="B56" s="9">
        <v>9.0</v>
      </c>
      <c r="C56" s="9" t="s">
        <v>320</v>
      </c>
      <c r="D56" s="9" t="s">
        <v>180</v>
      </c>
      <c r="E56" s="10">
        <v>1.5207865238189697</v>
      </c>
      <c r="F56" s="10">
        <v>0.12120187282562256</v>
      </c>
      <c r="G56" s="10">
        <v>0.4185185185185185</v>
      </c>
      <c r="H56" s="9">
        <v>0.0</v>
      </c>
      <c r="I56" s="9">
        <v>0.0</v>
      </c>
      <c r="J56" s="9">
        <v>1.0</v>
      </c>
      <c r="K56" s="9">
        <v>1.0</v>
      </c>
      <c r="L56" s="9">
        <v>0.0</v>
      </c>
      <c r="M56" s="11">
        <v>2.419635033999839</v>
      </c>
      <c r="N56" s="9" t="s">
        <v>321</v>
      </c>
      <c r="O56" s="9" t="s">
        <v>322</v>
      </c>
    </row>
    <row r="57" ht="18.0" customHeight="1">
      <c r="A57" s="9" t="s">
        <v>64</v>
      </c>
      <c r="B57" s="9">
        <v>37.0</v>
      </c>
      <c r="C57" s="9" t="s">
        <v>163</v>
      </c>
      <c r="D57" s="9" t="s">
        <v>323</v>
      </c>
      <c r="E57" s="10">
        <v>1.31519382193801E-5</v>
      </c>
      <c r="F57" s="10">
        <v>0.9999990427558316</v>
      </c>
      <c r="G57" s="10">
        <v>0.15925925925925924</v>
      </c>
      <c r="H57" s="9">
        <v>0.0</v>
      </c>
      <c r="I57" s="9">
        <v>0.0</v>
      </c>
      <c r="J57" s="9">
        <v>0.0</v>
      </c>
      <c r="K57" s="9">
        <v>0.0</v>
      </c>
      <c r="L57" s="9">
        <v>1.0</v>
      </c>
      <c r="M57" s="11">
        <v>1.5047151400003713</v>
      </c>
      <c r="N57" s="9" t="s">
        <v>324</v>
      </c>
      <c r="O57" s="9" t="s">
        <v>325</v>
      </c>
    </row>
    <row r="58" ht="18.0" customHeight="1">
      <c r="A58" s="9" t="s">
        <v>64</v>
      </c>
      <c r="B58" s="9">
        <v>32.0</v>
      </c>
      <c r="C58" s="9" t="s">
        <v>143</v>
      </c>
      <c r="D58" s="9" t="s">
        <v>327</v>
      </c>
      <c r="E58" s="10">
        <v>0.5190002918243408</v>
      </c>
      <c r="F58" s="10">
        <v>0.5855412185192108</v>
      </c>
      <c r="G58" s="10">
        <v>0.4407407407407408</v>
      </c>
      <c r="H58" s="9">
        <v>0.0</v>
      </c>
      <c r="I58" s="9">
        <v>0.0</v>
      </c>
      <c r="J58" s="9">
        <v>1.0</v>
      </c>
      <c r="K58" s="9">
        <v>1.0</v>
      </c>
      <c r="L58" s="9">
        <v>0.0</v>
      </c>
      <c r="M58" s="11">
        <v>1.8567860889997974</v>
      </c>
      <c r="N58" s="9" t="s">
        <v>328</v>
      </c>
      <c r="O58" s="9" t="s">
        <v>329</v>
      </c>
    </row>
    <row r="59" ht="18.0" customHeight="1">
      <c r="A59" s="9" t="s">
        <v>64</v>
      </c>
      <c r="B59" s="9">
        <v>30.0</v>
      </c>
      <c r="C59" s="9" t="s">
        <v>314</v>
      </c>
      <c r="D59" s="9" t="s">
        <v>330</v>
      </c>
      <c r="E59" s="10">
        <v>2.448089071549475E-4</v>
      </c>
      <c r="F59" s="10">
        <v>0.9999694687621741</v>
      </c>
      <c r="G59" s="10">
        <v>0.8777777777777778</v>
      </c>
      <c r="H59" s="9">
        <v>0.0</v>
      </c>
      <c r="I59" s="9">
        <v>1.0</v>
      </c>
      <c r="J59" s="9">
        <v>0.0</v>
      </c>
      <c r="K59" s="9">
        <v>0.0</v>
      </c>
      <c r="L59" s="9">
        <v>0.0</v>
      </c>
      <c r="M59" s="11">
        <v>2.511393300999771</v>
      </c>
      <c r="N59" s="9" t="s">
        <v>332</v>
      </c>
      <c r="O59" s="9" t="s">
        <v>333</v>
      </c>
    </row>
    <row r="60" ht="18.0" customHeight="1">
      <c r="A60" s="9" t="s">
        <v>64</v>
      </c>
      <c r="B60" s="9">
        <v>33.0</v>
      </c>
      <c r="C60" s="9" t="s">
        <v>334</v>
      </c>
      <c r="D60" s="9" t="s">
        <v>314</v>
      </c>
      <c r="E60" s="10">
        <v>4.1579227399779484E-5</v>
      </c>
      <c r="F60" s="10">
        <v>0.9999955893330252</v>
      </c>
      <c r="G60" s="10">
        <v>0.8518518518518517</v>
      </c>
      <c r="H60" s="9">
        <v>0.0</v>
      </c>
      <c r="I60" s="9">
        <v>1.0</v>
      </c>
      <c r="J60" s="9">
        <v>0.0</v>
      </c>
      <c r="K60" s="9">
        <v>0.0</v>
      </c>
      <c r="L60" s="9">
        <v>0.0</v>
      </c>
      <c r="M60" s="11">
        <v>2.045405732999825</v>
      </c>
      <c r="N60" s="9" t="s">
        <v>335</v>
      </c>
      <c r="O60" s="9" t="s">
        <v>336</v>
      </c>
    </row>
    <row r="61" ht="18.0" customHeight="1">
      <c r="A61" s="9" t="s">
        <v>64</v>
      </c>
      <c r="B61" s="9">
        <v>41.0</v>
      </c>
      <c r="C61" s="9" t="s">
        <v>262</v>
      </c>
      <c r="D61" s="9" t="s">
        <v>261</v>
      </c>
      <c r="E61" s="10">
        <v>0.10755733400583267</v>
      </c>
      <c r="F61" s="10">
        <v>0.9688232429325581</v>
      </c>
      <c r="G61" s="10">
        <v>0.8296296296296296</v>
      </c>
      <c r="H61" s="9">
        <v>0.0</v>
      </c>
      <c r="I61" s="9">
        <v>1.0</v>
      </c>
      <c r="J61" s="9">
        <v>0.0</v>
      </c>
      <c r="K61" s="9">
        <v>0.0</v>
      </c>
      <c r="L61" s="9">
        <v>0.0</v>
      </c>
      <c r="M61" s="11">
        <v>0.9791012649993718</v>
      </c>
      <c r="N61" s="9" t="s">
        <v>339</v>
      </c>
      <c r="O61" s="9" t="s">
        <v>341</v>
      </c>
    </row>
    <row r="62" ht="18.0" customHeight="1">
      <c r="A62" s="9" t="s">
        <v>64</v>
      </c>
      <c r="B62" s="9">
        <v>42.0</v>
      </c>
      <c r="C62" s="9" t="s">
        <v>314</v>
      </c>
      <c r="D62" s="9" t="s">
        <v>330</v>
      </c>
      <c r="E62" s="10">
        <v>0.0013969469582661986</v>
      </c>
      <c r="F62" s="10">
        <v>0.9997555649897549</v>
      </c>
      <c r="G62" s="10">
        <v>0.8777777777777778</v>
      </c>
      <c r="H62" s="9">
        <v>0.0</v>
      </c>
      <c r="I62" s="9">
        <v>1.0</v>
      </c>
      <c r="J62" s="9">
        <v>0.0</v>
      </c>
      <c r="K62" s="9">
        <v>0.0</v>
      </c>
      <c r="L62" s="9">
        <v>0.0</v>
      </c>
      <c r="M62" s="11">
        <v>2.2514960509997763</v>
      </c>
      <c r="N62" s="9" t="s">
        <v>346</v>
      </c>
      <c r="O62" s="9" t="s">
        <v>347</v>
      </c>
    </row>
    <row r="63" ht="18.0" customHeight="1">
      <c r="A63" s="9" t="s">
        <v>64</v>
      </c>
      <c r="B63" s="9">
        <v>27.0</v>
      </c>
      <c r="C63" s="9" t="s">
        <v>289</v>
      </c>
      <c r="D63" s="9" t="s">
        <v>232</v>
      </c>
      <c r="E63" s="10">
        <v>0.6937291026115417</v>
      </c>
      <c r="F63" s="10">
        <v>0.0701741874217987</v>
      </c>
      <c r="G63" s="10">
        <v>0.5185185185185185</v>
      </c>
      <c r="H63" s="9">
        <v>0.0</v>
      </c>
      <c r="I63" s="9">
        <v>0.0</v>
      </c>
      <c r="J63" s="9">
        <v>1.0</v>
      </c>
      <c r="K63" s="9">
        <v>1.0</v>
      </c>
      <c r="L63" s="9">
        <v>0.0</v>
      </c>
      <c r="M63" s="11">
        <v>2.099507411000559</v>
      </c>
      <c r="N63" s="9" t="s">
        <v>348</v>
      </c>
      <c r="O63" s="9" t="s">
        <v>349</v>
      </c>
    </row>
    <row r="64" ht="18.0" customHeight="1">
      <c r="A64" s="9" t="s">
        <v>64</v>
      </c>
      <c r="B64" s="9">
        <v>25.0</v>
      </c>
      <c r="C64" s="9" t="s">
        <v>350</v>
      </c>
      <c r="D64" s="9" t="s">
        <v>351</v>
      </c>
      <c r="E64" s="10">
        <v>0.09657768160104752</v>
      </c>
      <c r="F64" s="10">
        <v>0.9610948525369167</v>
      </c>
      <c r="G64" s="10">
        <v>0.6222222222222221</v>
      </c>
      <c r="H64" s="9">
        <v>0.0</v>
      </c>
      <c r="I64" s="9">
        <v>0.0</v>
      </c>
      <c r="J64" s="9">
        <v>0.0</v>
      </c>
      <c r="K64" s="9">
        <v>0.0</v>
      </c>
      <c r="L64" s="9">
        <v>1.0</v>
      </c>
      <c r="M64" s="11">
        <v>2.2347688310001104</v>
      </c>
      <c r="N64" s="9" t="s">
        <v>352</v>
      </c>
      <c r="O64" s="9" t="s">
        <v>353</v>
      </c>
    </row>
    <row r="65" ht="18.0" customHeight="1">
      <c r="A65" s="9" t="s">
        <v>64</v>
      </c>
      <c r="B65" s="9">
        <v>29.0</v>
      </c>
      <c r="C65" s="9" t="s">
        <v>94</v>
      </c>
      <c r="D65" s="9" t="s">
        <v>163</v>
      </c>
      <c r="E65" s="10">
        <v>2.399713994236663E-4</v>
      </c>
      <c r="F65" s="10">
        <v>0.9999726225732957</v>
      </c>
      <c r="G65" s="10">
        <v>0.7407407407407408</v>
      </c>
      <c r="H65" s="9">
        <v>0.0</v>
      </c>
      <c r="I65" s="9">
        <v>0.0</v>
      </c>
      <c r="J65" s="9">
        <v>0.0</v>
      </c>
      <c r="K65" s="9">
        <v>0.0</v>
      </c>
      <c r="L65" s="9">
        <v>1.0</v>
      </c>
      <c r="M65" s="11">
        <v>1.310830512999928</v>
      </c>
      <c r="N65" s="9" t="s">
        <v>354</v>
      </c>
      <c r="O65" s="9" t="s">
        <v>355</v>
      </c>
    </row>
    <row r="66" ht="18.0" customHeight="1">
      <c r="A66" s="9" t="s">
        <v>64</v>
      </c>
      <c r="B66" s="9">
        <v>34.0</v>
      </c>
      <c r="C66" s="9" t="s">
        <v>320</v>
      </c>
      <c r="D66" s="9" t="s">
        <v>356</v>
      </c>
      <c r="E66" s="10">
        <v>5.906400838284753E-5</v>
      </c>
      <c r="F66" s="10">
        <v>0.9999942187687338</v>
      </c>
      <c r="G66" s="10">
        <v>0.11481481481481481</v>
      </c>
      <c r="H66" s="9">
        <v>0.0</v>
      </c>
      <c r="I66" s="9">
        <v>0.0</v>
      </c>
      <c r="J66" s="9">
        <v>0.0</v>
      </c>
      <c r="K66" s="9">
        <v>0.0</v>
      </c>
      <c r="L66" s="9">
        <v>1.0</v>
      </c>
      <c r="M66" s="11">
        <v>1.7083633129996088</v>
      </c>
      <c r="N66" s="9" t="s">
        <v>357</v>
      </c>
      <c r="O66" s="9" t="s">
        <v>358</v>
      </c>
    </row>
    <row r="67" ht="18.0" customHeight="1">
      <c r="A67" s="9" t="s">
        <v>64</v>
      </c>
      <c r="B67" s="9">
        <v>12.0</v>
      </c>
      <c r="C67" s="14" t="s">
        <v>359</v>
      </c>
      <c r="D67" s="14" t="s">
        <v>360</v>
      </c>
      <c r="E67" s="10">
        <v>0.8409475088119507</v>
      </c>
      <c r="F67" s="10">
        <v>0.12896433472633362</v>
      </c>
      <c r="G67" s="10">
        <v>0.7148148148148148</v>
      </c>
      <c r="H67" s="9">
        <v>1.0</v>
      </c>
      <c r="I67" s="9">
        <v>0.0</v>
      </c>
      <c r="J67" s="9">
        <v>1.0</v>
      </c>
      <c r="K67" s="9">
        <v>1.0</v>
      </c>
      <c r="L67" s="9">
        <v>1.0</v>
      </c>
      <c r="M67" s="11">
        <v>3.420882624999649</v>
      </c>
      <c r="N67" s="9"/>
      <c r="O67" s="9" t="s">
        <v>363</v>
      </c>
    </row>
    <row r="68" ht="18.0" customHeight="1">
      <c r="A68" s="9" t="s">
        <v>64</v>
      </c>
      <c r="B68" s="9">
        <v>8.0</v>
      </c>
      <c r="C68" s="14" t="s">
        <v>314</v>
      </c>
      <c r="D68" s="14" t="s">
        <v>201</v>
      </c>
      <c r="E68" s="10">
        <v>1.5788769721984863</v>
      </c>
      <c r="F68" s="10">
        <v>0.029187828302383423</v>
      </c>
      <c r="G68" s="10">
        <v>0.8185185185185185</v>
      </c>
      <c r="H68" s="9">
        <v>1.0</v>
      </c>
      <c r="I68" s="9">
        <v>1.0</v>
      </c>
      <c r="J68" s="9">
        <v>1.0</v>
      </c>
      <c r="K68" s="9">
        <v>1.0</v>
      </c>
      <c r="L68" s="9">
        <v>0.0</v>
      </c>
      <c r="M68" s="11">
        <v>5.280336258000716</v>
      </c>
      <c r="N68" s="9"/>
      <c r="O68" s="9" t="s">
        <v>365</v>
      </c>
    </row>
    <row r="69" ht="18.0" customHeight="1">
      <c r="A69" s="9" t="s">
        <v>17</v>
      </c>
      <c r="B69" s="9">
        <v>4.0</v>
      </c>
      <c r="C69" s="9" t="s">
        <v>139</v>
      </c>
      <c r="D69" s="9" t="s">
        <v>140</v>
      </c>
      <c r="E69" s="10">
        <v>0.0315447635948658</v>
      </c>
      <c r="F69" s="10">
        <v>0.9908968075178564</v>
      </c>
      <c r="G69" s="10">
        <v>0.5952380952380952</v>
      </c>
      <c r="H69" s="9">
        <v>0.0</v>
      </c>
      <c r="I69" s="9">
        <v>1.0</v>
      </c>
      <c r="J69" s="9">
        <v>1.0</v>
      </c>
      <c r="K69" s="9">
        <v>1.0</v>
      </c>
      <c r="L69" s="9">
        <v>0.0</v>
      </c>
      <c r="M69" s="11">
        <v>1.1972788690000016</v>
      </c>
      <c r="N69" s="9" t="s">
        <v>367</v>
      </c>
      <c r="O69" s="9" t="s">
        <v>368</v>
      </c>
    </row>
    <row r="70" ht="18.0" customHeight="1">
      <c r="A70" s="9" t="s">
        <v>17</v>
      </c>
      <c r="B70" s="9">
        <v>8.0</v>
      </c>
      <c r="C70" s="13" t="s">
        <v>369</v>
      </c>
      <c r="D70" s="13" t="s">
        <v>370</v>
      </c>
      <c r="E70" s="10">
        <v>5.044277058914304E-4</v>
      </c>
      <c r="F70" s="10">
        <v>0.9999340550712077</v>
      </c>
      <c r="G70" s="10">
        <v>0.7380952380952381</v>
      </c>
      <c r="H70" s="9">
        <v>0.0</v>
      </c>
      <c r="I70" s="9">
        <v>1.0</v>
      </c>
      <c r="J70" s="9">
        <v>1.0</v>
      </c>
      <c r="K70" s="9">
        <v>1.0</v>
      </c>
      <c r="L70" s="9">
        <v>1.0</v>
      </c>
      <c r="M70" s="11">
        <v>0.9462076720001278</v>
      </c>
      <c r="N70" s="9" t="s">
        <v>371</v>
      </c>
      <c r="O70" s="9" t="s">
        <v>372</v>
      </c>
    </row>
    <row r="71" ht="18.0" customHeight="1">
      <c r="A71" s="9" t="s">
        <v>17</v>
      </c>
      <c r="B71" s="9">
        <v>5.0</v>
      </c>
      <c r="C71" s="9" t="s">
        <v>232</v>
      </c>
      <c r="D71" s="9" t="s">
        <v>159</v>
      </c>
      <c r="E71" s="10">
        <v>0.00435814680531621</v>
      </c>
      <c r="F71" s="10">
        <v>0.9992883605882525</v>
      </c>
      <c r="G71" s="10">
        <v>0.047619047619047596</v>
      </c>
      <c r="H71" s="9">
        <v>0.0</v>
      </c>
      <c r="I71" s="9">
        <v>0.0</v>
      </c>
      <c r="J71" s="9">
        <v>1.0</v>
      </c>
      <c r="K71" s="9">
        <v>1.0</v>
      </c>
      <c r="L71" s="9">
        <v>0.0</v>
      </c>
      <c r="M71" s="11">
        <v>1.0632896550000623</v>
      </c>
      <c r="N71" s="9" t="s">
        <v>373</v>
      </c>
      <c r="O71" s="9" t="s">
        <v>374</v>
      </c>
    </row>
    <row r="72" ht="18.0" customHeight="1">
      <c r="A72" s="9" t="s">
        <v>17</v>
      </c>
      <c r="B72" s="9">
        <v>9.0</v>
      </c>
      <c r="C72" s="9" t="s">
        <v>375</v>
      </c>
      <c r="D72" s="9" t="s">
        <v>376</v>
      </c>
      <c r="E72" s="10">
        <v>6.35396281722933E-5</v>
      </c>
      <c r="F72" s="10">
        <v>0.9999917434115559</v>
      </c>
      <c r="G72" s="10">
        <v>0.09523809523809523</v>
      </c>
      <c r="H72" s="9">
        <v>0.0</v>
      </c>
      <c r="I72" s="9">
        <v>0.0</v>
      </c>
      <c r="J72" s="9">
        <v>0.0</v>
      </c>
      <c r="K72" s="9">
        <v>0.0</v>
      </c>
      <c r="L72" s="9">
        <v>1.0</v>
      </c>
      <c r="M72" s="11">
        <v>0.816040637000242</v>
      </c>
      <c r="N72" s="9" t="s">
        <v>377</v>
      </c>
      <c r="O72" s="9" t="s">
        <v>379</v>
      </c>
    </row>
    <row r="73" ht="18.0" customHeight="1">
      <c r="A73" s="9" t="s">
        <v>17</v>
      </c>
      <c r="B73" s="9">
        <v>3.0</v>
      </c>
      <c r="C73" s="9" t="s">
        <v>380</v>
      </c>
      <c r="D73" s="9" t="s">
        <v>381</v>
      </c>
      <c r="E73" s="10">
        <v>1.1155202082591131E-4</v>
      </c>
      <c r="F73" s="10">
        <v>0.9999909735762458</v>
      </c>
      <c r="G73" s="10">
        <v>0.4761904761904762</v>
      </c>
      <c r="H73" s="9">
        <v>0.0</v>
      </c>
      <c r="I73" s="9">
        <v>1.0</v>
      </c>
      <c r="J73" s="9">
        <v>0.0</v>
      </c>
      <c r="K73" s="9">
        <v>0.0</v>
      </c>
      <c r="L73" s="9">
        <v>0.0</v>
      </c>
      <c r="M73" s="11">
        <v>1.1300787790000868</v>
      </c>
      <c r="N73" s="9" t="s">
        <v>382</v>
      </c>
      <c r="O73" s="9" t="s">
        <v>383</v>
      </c>
    </row>
    <row r="74" ht="18.0" customHeight="1">
      <c r="A74" s="9" t="s">
        <v>17</v>
      </c>
      <c r="B74" s="9">
        <v>2.0</v>
      </c>
      <c r="C74" s="9" t="s">
        <v>384</v>
      </c>
      <c r="D74" s="9" t="s">
        <v>385</v>
      </c>
      <c r="E74" s="10">
        <v>3.408280463190749E-5</v>
      </c>
      <c r="F74" s="10">
        <v>0.999997141914946</v>
      </c>
      <c r="G74" s="10">
        <v>0.42857142857142855</v>
      </c>
      <c r="H74" s="9">
        <v>0.0</v>
      </c>
      <c r="I74" s="9">
        <v>0.0</v>
      </c>
      <c r="J74" s="9">
        <v>0.0</v>
      </c>
      <c r="K74" s="9">
        <v>0.0</v>
      </c>
      <c r="L74" s="9">
        <v>1.0</v>
      </c>
      <c r="M74" s="11">
        <v>1.198546517000068</v>
      </c>
      <c r="N74" s="9" t="s">
        <v>386</v>
      </c>
      <c r="O74" s="9" t="s">
        <v>387</v>
      </c>
    </row>
    <row r="75" ht="18.0" customHeight="1">
      <c r="A75" s="9" t="s">
        <v>17</v>
      </c>
      <c r="B75" s="9">
        <v>7.0</v>
      </c>
      <c r="C75" s="13" t="s">
        <v>388</v>
      </c>
      <c r="D75" s="13" t="s">
        <v>381</v>
      </c>
      <c r="E75" s="10">
        <v>1.594233751296997</v>
      </c>
      <c r="F75" s="10">
        <v>0.14157423377037048</v>
      </c>
      <c r="G75" s="10">
        <v>0.6904761904761904</v>
      </c>
      <c r="H75" s="9">
        <v>1.0</v>
      </c>
      <c r="I75" s="9">
        <v>1.0</v>
      </c>
      <c r="J75" s="9">
        <v>1.0</v>
      </c>
      <c r="K75" s="9">
        <v>1.0</v>
      </c>
      <c r="L75" s="9">
        <v>1.0</v>
      </c>
      <c r="M75" s="11">
        <v>0.87577963800004</v>
      </c>
      <c r="N75" s="9"/>
      <c r="O75" s="9" t="s">
        <v>389</v>
      </c>
    </row>
    <row r="76" ht="18.0" customHeight="1">
      <c r="A76" s="9" t="s">
        <v>17</v>
      </c>
      <c r="B76" s="9">
        <v>6.0</v>
      </c>
      <c r="C76" s="14" t="s">
        <v>163</v>
      </c>
      <c r="D76" s="14" t="s">
        <v>281</v>
      </c>
      <c r="E76" s="10">
        <v>1.3612921237945557</v>
      </c>
      <c r="F76" s="10">
        <v>0.3769308775663376</v>
      </c>
      <c r="G76" s="10">
        <v>0.9285714285714285</v>
      </c>
      <c r="H76" s="9">
        <v>1.0</v>
      </c>
      <c r="I76" s="9">
        <v>1.0</v>
      </c>
      <c r="J76" s="9">
        <v>1.0</v>
      </c>
      <c r="K76" s="9">
        <v>1.0</v>
      </c>
      <c r="L76" s="9">
        <v>1.0</v>
      </c>
      <c r="M76" s="11">
        <v>7.5331457160000355</v>
      </c>
      <c r="N76" s="9"/>
      <c r="O76" s="9" t="s">
        <v>392</v>
      </c>
    </row>
    <row r="77" ht="18.0" customHeight="1">
      <c r="A77" s="9" t="s">
        <v>52</v>
      </c>
      <c r="B77" s="9">
        <v>2.0</v>
      </c>
      <c r="C77" s="9" t="s">
        <v>122</v>
      </c>
      <c r="D77" s="9" t="s">
        <v>220</v>
      </c>
      <c r="E77" s="10">
        <v>0.0016054859152063727</v>
      </c>
      <c r="F77" s="10">
        <v>0.9997290928367875</v>
      </c>
      <c r="G77" s="10">
        <v>0.5833333333333334</v>
      </c>
      <c r="H77" s="9">
        <v>0.0</v>
      </c>
      <c r="I77" s="9">
        <v>0.0</v>
      </c>
      <c r="J77" s="9">
        <v>0.0</v>
      </c>
      <c r="K77" s="9">
        <v>0.0</v>
      </c>
      <c r="L77" s="9">
        <v>1.0</v>
      </c>
      <c r="M77" s="11">
        <v>0.2833150200003729</v>
      </c>
      <c r="N77" s="9" t="s">
        <v>395</v>
      </c>
      <c r="O77" s="9" t="s">
        <v>396</v>
      </c>
    </row>
    <row r="78" ht="18.0" customHeight="1">
      <c r="A78" s="9" t="s">
        <v>52</v>
      </c>
      <c r="B78" s="9">
        <v>19.0</v>
      </c>
      <c r="C78" s="9" t="s">
        <v>397</v>
      </c>
      <c r="D78" s="9" t="s">
        <v>398</v>
      </c>
      <c r="E78" s="10">
        <v>0.015238826163113117</v>
      </c>
      <c r="F78" s="10">
        <v>0.9957628606352955</v>
      </c>
      <c r="G78" s="10">
        <v>0.32098765432098764</v>
      </c>
      <c r="H78" s="9">
        <v>0.0</v>
      </c>
      <c r="I78" s="9">
        <v>0.0</v>
      </c>
      <c r="J78" s="9">
        <v>0.0</v>
      </c>
      <c r="K78" s="9">
        <v>0.0</v>
      </c>
      <c r="L78" s="9">
        <v>1.0</v>
      </c>
      <c r="M78" s="11">
        <v>3.4790170140004193</v>
      </c>
      <c r="N78" s="9" t="s">
        <v>399</v>
      </c>
      <c r="O78" s="9" t="s">
        <v>400</v>
      </c>
    </row>
    <row r="79" ht="18.0" customHeight="1">
      <c r="A79" s="9" t="s">
        <v>52</v>
      </c>
      <c r="B79" s="9">
        <v>22.0</v>
      </c>
      <c r="C79" s="9" t="s">
        <v>401</v>
      </c>
      <c r="D79" s="9" t="s">
        <v>402</v>
      </c>
      <c r="E79" s="10">
        <v>0.09344783425331116</v>
      </c>
      <c r="F79" s="10">
        <v>0.9709355598315597</v>
      </c>
      <c r="G79" s="10">
        <v>0.8024691358024691</v>
      </c>
      <c r="H79" s="9">
        <v>0.0</v>
      </c>
      <c r="I79" s="9">
        <v>0.0</v>
      </c>
      <c r="J79" s="9">
        <v>0.0</v>
      </c>
      <c r="K79" s="9">
        <v>0.0</v>
      </c>
      <c r="L79" s="9">
        <v>1.0</v>
      </c>
      <c r="M79" s="11">
        <v>2.9552076540003327</v>
      </c>
      <c r="N79" s="9" t="s">
        <v>403</v>
      </c>
      <c r="O79" s="9" t="s">
        <v>404</v>
      </c>
    </row>
    <row r="80" ht="18.0" customHeight="1">
      <c r="A80" s="9" t="s">
        <v>52</v>
      </c>
      <c r="B80" s="9">
        <v>16.0</v>
      </c>
      <c r="C80" s="9" t="s">
        <v>405</v>
      </c>
      <c r="D80" s="9" t="s">
        <v>406</v>
      </c>
      <c r="E80" s="10">
        <v>0.3036271035671234</v>
      </c>
      <c r="F80" s="10">
        <v>0.8220731317996979</v>
      </c>
      <c r="G80" s="10">
        <v>0.7283950617283951</v>
      </c>
      <c r="H80" s="9">
        <v>0.0</v>
      </c>
      <c r="I80" s="9">
        <v>0.0</v>
      </c>
      <c r="J80" s="9">
        <v>0.0</v>
      </c>
      <c r="K80" s="9">
        <v>1.0</v>
      </c>
      <c r="L80" s="9">
        <v>0.0</v>
      </c>
      <c r="M80" s="11">
        <v>3.281489323000642</v>
      </c>
      <c r="N80" s="9" t="s">
        <v>407</v>
      </c>
      <c r="O80" s="9" t="s">
        <v>408</v>
      </c>
    </row>
    <row r="81" ht="18.0" customHeight="1">
      <c r="A81" s="9" t="s">
        <v>52</v>
      </c>
      <c r="B81" s="9">
        <v>32.0</v>
      </c>
      <c r="C81" s="9" t="s">
        <v>409</v>
      </c>
      <c r="D81" s="9" t="s">
        <v>160</v>
      </c>
      <c r="E81" s="10">
        <v>1.0137059688568115</v>
      </c>
      <c r="F81" s="10">
        <v>0.01433718204498291</v>
      </c>
      <c r="G81" s="10">
        <v>0.7685185185185185</v>
      </c>
      <c r="H81" s="9">
        <v>0.0</v>
      </c>
      <c r="I81" s="9">
        <v>0.0</v>
      </c>
      <c r="J81" s="9">
        <v>1.0</v>
      </c>
      <c r="K81" s="9">
        <v>1.0</v>
      </c>
      <c r="L81" s="9">
        <v>0.0</v>
      </c>
      <c r="M81" s="11">
        <v>2.2183638850001444</v>
      </c>
      <c r="N81" s="9" t="s">
        <v>410</v>
      </c>
      <c r="O81" s="9" t="s">
        <v>411</v>
      </c>
    </row>
    <row r="82" ht="18.0" customHeight="1">
      <c r="A82" s="9" t="s">
        <v>52</v>
      </c>
      <c r="B82" s="9">
        <v>31.0</v>
      </c>
      <c r="C82" s="9" t="s">
        <v>151</v>
      </c>
      <c r="D82" s="9" t="s">
        <v>412</v>
      </c>
      <c r="E82" s="10">
        <v>2.097497599606868E-5</v>
      </c>
      <c r="F82" s="10">
        <v>0.9999985343304445</v>
      </c>
      <c r="G82" s="10">
        <v>0.8518518518518517</v>
      </c>
      <c r="H82" s="9">
        <v>0.0</v>
      </c>
      <c r="I82" s="9">
        <v>1.0</v>
      </c>
      <c r="J82" s="9">
        <v>0.0</v>
      </c>
      <c r="K82" s="9">
        <v>0.0</v>
      </c>
      <c r="L82" s="9">
        <v>0.0</v>
      </c>
      <c r="M82" s="11">
        <v>2.2710243559995433</v>
      </c>
      <c r="N82" s="9" t="s">
        <v>414</v>
      </c>
      <c r="O82" s="9" t="s">
        <v>415</v>
      </c>
    </row>
    <row r="83" ht="18.0" customHeight="1">
      <c r="A83" s="9" t="s">
        <v>52</v>
      </c>
      <c r="B83" s="9">
        <v>23.0</v>
      </c>
      <c r="C83" s="9" t="s">
        <v>397</v>
      </c>
      <c r="D83" s="9" t="s">
        <v>416</v>
      </c>
      <c r="E83" s="10">
        <v>0.516140341758728</v>
      </c>
      <c r="F83" s="10">
        <v>0.7943364456295967</v>
      </c>
      <c r="G83" s="10">
        <v>0.7623456790123457</v>
      </c>
      <c r="H83" s="9">
        <v>0.0</v>
      </c>
      <c r="I83" s="9">
        <v>0.0</v>
      </c>
      <c r="J83" s="9">
        <v>1.0</v>
      </c>
      <c r="K83" s="9">
        <v>1.0</v>
      </c>
      <c r="L83" s="9">
        <v>0.0</v>
      </c>
      <c r="M83" s="11">
        <v>2.967069184999673</v>
      </c>
      <c r="N83" s="9" t="s">
        <v>417</v>
      </c>
      <c r="O83" s="9" t="s">
        <v>418</v>
      </c>
    </row>
    <row r="84" ht="18.0" customHeight="1">
      <c r="A84" s="9" t="s">
        <v>52</v>
      </c>
      <c r="B84" s="9">
        <v>37.0</v>
      </c>
      <c r="C84" s="9" t="s">
        <v>151</v>
      </c>
      <c r="D84" s="9" t="s">
        <v>412</v>
      </c>
      <c r="E84" s="10">
        <v>3.6063152037968393E-6</v>
      </c>
      <c r="F84" s="10">
        <v>0.9999997783262629</v>
      </c>
      <c r="G84" s="10">
        <v>0.31790123456790126</v>
      </c>
      <c r="H84" s="9">
        <v>0.0</v>
      </c>
      <c r="I84" s="9">
        <v>0.0</v>
      </c>
      <c r="J84" s="9">
        <v>0.0</v>
      </c>
      <c r="K84" s="9">
        <v>0.0</v>
      </c>
      <c r="L84" s="9">
        <v>1.0</v>
      </c>
      <c r="M84" s="11">
        <v>2.2712669649999953</v>
      </c>
      <c r="N84" s="9" t="s">
        <v>420</v>
      </c>
      <c r="O84" s="9" t="s">
        <v>421</v>
      </c>
    </row>
    <row r="85" ht="18.0" customHeight="1">
      <c r="A85" s="9" t="s">
        <v>52</v>
      </c>
      <c r="B85" s="9">
        <v>39.0</v>
      </c>
      <c r="C85" s="9" t="s">
        <v>422</v>
      </c>
      <c r="D85" s="9" t="s">
        <v>423</v>
      </c>
      <c r="E85" s="10">
        <v>0.06761220842599869</v>
      </c>
      <c r="F85" s="10">
        <v>0.984705001115799</v>
      </c>
      <c r="G85" s="10">
        <v>0.8549382716049383</v>
      </c>
      <c r="H85" s="9">
        <v>0.0</v>
      </c>
      <c r="I85" s="9">
        <v>1.0</v>
      </c>
      <c r="J85" s="9">
        <v>0.0</v>
      </c>
      <c r="K85" s="9">
        <v>0.0</v>
      </c>
      <c r="L85" s="9">
        <v>0.0</v>
      </c>
      <c r="M85" s="11">
        <v>3.023234723999849</v>
      </c>
      <c r="N85" s="9" t="s">
        <v>425</v>
      </c>
      <c r="O85" s="9" t="s">
        <v>426</v>
      </c>
    </row>
    <row r="86" ht="18.0" customHeight="1">
      <c r="A86" s="9" t="s">
        <v>52</v>
      </c>
      <c r="B86" s="9">
        <v>26.0</v>
      </c>
      <c r="C86" s="9" t="s">
        <v>427</v>
      </c>
      <c r="D86" s="9" t="s">
        <v>428</v>
      </c>
      <c r="E86" s="10">
        <v>0.09585057944059372</v>
      </c>
      <c r="F86" s="10">
        <v>0.9673058157786727</v>
      </c>
      <c r="G86" s="10">
        <v>0.8580246913580246</v>
      </c>
      <c r="H86" s="9">
        <v>0.0</v>
      </c>
      <c r="I86" s="9">
        <v>1.0</v>
      </c>
      <c r="J86" s="9">
        <v>0.0</v>
      </c>
      <c r="K86" s="9">
        <v>0.0</v>
      </c>
      <c r="L86" s="9">
        <v>0.0</v>
      </c>
      <c r="M86" s="11">
        <v>2.74527952400058</v>
      </c>
      <c r="N86" s="9" t="s">
        <v>429</v>
      </c>
      <c r="O86" s="9" t="s">
        <v>430</v>
      </c>
    </row>
    <row r="87" ht="18.0" customHeight="1">
      <c r="A87" s="9" t="s">
        <v>52</v>
      </c>
      <c r="B87" s="9">
        <v>34.0</v>
      </c>
      <c r="C87" s="9" t="s">
        <v>432</v>
      </c>
      <c r="D87" s="9" t="s">
        <v>433</v>
      </c>
      <c r="E87" s="10">
        <v>0.504072368144989</v>
      </c>
      <c r="F87" s="10">
        <v>0.6613281071186066</v>
      </c>
      <c r="G87" s="10">
        <v>0.8703703703703702</v>
      </c>
      <c r="H87" s="9">
        <v>0.0</v>
      </c>
      <c r="I87" s="9">
        <v>1.0</v>
      </c>
      <c r="J87" s="9">
        <v>1.0</v>
      </c>
      <c r="K87" s="9">
        <v>1.0</v>
      </c>
      <c r="L87" s="9">
        <v>0.0</v>
      </c>
      <c r="M87" s="11">
        <v>5.312735470999542</v>
      </c>
      <c r="N87" s="9" t="s">
        <v>435</v>
      </c>
      <c r="O87" s="9" t="s">
        <v>436</v>
      </c>
    </row>
    <row r="88" ht="18.0" customHeight="1">
      <c r="A88" s="9" t="s">
        <v>52</v>
      </c>
      <c r="B88" s="9">
        <v>44.0</v>
      </c>
      <c r="C88" s="9" t="s">
        <v>437</v>
      </c>
      <c r="D88" s="9" t="s">
        <v>438</v>
      </c>
      <c r="E88" s="10">
        <v>3.8060988299548626E-4</v>
      </c>
      <c r="F88" s="10">
        <v>0.9999532580513915</v>
      </c>
      <c r="G88" s="10">
        <v>0.20370370370370372</v>
      </c>
      <c r="H88" s="9">
        <v>0.0</v>
      </c>
      <c r="I88" s="9">
        <v>0.0</v>
      </c>
      <c r="J88" s="9">
        <v>0.0</v>
      </c>
      <c r="K88" s="9">
        <v>0.0</v>
      </c>
      <c r="L88" s="9">
        <v>1.0</v>
      </c>
      <c r="M88" s="11">
        <v>1.8062400489998254</v>
      </c>
      <c r="N88" s="9" t="s">
        <v>439</v>
      </c>
      <c r="O88" s="9" t="s">
        <v>440</v>
      </c>
    </row>
    <row r="89" ht="18.0" customHeight="1">
      <c r="A89" s="9" t="s">
        <v>52</v>
      </c>
      <c r="B89" s="9">
        <v>14.0</v>
      </c>
      <c r="C89" s="14" t="s">
        <v>441</v>
      </c>
      <c r="D89" s="14" t="s">
        <v>94</v>
      </c>
      <c r="E89" s="10">
        <v>0.4230102300643921</v>
      </c>
      <c r="F89" s="10">
        <v>0.8782976008951664</v>
      </c>
      <c r="G89" s="10">
        <v>0.8271604938271605</v>
      </c>
      <c r="H89" s="9">
        <v>1.0</v>
      </c>
      <c r="I89" s="9">
        <v>1.0</v>
      </c>
      <c r="J89" s="9">
        <v>1.0</v>
      </c>
      <c r="K89" s="9">
        <v>0.0</v>
      </c>
      <c r="L89" s="9">
        <v>0.0</v>
      </c>
      <c r="M89" s="11">
        <v>6.109157228000186</v>
      </c>
      <c r="N89" s="9"/>
      <c r="O89" s="9" t="s">
        <v>444</v>
      </c>
    </row>
    <row r="90" ht="18.0" customHeight="1">
      <c r="A90" s="9" t="s">
        <v>52</v>
      </c>
      <c r="B90" s="9">
        <v>3.0</v>
      </c>
      <c r="C90" s="14" t="s">
        <v>445</v>
      </c>
      <c r="D90" s="14" t="s">
        <v>231</v>
      </c>
      <c r="E90" s="10">
        <v>0.6930997371673584</v>
      </c>
      <c r="F90" s="10">
        <v>0.07794487476348877</v>
      </c>
      <c r="G90" s="10">
        <v>0.5802469135802469</v>
      </c>
      <c r="H90" s="9">
        <v>1.0</v>
      </c>
      <c r="I90" s="9">
        <v>0.0</v>
      </c>
      <c r="J90" s="9">
        <v>1.0</v>
      </c>
      <c r="K90" s="9">
        <v>1.0</v>
      </c>
      <c r="L90" s="9">
        <v>0.0</v>
      </c>
      <c r="M90" s="11">
        <v>6.935557822000192</v>
      </c>
      <c r="N90" s="9"/>
      <c r="O90" s="9" t="s">
        <v>447</v>
      </c>
    </row>
    <row r="91" ht="18.0" customHeight="1">
      <c r="A91" s="9" t="s">
        <v>62</v>
      </c>
      <c r="B91" s="9">
        <v>28.0</v>
      </c>
      <c r="C91" s="9" t="s">
        <v>159</v>
      </c>
      <c r="D91" s="9" t="s">
        <v>427</v>
      </c>
      <c r="E91" s="10">
        <v>8.82736458152067E-6</v>
      </c>
      <c r="F91" s="10">
        <v>0.9999993242840617</v>
      </c>
      <c r="G91" s="10">
        <v>0.5070921985815603</v>
      </c>
      <c r="H91" s="9">
        <v>0.0</v>
      </c>
      <c r="I91" s="9">
        <v>0.0</v>
      </c>
      <c r="J91" s="9">
        <v>0.0</v>
      </c>
      <c r="K91" s="9">
        <v>0.0</v>
      </c>
      <c r="L91" s="9">
        <v>1.0</v>
      </c>
      <c r="M91" s="11">
        <v>2.2215535019995514</v>
      </c>
      <c r="N91" s="9" t="s">
        <v>450</v>
      </c>
      <c r="O91" s="9" t="s">
        <v>451</v>
      </c>
    </row>
    <row r="92" ht="18.0" customHeight="1">
      <c r="A92" s="9" t="s">
        <v>62</v>
      </c>
      <c r="B92" s="9">
        <v>13.0</v>
      </c>
      <c r="C92" s="9" t="s">
        <v>453</v>
      </c>
      <c r="D92" s="9" t="s">
        <v>95</v>
      </c>
      <c r="E92" s="10">
        <v>0.0011822199448943138</v>
      </c>
      <c r="F92" s="10">
        <v>0.9998646306994488</v>
      </c>
      <c r="G92" s="10">
        <v>0.8581560283687942</v>
      </c>
      <c r="H92" s="9">
        <v>0.0</v>
      </c>
      <c r="I92" s="9">
        <v>1.0</v>
      </c>
      <c r="J92" s="9">
        <v>0.0</v>
      </c>
      <c r="K92" s="9">
        <v>0.0</v>
      </c>
      <c r="L92" s="9">
        <v>0.0</v>
      </c>
      <c r="M92" s="11">
        <v>3.8181742489996395</v>
      </c>
      <c r="N92" s="9" t="s">
        <v>454</v>
      </c>
      <c r="O92" s="9" t="s">
        <v>455</v>
      </c>
    </row>
    <row r="93" ht="18.0" customHeight="1">
      <c r="A93" s="9" t="s">
        <v>62</v>
      </c>
      <c r="B93" s="9">
        <v>23.0</v>
      </c>
      <c r="C93" s="9" t="s">
        <v>147</v>
      </c>
      <c r="D93" s="9" t="s">
        <v>456</v>
      </c>
      <c r="E93" s="10">
        <v>0.002116189105436206</v>
      </c>
      <c r="F93" s="10">
        <v>0.9995929230208276</v>
      </c>
      <c r="G93" s="10">
        <v>0.7624113475177307</v>
      </c>
      <c r="H93" s="9">
        <v>0.0</v>
      </c>
      <c r="I93" s="9">
        <v>1.0</v>
      </c>
      <c r="J93" s="9">
        <v>0.0</v>
      </c>
      <c r="K93" s="9">
        <v>0.0</v>
      </c>
      <c r="L93" s="9">
        <v>1.0</v>
      </c>
      <c r="M93" s="11">
        <v>3.829147518999889</v>
      </c>
      <c r="N93" s="9" t="s">
        <v>458</v>
      </c>
      <c r="O93" s="9" t="s">
        <v>459</v>
      </c>
    </row>
    <row r="94" ht="18.0" customHeight="1">
      <c r="A94" s="9" t="s">
        <v>62</v>
      </c>
      <c r="B94" s="9">
        <v>16.0</v>
      </c>
      <c r="C94" s="9" t="s">
        <v>460</v>
      </c>
      <c r="D94" s="9" t="s">
        <v>461</v>
      </c>
      <c r="E94" s="10">
        <v>0.7621414065361023</v>
      </c>
      <c r="F94" s="10">
        <v>0.3296615481376648</v>
      </c>
      <c r="G94" s="10">
        <v>0.11702127659574468</v>
      </c>
      <c r="H94" s="9">
        <v>0.0</v>
      </c>
      <c r="I94" s="9">
        <v>0.0</v>
      </c>
      <c r="J94" s="9">
        <v>1.0</v>
      </c>
      <c r="K94" s="9">
        <v>1.0</v>
      </c>
      <c r="L94" s="9">
        <v>0.0</v>
      </c>
      <c r="M94" s="11">
        <v>3.0850257290003356</v>
      </c>
      <c r="N94" s="9" t="s">
        <v>462</v>
      </c>
      <c r="O94" s="9" t="s">
        <v>463</v>
      </c>
    </row>
    <row r="95" ht="18.0" customHeight="1">
      <c r="A95" s="9" t="s">
        <v>62</v>
      </c>
      <c r="B95" s="9">
        <v>29.0</v>
      </c>
      <c r="C95" s="9" t="s">
        <v>427</v>
      </c>
      <c r="D95" s="9" t="s">
        <v>270</v>
      </c>
      <c r="E95" s="10">
        <v>1.7352501163259149E-4</v>
      </c>
      <c r="F95" s="10">
        <v>0.9999803627983965</v>
      </c>
      <c r="G95" s="10">
        <v>0.3191489361702128</v>
      </c>
      <c r="H95" s="9">
        <v>0.0</v>
      </c>
      <c r="I95" s="9">
        <v>0.0</v>
      </c>
      <c r="J95" s="9">
        <v>0.0</v>
      </c>
      <c r="K95" s="9">
        <v>0.0</v>
      </c>
      <c r="L95" s="9">
        <v>1.0</v>
      </c>
      <c r="M95" s="11">
        <v>2.7755524320000404</v>
      </c>
      <c r="N95" s="9" t="s">
        <v>465</v>
      </c>
      <c r="O95" s="9" t="s">
        <v>466</v>
      </c>
    </row>
    <row r="96" ht="18.0" customHeight="1">
      <c r="A96" s="9" t="s">
        <v>62</v>
      </c>
      <c r="B96" s="9">
        <v>30.0</v>
      </c>
      <c r="C96" s="9" t="s">
        <v>225</v>
      </c>
      <c r="D96" s="9" t="s">
        <v>467</v>
      </c>
      <c r="E96" s="10">
        <v>0.022099025547504425</v>
      </c>
      <c r="F96" s="10">
        <v>0.9935972259845585</v>
      </c>
      <c r="G96" s="10">
        <v>0.7092198581560284</v>
      </c>
      <c r="H96" s="9">
        <v>0.0</v>
      </c>
      <c r="I96" s="9">
        <v>0.0</v>
      </c>
      <c r="J96" s="9">
        <v>0.0</v>
      </c>
      <c r="K96" s="9">
        <v>0.0</v>
      </c>
      <c r="L96" s="9">
        <v>1.0</v>
      </c>
      <c r="M96" s="11">
        <v>3.2475459970000884</v>
      </c>
      <c r="N96" s="9" t="s">
        <v>469</v>
      </c>
      <c r="O96" s="9" t="s">
        <v>470</v>
      </c>
    </row>
    <row r="97" ht="18.0" customHeight="1">
      <c r="A97" s="9" t="s">
        <v>62</v>
      </c>
      <c r="B97" s="9">
        <v>15.0</v>
      </c>
      <c r="C97" s="9" t="s">
        <v>151</v>
      </c>
      <c r="D97" s="9" t="s">
        <v>172</v>
      </c>
      <c r="E97" s="10">
        <v>0.12026704102754593</v>
      </c>
      <c r="F97" s="10">
        <v>0.9487846046686172</v>
      </c>
      <c r="G97" s="10">
        <v>0.8191489361702128</v>
      </c>
      <c r="H97" s="9">
        <v>0.0</v>
      </c>
      <c r="I97" s="9">
        <v>1.0</v>
      </c>
      <c r="J97" s="9">
        <v>0.0</v>
      </c>
      <c r="K97" s="9">
        <v>0.0</v>
      </c>
      <c r="L97" s="9">
        <v>0.0</v>
      </c>
      <c r="M97" s="11">
        <v>3.343789808999645</v>
      </c>
      <c r="N97" s="9" t="s">
        <v>473</v>
      </c>
      <c r="O97" s="9" t="s">
        <v>474</v>
      </c>
    </row>
    <row r="98" ht="18.0" customHeight="1">
      <c r="A98" s="9" t="s">
        <v>62</v>
      </c>
      <c r="B98" s="9">
        <v>14.0</v>
      </c>
      <c r="C98" s="9" t="s">
        <v>147</v>
      </c>
      <c r="D98" s="9" t="s">
        <v>476</v>
      </c>
      <c r="E98" s="10">
        <v>0.24991118907928467</v>
      </c>
      <c r="F98" s="10">
        <v>0.8845273368060589</v>
      </c>
      <c r="G98" s="10">
        <v>0.2092198581560284</v>
      </c>
      <c r="H98" s="9">
        <v>0.0</v>
      </c>
      <c r="I98" s="9">
        <v>0.0</v>
      </c>
      <c r="J98" s="9">
        <v>1.0</v>
      </c>
      <c r="K98" s="9">
        <v>1.0</v>
      </c>
      <c r="L98" s="9">
        <v>0.0</v>
      </c>
      <c r="M98" s="11">
        <v>3.212826789000246</v>
      </c>
      <c r="N98" s="9" t="s">
        <v>477</v>
      </c>
      <c r="O98" s="9" t="s">
        <v>479</v>
      </c>
    </row>
    <row r="99" ht="18.0" customHeight="1">
      <c r="A99" s="9" t="s">
        <v>62</v>
      </c>
      <c r="B99" s="9">
        <v>18.0</v>
      </c>
      <c r="C99" s="9" t="s">
        <v>175</v>
      </c>
      <c r="D99" s="9" t="s">
        <v>176</v>
      </c>
      <c r="E99" s="10">
        <v>2.4355567802558653E-5</v>
      </c>
      <c r="F99" s="10">
        <v>0.9999968569899238</v>
      </c>
      <c r="G99" s="10">
        <v>0.11702127659574468</v>
      </c>
      <c r="H99" s="9">
        <v>0.0</v>
      </c>
      <c r="I99" s="9">
        <v>0.0</v>
      </c>
      <c r="J99" s="9">
        <v>0.0</v>
      </c>
      <c r="K99" s="9">
        <v>0.0</v>
      </c>
      <c r="L99" s="9">
        <v>1.0</v>
      </c>
      <c r="M99" s="11">
        <v>3.490430663000552</v>
      </c>
      <c r="N99" s="9" t="s">
        <v>480</v>
      </c>
      <c r="O99" s="9" t="s">
        <v>481</v>
      </c>
    </row>
    <row r="100" ht="18.0" customHeight="1">
      <c r="A100" s="9" t="s">
        <v>62</v>
      </c>
      <c r="B100" s="9">
        <v>48.0</v>
      </c>
      <c r="C100" s="14" t="s">
        <v>225</v>
      </c>
      <c r="D100" s="14" t="s">
        <v>467</v>
      </c>
      <c r="E100" s="10">
        <v>0.14254076778888702</v>
      </c>
      <c r="F100" s="10">
        <v>0.9357579238712788</v>
      </c>
      <c r="G100" s="10">
        <v>0.6950354609929078</v>
      </c>
      <c r="H100" s="9">
        <v>1.0</v>
      </c>
      <c r="I100" s="9">
        <v>0.0</v>
      </c>
      <c r="J100" s="9">
        <v>1.0</v>
      </c>
      <c r="K100" s="9">
        <v>1.0</v>
      </c>
      <c r="L100" s="9">
        <v>0.0</v>
      </c>
      <c r="M100" s="11">
        <v>2.056500584000787</v>
      </c>
      <c r="N100" s="9"/>
      <c r="O100" s="9" t="s">
        <v>484</v>
      </c>
    </row>
    <row r="101" ht="18.0" customHeight="1">
      <c r="A101" s="9" t="s">
        <v>62</v>
      </c>
      <c r="B101" s="9">
        <v>7.0</v>
      </c>
      <c r="C101" s="14" t="s">
        <v>485</v>
      </c>
      <c r="D101" s="14" t="s">
        <v>163</v>
      </c>
      <c r="E101" s="10">
        <v>1.1614816188812256</v>
      </c>
      <c r="F101" s="10">
        <v>0.1613261103630066</v>
      </c>
      <c r="G101" s="10">
        <v>0.9113475177304964</v>
      </c>
      <c r="H101" s="9">
        <v>1.0</v>
      </c>
      <c r="I101" s="9">
        <v>1.0</v>
      </c>
      <c r="J101" s="9">
        <v>1.0</v>
      </c>
      <c r="K101" s="9">
        <v>1.0</v>
      </c>
      <c r="L101" s="9">
        <v>0.0</v>
      </c>
      <c r="M101" s="11">
        <v>2.451197731999855</v>
      </c>
      <c r="N101" s="9"/>
      <c r="O101" s="9" t="s">
        <v>487</v>
      </c>
    </row>
    <row r="102" ht="18.0" customHeight="1">
      <c r="A102" s="9" t="s">
        <v>62</v>
      </c>
      <c r="B102" s="9">
        <v>6.0</v>
      </c>
      <c r="C102" s="14" t="s">
        <v>232</v>
      </c>
      <c r="D102" s="14" t="s">
        <v>159</v>
      </c>
      <c r="E102" s="10">
        <v>0.007248640060424805</v>
      </c>
      <c r="F102" s="10">
        <v>0.9987178890150972</v>
      </c>
      <c r="G102" s="10">
        <v>0.9042553191489362</v>
      </c>
      <c r="H102" s="9">
        <v>1.0</v>
      </c>
      <c r="I102" s="9">
        <v>1.0</v>
      </c>
      <c r="J102" s="9">
        <v>0.0</v>
      </c>
      <c r="K102" s="9">
        <v>0.0</v>
      </c>
      <c r="L102" s="9">
        <v>0.0</v>
      </c>
      <c r="M102" s="11">
        <v>2.501853429000221</v>
      </c>
      <c r="N102" s="9"/>
      <c r="O102" s="9" t="s">
        <v>488</v>
      </c>
    </row>
    <row r="103" ht="18.0" customHeight="1">
      <c r="A103" s="9" t="s">
        <v>62</v>
      </c>
      <c r="B103" s="9">
        <v>8.0</v>
      </c>
      <c r="C103" s="14" t="s">
        <v>180</v>
      </c>
      <c r="D103" s="14" t="s">
        <v>489</v>
      </c>
      <c r="E103" s="10">
        <v>0.25510284304618835</v>
      </c>
      <c r="F103" s="10">
        <v>0.8641756922006607</v>
      </c>
      <c r="G103" s="10">
        <v>0.6843971631205674</v>
      </c>
      <c r="H103" s="9">
        <v>1.0</v>
      </c>
      <c r="I103" s="9">
        <v>0.0</v>
      </c>
      <c r="J103" s="9">
        <v>1.0</v>
      </c>
      <c r="K103" s="9">
        <v>1.0</v>
      </c>
      <c r="L103" s="9">
        <v>0.0</v>
      </c>
      <c r="M103" s="11">
        <v>4.470511941000041</v>
      </c>
      <c r="N103" s="9"/>
      <c r="O103" s="9" t="s">
        <v>490</v>
      </c>
    </row>
    <row r="104" ht="18.0" customHeight="1">
      <c r="A104" s="9" t="s">
        <v>55</v>
      </c>
      <c r="B104" s="9">
        <v>16.0</v>
      </c>
      <c r="C104" s="13" t="s">
        <v>491</v>
      </c>
      <c r="D104" s="13" t="s">
        <v>492</v>
      </c>
      <c r="E104" s="10">
        <v>0.02880607545375824</v>
      </c>
      <c r="F104" s="10">
        <v>0.9919684864580631</v>
      </c>
      <c r="G104" s="10">
        <v>0.7543859649122807</v>
      </c>
      <c r="H104" s="9">
        <v>0.0</v>
      </c>
      <c r="I104" s="9">
        <v>1.0</v>
      </c>
      <c r="J104" s="9">
        <v>0.0</v>
      </c>
      <c r="K104" s="9">
        <v>0.0</v>
      </c>
      <c r="L104" s="9">
        <v>0.0</v>
      </c>
      <c r="M104" s="11">
        <v>0.5671571210004913</v>
      </c>
      <c r="N104" s="9" t="s">
        <v>493</v>
      </c>
      <c r="O104" s="9" t="s">
        <v>494</v>
      </c>
    </row>
    <row r="105" ht="18.0" customHeight="1">
      <c r="A105" s="9" t="s">
        <v>55</v>
      </c>
      <c r="B105" s="9">
        <v>17.0</v>
      </c>
      <c r="C105" s="9" t="s">
        <v>495</v>
      </c>
      <c r="D105" s="9" t="s">
        <v>496</v>
      </c>
      <c r="E105" s="10">
        <v>0.25521594285964966</v>
      </c>
      <c r="F105" s="10">
        <v>0.908183004707098</v>
      </c>
      <c r="G105" s="10">
        <v>0.5789473684210527</v>
      </c>
      <c r="H105" s="9">
        <v>0.0</v>
      </c>
      <c r="I105" s="9">
        <v>0.0</v>
      </c>
      <c r="J105" s="9">
        <v>1.0</v>
      </c>
      <c r="K105" s="9">
        <v>1.0</v>
      </c>
      <c r="L105" s="9">
        <v>0.0</v>
      </c>
      <c r="M105" s="11">
        <v>0.8316007489993353</v>
      </c>
      <c r="N105" s="9" t="s">
        <v>497</v>
      </c>
      <c r="O105" s="9" t="s">
        <v>498</v>
      </c>
    </row>
    <row r="106" ht="18.0" customHeight="1">
      <c r="A106" s="9" t="s">
        <v>55</v>
      </c>
      <c r="B106" s="9">
        <v>21.0</v>
      </c>
      <c r="C106" s="9" t="s">
        <v>453</v>
      </c>
      <c r="D106" s="9" t="s">
        <v>94</v>
      </c>
      <c r="E106" s="10">
        <v>0.0016477619064971805</v>
      </c>
      <c r="F106" s="10">
        <v>0.9997277048823889</v>
      </c>
      <c r="G106" s="10">
        <v>0.7280701754385964</v>
      </c>
      <c r="H106" s="9">
        <v>0.0</v>
      </c>
      <c r="I106" s="9">
        <v>1.0</v>
      </c>
      <c r="J106" s="9">
        <v>0.0</v>
      </c>
      <c r="K106" s="9">
        <v>0.0</v>
      </c>
      <c r="L106" s="9">
        <v>0.0</v>
      </c>
      <c r="M106" s="11">
        <v>1.305145490000541</v>
      </c>
      <c r="N106" s="9" t="s">
        <v>501</v>
      </c>
      <c r="O106" s="9" t="s">
        <v>502</v>
      </c>
    </row>
    <row r="107" ht="18.0" customHeight="1">
      <c r="A107" s="9" t="s">
        <v>55</v>
      </c>
      <c r="B107" s="9">
        <v>19.0</v>
      </c>
      <c r="C107" s="13" t="s">
        <v>503</v>
      </c>
      <c r="D107" s="13" t="s">
        <v>169</v>
      </c>
      <c r="E107" s="10">
        <v>0.3878879249095917</v>
      </c>
      <c r="F107" s="10">
        <v>0.7472294270992279</v>
      </c>
      <c r="G107" s="10">
        <v>0.5526315789473685</v>
      </c>
      <c r="H107" s="9">
        <v>0.0</v>
      </c>
      <c r="I107" s="9">
        <v>0.0</v>
      </c>
      <c r="J107" s="9">
        <v>1.0</v>
      </c>
      <c r="K107" s="9">
        <v>1.0</v>
      </c>
      <c r="L107" s="9">
        <v>0.0</v>
      </c>
      <c r="M107" s="11">
        <v>0.9025822619996688</v>
      </c>
      <c r="N107" s="9" t="s">
        <v>506</v>
      </c>
      <c r="O107" s="9" t="s">
        <v>507</v>
      </c>
    </row>
    <row r="108" ht="18.0" customHeight="1">
      <c r="A108" s="9" t="s">
        <v>55</v>
      </c>
      <c r="B108" s="9">
        <v>7.0</v>
      </c>
      <c r="C108" s="9" t="s">
        <v>163</v>
      </c>
      <c r="D108" s="9" t="s">
        <v>201</v>
      </c>
      <c r="E108" s="10">
        <v>0.21889571845531464</v>
      </c>
      <c r="F108" s="10">
        <v>0.9343720693141222</v>
      </c>
      <c r="G108" s="10">
        <v>0.6754385964912281</v>
      </c>
      <c r="H108" s="9">
        <v>0.0</v>
      </c>
      <c r="I108" s="9">
        <v>1.0</v>
      </c>
      <c r="J108" s="9">
        <v>1.0</v>
      </c>
      <c r="K108" s="9">
        <v>1.0</v>
      </c>
      <c r="L108" s="9">
        <v>1.0</v>
      </c>
      <c r="M108" s="11">
        <v>2.5407025750000685</v>
      </c>
      <c r="N108" s="9" t="s">
        <v>508</v>
      </c>
      <c r="O108" s="9" t="s">
        <v>511</v>
      </c>
    </row>
    <row r="109" ht="18.0" customHeight="1">
      <c r="A109" s="9" t="s">
        <v>55</v>
      </c>
      <c r="B109" s="9">
        <v>2.0</v>
      </c>
      <c r="C109" s="9" t="s">
        <v>512</v>
      </c>
      <c r="D109" s="9" t="s">
        <v>513</v>
      </c>
      <c r="E109" s="10">
        <v>7.12473556632176E-5</v>
      </c>
      <c r="F109" s="10">
        <v>0.9999948505445673</v>
      </c>
      <c r="G109" s="10">
        <v>0.2982456140350877</v>
      </c>
      <c r="H109" s="9">
        <v>0.0</v>
      </c>
      <c r="I109" s="9">
        <v>0.0</v>
      </c>
      <c r="J109" s="9">
        <v>0.0</v>
      </c>
      <c r="K109" s="9">
        <v>0.0</v>
      </c>
      <c r="L109" s="9">
        <v>1.0</v>
      </c>
      <c r="M109" s="11">
        <v>2.081687115999557</v>
      </c>
      <c r="N109" s="9" t="s">
        <v>515</v>
      </c>
      <c r="O109" s="9" t="s">
        <v>516</v>
      </c>
    </row>
    <row r="110" ht="18.0" customHeight="1">
      <c r="A110" s="9" t="s">
        <v>55</v>
      </c>
      <c r="B110" s="9">
        <v>15.0</v>
      </c>
      <c r="C110" s="13" t="s">
        <v>456</v>
      </c>
      <c r="D110" s="13" t="s">
        <v>517</v>
      </c>
      <c r="E110" s="10">
        <v>0.032868046313524246</v>
      </c>
      <c r="F110" s="10">
        <v>0.9900329080410302</v>
      </c>
      <c r="G110" s="10">
        <v>0.5526315789473685</v>
      </c>
      <c r="H110" s="9">
        <v>0.0</v>
      </c>
      <c r="I110" s="9">
        <v>0.0</v>
      </c>
      <c r="J110" s="9">
        <v>0.0</v>
      </c>
      <c r="K110" s="9">
        <v>1.0</v>
      </c>
      <c r="L110" s="9">
        <v>0.0</v>
      </c>
      <c r="M110" s="11">
        <v>0.8935873330001414</v>
      </c>
      <c r="N110" s="9" t="s">
        <v>519</v>
      </c>
      <c r="O110" s="9" t="s">
        <v>520</v>
      </c>
    </row>
    <row r="111" ht="18.0" customHeight="1">
      <c r="A111" s="9" t="s">
        <v>55</v>
      </c>
      <c r="B111" s="9">
        <v>13.0</v>
      </c>
      <c r="C111" s="9" t="s">
        <v>461</v>
      </c>
      <c r="D111" s="9" t="s">
        <v>460</v>
      </c>
      <c r="E111" s="10">
        <v>0.07592148333787918</v>
      </c>
      <c r="F111" s="10">
        <v>0.9782989146187901</v>
      </c>
      <c r="G111" s="10">
        <v>0.11403508771929827</v>
      </c>
      <c r="H111" s="9">
        <v>0.0</v>
      </c>
      <c r="I111" s="9">
        <v>0.0</v>
      </c>
      <c r="J111" s="9">
        <v>1.0</v>
      </c>
      <c r="K111" s="9">
        <v>1.0</v>
      </c>
      <c r="L111" s="9">
        <v>0.0</v>
      </c>
      <c r="M111" s="11">
        <v>1.3534971850003785</v>
      </c>
      <c r="N111" s="9" t="s">
        <v>522</v>
      </c>
      <c r="O111" s="9" t="s">
        <v>523</v>
      </c>
    </row>
    <row r="112" ht="18.0" customHeight="1">
      <c r="A112" s="9" t="s">
        <v>55</v>
      </c>
      <c r="B112" s="9">
        <v>18.0</v>
      </c>
      <c r="C112" s="9" t="s">
        <v>524</v>
      </c>
      <c r="D112" s="9" t="s">
        <v>525</v>
      </c>
      <c r="E112" s="10">
        <v>0.04796181246638298</v>
      </c>
      <c r="F112" s="10">
        <v>0.9909405501093715</v>
      </c>
      <c r="G112" s="10">
        <v>0.6666666666666666</v>
      </c>
      <c r="H112" s="9">
        <v>0.0</v>
      </c>
      <c r="I112" s="9">
        <v>1.0</v>
      </c>
      <c r="J112" s="9">
        <v>1.0</v>
      </c>
      <c r="K112" s="9">
        <v>0.0</v>
      </c>
      <c r="L112" s="9">
        <v>0.0</v>
      </c>
      <c r="M112" s="11">
        <v>0.9661457929996686</v>
      </c>
      <c r="N112" s="9" t="s">
        <v>526</v>
      </c>
      <c r="O112" s="9" t="s">
        <v>527</v>
      </c>
    </row>
    <row r="113" ht="18.0" customHeight="1">
      <c r="A113" s="9" t="s">
        <v>55</v>
      </c>
      <c r="B113" s="9">
        <v>6.0</v>
      </c>
      <c r="C113" s="9" t="s">
        <v>232</v>
      </c>
      <c r="D113" s="9" t="s">
        <v>159</v>
      </c>
      <c r="E113" s="10">
        <v>0.004453497938811779</v>
      </c>
      <c r="F113" s="10">
        <v>0.9992984939308371</v>
      </c>
      <c r="G113" s="10">
        <v>0.07894736842105265</v>
      </c>
      <c r="H113" s="9">
        <v>0.0</v>
      </c>
      <c r="I113" s="9">
        <v>0.0</v>
      </c>
      <c r="J113" s="9">
        <v>0.0</v>
      </c>
      <c r="K113" s="9">
        <v>0.0</v>
      </c>
      <c r="L113" s="9">
        <v>1.0</v>
      </c>
      <c r="M113" s="11">
        <v>1.8105135710002287</v>
      </c>
      <c r="N113" s="9" t="s">
        <v>528</v>
      </c>
      <c r="O113" s="9" t="s">
        <v>529</v>
      </c>
    </row>
    <row r="114" ht="18.0" customHeight="1">
      <c r="A114" s="9" t="s">
        <v>55</v>
      </c>
      <c r="B114" s="9">
        <v>3.0</v>
      </c>
      <c r="C114" s="9" t="s">
        <v>530</v>
      </c>
      <c r="D114" s="9" t="s">
        <v>531</v>
      </c>
      <c r="E114" s="10">
        <v>1.3357830175664276E-4</v>
      </c>
      <c r="F114" s="10">
        <v>0.9999883059065269</v>
      </c>
      <c r="G114" s="10">
        <v>0.2982456140350877</v>
      </c>
      <c r="H114" s="9">
        <v>0.0</v>
      </c>
      <c r="I114" s="9">
        <v>0.0</v>
      </c>
      <c r="J114" s="9">
        <v>0.0</v>
      </c>
      <c r="K114" s="9">
        <v>0.0</v>
      </c>
      <c r="L114" s="9">
        <v>1.0</v>
      </c>
      <c r="M114" s="11">
        <v>2.0118140540007516</v>
      </c>
      <c r="N114" s="9" t="s">
        <v>532</v>
      </c>
      <c r="O114" s="9" t="s">
        <v>533</v>
      </c>
    </row>
    <row r="115" ht="18.0" customHeight="1">
      <c r="A115" s="9" t="s">
        <v>55</v>
      </c>
      <c r="B115" s="9">
        <v>12.0</v>
      </c>
      <c r="C115" s="9" t="s">
        <v>535</v>
      </c>
      <c r="D115" s="9" t="s">
        <v>180</v>
      </c>
      <c r="E115" s="10">
        <v>0.010767619125545025</v>
      </c>
      <c r="F115" s="10">
        <v>0.9975075062830001</v>
      </c>
      <c r="G115" s="10">
        <v>0.6842105263157895</v>
      </c>
      <c r="H115" s="9">
        <v>0.0</v>
      </c>
      <c r="I115" s="9">
        <v>1.0</v>
      </c>
      <c r="J115" s="9">
        <v>0.0</v>
      </c>
      <c r="K115" s="9">
        <v>0.0</v>
      </c>
      <c r="L115" s="9">
        <v>0.0</v>
      </c>
      <c r="M115" s="11">
        <v>1.4855269839999892</v>
      </c>
      <c r="N115" s="9" t="s">
        <v>536</v>
      </c>
      <c r="O115" s="9" t="s">
        <v>537</v>
      </c>
    </row>
    <row r="116" ht="18.0" customHeight="1">
      <c r="A116" s="9" t="s">
        <v>55</v>
      </c>
      <c r="B116" s="9">
        <v>10.0</v>
      </c>
      <c r="C116" s="9" t="s">
        <v>151</v>
      </c>
      <c r="D116" s="9" t="s">
        <v>538</v>
      </c>
      <c r="E116" s="10">
        <v>5.919159157201648E-4</v>
      </c>
      <c r="F116" s="10">
        <v>0.9999236013009067</v>
      </c>
      <c r="G116" s="10">
        <v>0.5087719298245614</v>
      </c>
      <c r="H116" s="9">
        <v>0.0</v>
      </c>
      <c r="I116" s="9">
        <v>0.0</v>
      </c>
      <c r="J116" s="9">
        <v>0.0</v>
      </c>
      <c r="K116" s="9">
        <v>0.0</v>
      </c>
      <c r="L116" s="9">
        <v>1.0</v>
      </c>
      <c r="M116" s="11">
        <v>1.4950878050003666</v>
      </c>
      <c r="N116" s="9" t="s">
        <v>177</v>
      </c>
      <c r="O116" s="9" t="s">
        <v>539</v>
      </c>
    </row>
    <row r="117" ht="18.0" customHeight="1">
      <c r="A117" s="9" t="s">
        <v>53</v>
      </c>
      <c r="B117" s="9">
        <v>7.0</v>
      </c>
      <c r="C117" s="9" t="s">
        <v>359</v>
      </c>
      <c r="D117" s="9" t="s">
        <v>254</v>
      </c>
      <c r="E117" s="10">
        <v>0.005218701437115669</v>
      </c>
      <c r="F117" s="10">
        <v>0.9989908784045838</v>
      </c>
      <c r="G117" s="10">
        <v>0.5964912280701754</v>
      </c>
      <c r="H117" s="9">
        <v>0.0</v>
      </c>
      <c r="I117" s="9">
        <v>0.0</v>
      </c>
      <c r="J117" s="9">
        <v>0.0</v>
      </c>
      <c r="K117" s="9">
        <v>0.0</v>
      </c>
      <c r="L117" s="9">
        <v>1.0</v>
      </c>
      <c r="M117" s="11">
        <v>2.1273916419995658</v>
      </c>
      <c r="N117" s="9" t="s">
        <v>540</v>
      </c>
      <c r="O117" s="9" t="s">
        <v>541</v>
      </c>
    </row>
    <row r="118" ht="18.0" customHeight="1">
      <c r="A118" s="9" t="s">
        <v>53</v>
      </c>
      <c r="B118" s="9">
        <v>17.0</v>
      </c>
      <c r="C118" s="9" t="s">
        <v>542</v>
      </c>
      <c r="D118" s="9" t="s">
        <v>453</v>
      </c>
      <c r="E118" s="10">
        <v>0.685945987701416</v>
      </c>
      <c r="F118" s="10">
        <v>0.7856217175722122</v>
      </c>
      <c r="G118" s="10">
        <v>0.7456140350877193</v>
      </c>
      <c r="H118" s="9">
        <v>0.0</v>
      </c>
      <c r="I118" s="9">
        <v>1.0</v>
      </c>
      <c r="J118" s="9">
        <v>1.0</v>
      </c>
      <c r="K118" s="9">
        <v>1.0</v>
      </c>
      <c r="L118" s="9">
        <v>1.0</v>
      </c>
      <c r="M118" s="11">
        <v>0.6328269449995787</v>
      </c>
      <c r="N118" s="9" t="s">
        <v>543</v>
      </c>
      <c r="O118" s="9" t="s">
        <v>544</v>
      </c>
    </row>
    <row r="119" ht="18.0" customHeight="1">
      <c r="A119" s="9" t="s">
        <v>53</v>
      </c>
      <c r="B119" s="9">
        <v>8.0</v>
      </c>
      <c r="C119" s="9" t="s">
        <v>151</v>
      </c>
      <c r="D119" s="9" t="s">
        <v>545</v>
      </c>
      <c r="E119" s="10">
        <v>0.07175584137439728</v>
      </c>
      <c r="F119" s="10">
        <v>0.9759830245748162</v>
      </c>
      <c r="G119" s="10">
        <v>0.19298245614035084</v>
      </c>
      <c r="H119" s="9">
        <v>0.0</v>
      </c>
      <c r="I119" s="9">
        <v>0.0</v>
      </c>
      <c r="J119" s="9">
        <v>0.0</v>
      </c>
      <c r="K119" s="9">
        <v>0.0</v>
      </c>
      <c r="L119" s="9">
        <v>1.0</v>
      </c>
      <c r="M119" s="11">
        <v>1.6732992950001062</v>
      </c>
      <c r="N119" s="9" t="s">
        <v>546</v>
      </c>
      <c r="O119" s="9" t="s">
        <v>547</v>
      </c>
    </row>
    <row r="120" ht="18.0" customHeight="1">
      <c r="A120" s="9" t="s">
        <v>53</v>
      </c>
      <c r="B120" s="9">
        <v>14.0</v>
      </c>
      <c r="C120" s="9" t="s">
        <v>548</v>
      </c>
      <c r="D120" s="9" t="s">
        <v>359</v>
      </c>
      <c r="E120" s="10">
        <v>0.6564154624938965</v>
      </c>
      <c r="F120" s="10">
        <v>0.28828150033950806</v>
      </c>
      <c r="G120" s="10">
        <v>0.28947368421052627</v>
      </c>
      <c r="H120" s="9">
        <v>0.0</v>
      </c>
      <c r="I120" s="9">
        <v>0.0</v>
      </c>
      <c r="J120" s="9">
        <v>1.0</v>
      </c>
      <c r="K120" s="9">
        <v>1.0</v>
      </c>
      <c r="L120" s="9">
        <v>0.0</v>
      </c>
      <c r="M120" s="11">
        <v>1.2880526589997316</v>
      </c>
      <c r="N120" s="9" t="s">
        <v>549</v>
      </c>
      <c r="O120" s="9" t="s">
        <v>550</v>
      </c>
    </row>
    <row r="121" ht="18.0" customHeight="1">
      <c r="A121" s="9" t="s">
        <v>53</v>
      </c>
      <c r="B121" s="9">
        <v>20.0</v>
      </c>
      <c r="C121" s="9" t="s">
        <v>314</v>
      </c>
      <c r="D121" s="9" t="s">
        <v>334</v>
      </c>
      <c r="E121" s="10">
        <v>3.443366222199984E-5</v>
      </c>
      <c r="F121" s="10">
        <v>0.9999963948571349</v>
      </c>
      <c r="G121" s="10">
        <v>0.15789473684210523</v>
      </c>
      <c r="H121" s="9">
        <v>0.0</v>
      </c>
      <c r="I121" s="9">
        <v>0.0</v>
      </c>
      <c r="J121" s="9">
        <v>0.0</v>
      </c>
      <c r="K121" s="9">
        <v>0.0</v>
      </c>
      <c r="L121" s="9">
        <v>1.0</v>
      </c>
      <c r="M121" s="11">
        <v>0.9031744399999297</v>
      </c>
      <c r="N121" s="9" t="s">
        <v>551</v>
      </c>
      <c r="O121" s="9" t="s">
        <v>552</v>
      </c>
    </row>
    <row r="122" ht="18.0" customHeight="1">
      <c r="A122" s="9" t="s">
        <v>53</v>
      </c>
      <c r="B122" s="9">
        <v>21.0</v>
      </c>
      <c r="C122" s="13" t="s">
        <v>553</v>
      </c>
      <c r="D122" s="13" t="s">
        <v>217</v>
      </c>
      <c r="E122" s="10">
        <v>5.3992578614270315E-5</v>
      </c>
      <c r="F122" s="10">
        <v>0.9999922211582088</v>
      </c>
      <c r="G122" s="10">
        <v>0.7456140350877192</v>
      </c>
      <c r="H122" s="9">
        <v>0.0</v>
      </c>
      <c r="I122" s="9">
        <v>1.0</v>
      </c>
      <c r="J122" s="9">
        <v>0.0</v>
      </c>
      <c r="K122" s="9">
        <v>0.0</v>
      </c>
      <c r="L122" s="9">
        <v>0.0</v>
      </c>
      <c r="M122" s="11">
        <v>0.903836665000199</v>
      </c>
      <c r="N122" s="9" t="s">
        <v>555</v>
      </c>
      <c r="O122" s="9" t="s">
        <v>556</v>
      </c>
    </row>
    <row r="123" ht="18.0" customHeight="1">
      <c r="A123" s="9" t="s">
        <v>53</v>
      </c>
      <c r="B123" s="9">
        <v>13.0</v>
      </c>
      <c r="C123" s="9" t="s">
        <v>557</v>
      </c>
      <c r="D123" s="9" t="s">
        <v>334</v>
      </c>
      <c r="E123" s="10">
        <v>0.378434956073761</v>
      </c>
      <c r="F123" s="10">
        <v>0.7662446200847626</v>
      </c>
      <c r="G123" s="10">
        <v>0.7894736842105262</v>
      </c>
      <c r="H123" s="9">
        <v>0.0</v>
      </c>
      <c r="I123" s="9">
        <v>1.0</v>
      </c>
      <c r="J123" s="9">
        <v>1.0</v>
      </c>
      <c r="K123" s="9">
        <v>1.0</v>
      </c>
      <c r="L123" s="9">
        <v>0.0</v>
      </c>
      <c r="M123" s="11">
        <v>1.6159552510007416</v>
      </c>
      <c r="N123" s="9" t="s">
        <v>558</v>
      </c>
      <c r="O123" s="9" t="s">
        <v>560</v>
      </c>
    </row>
    <row r="124" ht="18.0" customHeight="1">
      <c r="A124" s="9" t="s">
        <v>53</v>
      </c>
      <c r="B124" s="9">
        <v>3.0</v>
      </c>
      <c r="C124" s="9" t="s">
        <v>231</v>
      </c>
      <c r="D124" s="9" t="s">
        <v>232</v>
      </c>
      <c r="E124" s="10">
        <v>0.01906631886959076</v>
      </c>
      <c r="F124" s="10">
        <v>0.9965602469164878</v>
      </c>
      <c r="G124" s="10">
        <v>0.7543859649122807</v>
      </c>
      <c r="H124" s="9">
        <v>0.0</v>
      </c>
      <c r="I124" s="9">
        <v>1.0</v>
      </c>
      <c r="J124" s="9">
        <v>0.0</v>
      </c>
      <c r="K124" s="9">
        <v>0.0</v>
      </c>
      <c r="L124" s="9">
        <v>1.0</v>
      </c>
      <c r="M124" s="11">
        <v>1.468607036999856</v>
      </c>
      <c r="N124" s="9" t="s">
        <v>561</v>
      </c>
      <c r="O124" s="9" t="s">
        <v>562</v>
      </c>
    </row>
    <row r="125" ht="18.0" customHeight="1">
      <c r="A125" s="9" t="s">
        <v>53</v>
      </c>
      <c r="B125" s="9">
        <v>15.0</v>
      </c>
      <c r="C125" s="14" t="s">
        <v>172</v>
      </c>
      <c r="D125" s="14" t="s">
        <v>542</v>
      </c>
      <c r="E125" s="10">
        <v>0.6559587717056274</v>
      </c>
      <c r="F125" s="10">
        <v>0.584469273686409</v>
      </c>
      <c r="G125" s="10">
        <v>0.40350877192982454</v>
      </c>
      <c r="H125" s="9">
        <v>1.0</v>
      </c>
      <c r="I125" s="9">
        <v>0.0</v>
      </c>
      <c r="J125" s="9">
        <v>1.0</v>
      </c>
      <c r="K125" s="9">
        <v>1.0</v>
      </c>
      <c r="L125" s="9">
        <v>0.0</v>
      </c>
      <c r="M125" s="11">
        <v>1.2211450509994393</v>
      </c>
      <c r="N125" s="9"/>
      <c r="O125" s="9" t="s">
        <v>564</v>
      </c>
    </row>
    <row r="126" ht="18.0" customHeight="1">
      <c r="A126" s="9" t="s">
        <v>53</v>
      </c>
      <c r="B126" s="9">
        <v>12.0</v>
      </c>
      <c r="C126" s="14" t="s">
        <v>163</v>
      </c>
      <c r="D126" s="14" t="s">
        <v>94</v>
      </c>
      <c r="E126" s="10">
        <v>1.4478410482406616</v>
      </c>
      <c r="F126" s="10">
        <v>0.2908336967229843</v>
      </c>
      <c r="G126" s="10">
        <v>0.8421052631578947</v>
      </c>
      <c r="H126" s="9">
        <v>1.0</v>
      </c>
      <c r="I126" s="9">
        <v>1.0</v>
      </c>
      <c r="J126" s="9">
        <v>1.0</v>
      </c>
      <c r="K126" s="9">
        <v>1.0</v>
      </c>
      <c r="L126" s="9">
        <v>0.0</v>
      </c>
      <c r="M126" s="11">
        <v>3.1272692309994454</v>
      </c>
      <c r="N126" s="9"/>
      <c r="O126" s="9" t="s">
        <v>565</v>
      </c>
    </row>
    <row r="127" ht="18.0" customHeight="1">
      <c r="A127" s="9" t="s">
        <v>56</v>
      </c>
      <c r="B127" s="9">
        <v>25.0</v>
      </c>
      <c r="C127" s="9" t="s">
        <v>163</v>
      </c>
      <c r="D127" s="9" t="s">
        <v>566</v>
      </c>
      <c r="E127" s="10">
        <v>0.2735329568386078</v>
      </c>
      <c r="F127" s="10">
        <v>0.8718058913946152</v>
      </c>
      <c r="G127" s="10">
        <v>0.7095238095238096</v>
      </c>
      <c r="H127" s="9">
        <v>0.0</v>
      </c>
      <c r="I127" s="9">
        <v>1.0</v>
      </c>
      <c r="J127" s="9">
        <v>1.0</v>
      </c>
      <c r="K127" s="9">
        <v>1.0</v>
      </c>
      <c r="L127" s="9">
        <v>0.0</v>
      </c>
      <c r="M127" s="11">
        <v>2.009122700000262</v>
      </c>
      <c r="N127" s="9" t="s">
        <v>567</v>
      </c>
      <c r="O127" s="9" t="s">
        <v>568</v>
      </c>
    </row>
    <row r="128" ht="18.0" customHeight="1">
      <c r="A128" s="9" t="s">
        <v>56</v>
      </c>
      <c r="B128" s="9">
        <v>32.0</v>
      </c>
      <c r="C128" s="13" t="s">
        <v>569</v>
      </c>
      <c r="D128" s="13" t="s">
        <v>570</v>
      </c>
      <c r="E128" s="10">
        <v>5.61548164114356E-4</v>
      </c>
      <c r="F128" s="10">
        <v>0.9999460090502907</v>
      </c>
      <c r="G128" s="10">
        <v>0.6761904761904761</v>
      </c>
      <c r="H128" s="9">
        <v>0.0</v>
      </c>
      <c r="I128" s="9">
        <v>0.0</v>
      </c>
      <c r="J128" s="9">
        <v>0.0</v>
      </c>
      <c r="K128" s="9">
        <v>0.0</v>
      </c>
      <c r="L128" s="9">
        <v>1.0</v>
      </c>
      <c r="M128" s="11">
        <v>1.0289579769996635</v>
      </c>
      <c r="N128" s="9" t="s">
        <v>571</v>
      </c>
      <c r="O128" s="9" t="s">
        <v>572</v>
      </c>
    </row>
    <row r="129" ht="18.0" customHeight="1">
      <c r="A129" s="9" t="s">
        <v>56</v>
      </c>
      <c r="B129" s="9">
        <v>13.0</v>
      </c>
      <c r="C129" s="9" t="s">
        <v>151</v>
      </c>
      <c r="D129" s="9" t="s">
        <v>573</v>
      </c>
      <c r="E129" s="10">
        <v>4.1664624586701393E-4</v>
      </c>
      <c r="F129" s="10">
        <v>0.9999430468997161</v>
      </c>
      <c r="G129" s="10">
        <v>0.5285714285714286</v>
      </c>
      <c r="H129" s="9">
        <v>0.0</v>
      </c>
      <c r="I129" s="9">
        <v>0.0</v>
      </c>
      <c r="J129" s="9">
        <v>0.0</v>
      </c>
      <c r="K129" s="9">
        <v>0.0</v>
      </c>
      <c r="L129" s="9">
        <v>1.0</v>
      </c>
      <c r="M129" s="11">
        <v>2.2010163429995373</v>
      </c>
      <c r="N129" s="9" t="s">
        <v>574</v>
      </c>
      <c r="O129" s="9" t="s">
        <v>575</v>
      </c>
    </row>
    <row r="130" ht="18.0" customHeight="1">
      <c r="A130" s="9" t="s">
        <v>56</v>
      </c>
      <c r="B130" s="9">
        <v>27.0</v>
      </c>
      <c r="C130" s="9" t="s">
        <v>576</v>
      </c>
      <c r="D130" s="9" t="s">
        <v>577</v>
      </c>
      <c r="E130" s="10">
        <v>1.1054339408874512</v>
      </c>
      <c r="F130" s="10">
        <v>0.3010013997554779</v>
      </c>
      <c r="G130" s="10">
        <v>0.10476190476190476</v>
      </c>
      <c r="H130" s="9">
        <v>0.0</v>
      </c>
      <c r="I130" s="9">
        <v>0.0</v>
      </c>
      <c r="J130" s="9">
        <v>1.0</v>
      </c>
      <c r="K130" s="9">
        <v>1.0</v>
      </c>
      <c r="L130" s="9">
        <v>0.0</v>
      </c>
      <c r="M130" s="11">
        <v>1.485982420000255</v>
      </c>
      <c r="N130" s="9" t="s">
        <v>578</v>
      </c>
      <c r="O130" s="9" t="s">
        <v>579</v>
      </c>
    </row>
    <row r="131" ht="18.0" customHeight="1">
      <c r="A131" s="9" t="s">
        <v>56</v>
      </c>
      <c r="B131" s="9">
        <v>7.0</v>
      </c>
      <c r="C131" s="9" t="s">
        <v>139</v>
      </c>
      <c r="D131" s="9" t="s">
        <v>140</v>
      </c>
      <c r="E131" s="10">
        <v>0.00802297331392765</v>
      </c>
      <c r="F131" s="10">
        <v>0.9983190032653511</v>
      </c>
      <c r="G131" s="10">
        <v>0.7095238095238096</v>
      </c>
      <c r="H131" s="9">
        <v>0.0</v>
      </c>
      <c r="I131" s="9">
        <v>1.0</v>
      </c>
      <c r="J131" s="9">
        <v>0.0</v>
      </c>
      <c r="K131" s="9">
        <v>0.0</v>
      </c>
      <c r="L131" s="9">
        <v>0.0</v>
      </c>
      <c r="M131" s="11">
        <v>2.3208774710001308</v>
      </c>
      <c r="N131" s="9" t="s">
        <v>580</v>
      </c>
      <c r="O131" s="9" t="s">
        <v>581</v>
      </c>
    </row>
    <row r="132" ht="18.0" customHeight="1">
      <c r="A132" s="9" t="s">
        <v>56</v>
      </c>
      <c r="B132" s="9">
        <v>28.0</v>
      </c>
      <c r="C132" s="9" t="s">
        <v>453</v>
      </c>
      <c r="D132" s="9" t="s">
        <v>94</v>
      </c>
      <c r="E132" s="10">
        <v>5.14493185619358E-5</v>
      </c>
      <c r="F132" s="10">
        <v>0.9999947287831219</v>
      </c>
      <c r="G132" s="10">
        <v>0.7333333333333334</v>
      </c>
      <c r="H132" s="9">
        <v>0.0</v>
      </c>
      <c r="I132" s="9">
        <v>1.0</v>
      </c>
      <c r="J132" s="9">
        <v>0.0</v>
      </c>
      <c r="K132" s="9">
        <v>0.0</v>
      </c>
      <c r="L132" s="9">
        <v>0.0</v>
      </c>
      <c r="M132" s="11">
        <v>1.8910195059997932</v>
      </c>
      <c r="N132" s="9" t="s">
        <v>583</v>
      </c>
      <c r="O132" s="9" t="s">
        <v>584</v>
      </c>
    </row>
    <row r="133" ht="18.0" customHeight="1">
      <c r="A133" s="9" t="s">
        <v>56</v>
      </c>
      <c r="B133" s="9">
        <v>10.0</v>
      </c>
      <c r="C133" s="9" t="s">
        <v>180</v>
      </c>
      <c r="D133" s="9" t="s">
        <v>151</v>
      </c>
      <c r="E133" s="10">
        <v>0.6884926557540894</v>
      </c>
      <c r="F133" s="10">
        <v>0.10121139883995056</v>
      </c>
      <c r="G133" s="10">
        <v>0.719047619047619</v>
      </c>
      <c r="H133" s="9">
        <v>0.0</v>
      </c>
      <c r="I133" s="9">
        <v>1.0</v>
      </c>
      <c r="J133" s="9">
        <v>1.0</v>
      </c>
      <c r="K133" s="9">
        <v>1.0</v>
      </c>
      <c r="L133" s="9">
        <v>0.0</v>
      </c>
      <c r="M133" s="11">
        <v>2.256947453999601</v>
      </c>
      <c r="N133" s="9" t="s">
        <v>586</v>
      </c>
      <c r="O133" s="9" t="s">
        <v>588</v>
      </c>
    </row>
    <row r="134" ht="18.0" customHeight="1">
      <c r="A134" s="9" t="s">
        <v>56</v>
      </c>
      <c r="B134" s="9">
        <v>9.0</v>
      </c>
      <c r="C134" s="9" t="s">
        <v>200</v>
      </c>
      <c r="D134" s="9" t="s">
        <v>87</v>
      </c>
      <c r="E134" s="10">
        <v>1.4991663694381714</v>
      </c>
      <c r="F134" s="10">
        <v>0.16073483228683472</v>
      </c>
      <c r="G134" s="10">
        <v>0.5666666666666668</v>
      </c>
      <c r="H134" s="9">
        <v>0.0</v>
      </c>
      <c r="I134" s="9">
        <v>0.0</v>
      </c>
      <c r="J134" s="9">
        <v>1.0</v>
      </c>
      <c r="K134" s="9">
        <v>1.0</v>
      </c>
      <c r="L134" s="9">
        <v>0.0</v>
      </c>
      <c r="M134" s="11">
        <v>8.43286198900023</v>
      </c>
      <c r="N134" s="9" t="s">
        <v>589</v>
      </c>
      <c r="O134" s="9" t="s">
        <v>590</v>
      </c>
    </row>
    <row r="135" ht="18.0" customHeight="1">
      <c r="A135" s="9" t="s">
        <v>56</v>
      </c>
      <c r="B135" s="9">
        <v>23.0</v>
      </c>
      <c r="C135" s="9" t="s">
        <v>591</v>
      </c>
      <c r="D135" s="9" t="s">
        <v>169</v>
      </c>
      <c r="E135" s="10">
        <v>0.21610578894615173</v>
      </c>
      <c r="F135" s="10">
        <v>0.8882894441485405</v>
      </c>
      <c r="G135" s="10">
        <v>0.6952380952380953</v>
      </c>
      <c r="H135" s="9">
        <v>0.0</v>
      </c>
      <c r="I135" s="9">
        <v>0.0</v>
      </c>
      <c r="J135" s="9">
        <v>1.0</v>
      </c>
      <c r="K135" s="9">
        <v>1.0</v>
      </c>
      <c r="L135" s="9">
        <v>1.0</v>
      </c>
      <c r="M135" s="11">
        <v>1.812441485999443</v>
      </c>
      <c r="N135" s="9" t="s">
        <v>593</v>
      </c>
      <c r="O135" s="9" t="s">
        <v>594</v>
      </c>
    </row>
    <row r="136" ht="18.0" customHeight="1">
      <c r="A136" s="9" t="s">
        <v>56</v>
      </c>
      <c r="B136" s="9">
        <v>14.0</v>
      </c>
      <c r="C136" s="9" t="s">
        <v>334</v>
      </c>
      <c r="D136" s="9" t="s">
        <v>159</v>
      </c>
      <c r="E136" s="10">
        <v>1.0252131687593646E-5</v>
      </c>
      <c r="F136" s="10">
        <v>0.9999993926197561</v>
      </c>
      <c r="G136" s="10">
        <v>0.7904761904761904</v>
      </c>
      <c r="H136" s="9">
        <v>0.0</v>
      </c>
      <c r="I136" s="9">
        <v>1.0</v>
      </c>
      <c r="J136" s="9">
        <v>0.0</v>
      </c>
      <c r="K136" s="9">
        <v>0.0</v>
      </c>
      <c r="L136" s="9">
        <v>0.0</v>
      </c>
      <c r="M136" s="11">
        <v>3.7840022510008566</v>
      </c>
      <c r="N136" s="9" t="s">
        <v>595</v>
      </c>
      <c r="O136" s="9" t="s">
        <v>596</v>
      </c>
    </row>
    <row r="137" ht="18.0" customHeight="1">
      <c r="A137" s="9" t="s">
        <v>56</v>
      </c>
      <c r="B137" s="9">
        <v>24.0</v>
      </c>
      <c r="C137" s="9" t="s">
        <v>232</v>
      </c>
      <c r="D137" s="9" t="s">
        <v>289</v>
      </c>
      <c r="E137" s="10">
        <v>0.004107308574020863</v>
      </c>
      <c r="F137" s="10">
        <v>0.999053467909107</v>
      </c>
      <c r="G137" s="10">
        <v>0.6761904761904761</v>
      </c>
      <c r="H137" s="9">
        <v>0.0</v>
      </c>
      <c r="I137" s="9">
        <v>0.0</v>
      </c>
      <c r="J137" s="9">
        <v>0.0</v>
      </c>
      <c r="K137" s="9">
        <v>0.0</v>
      </c>
      <c r="L137" s="9">
        <v>1.0</v>
      </c>
      <c r="M137" s="11">
        <v>1.7462523839994901</v>
      </c>
      <c r="N137" s="9" t="s">
        <v>597</v>
      </c>
      <c r="O137" s="9" t="s">
        <v>598</v>
      </c>
    </row>
    <row r="138" ht="18.0" customHeight="1">
      <c r="A138" s="9" t="s">
        <v>56</v>
      </c>
      <c r="B138" s="9">
        <v>6.0</v>
      </c>
      <c r="C138" s="9" t="s">
        <v>334</v>
      </c>
      <c r="D138" s="9" t="s">
        <v>264</v>
      </c>
      <c r="E138" s="10">
        <v>9.674020111560822E-5</v>
      </c>
      <c r="F138" s="10">
        <v>0.9999930474667735</v>
      </c>
      <c r="G138" s="10">
        <v>0.43333333333333335</v>
      </c>
      <c r="H138" s="9">
        <v>0.0</v>
      </c>
      <c r="I138" s="9">
        <v>0.0</v>
      </c>
      <c r="J138" s="9">
        <v>0.0</v>
      </c>
      <c r="K138" s="9">
        <v>0.0</v>
      </c>
      <c r="L138" s="9">
        <v>1.0</v>
      </c>
      <c r="M138" s="11">
        <v>9.469668198999898</v>
      </c>
      <c r="N138" s="9" t="s">
        <v>382</v>
      </c>
      <c r="O138" s="9" t="s">
        <v>601</v>
      </c>
    </row>
    <row r="139" ht="18.0" customHeight="1">
      <c r="A139" s="9" t="s">
        <v>63</v>
      </c>
      <c r="B139" s="9">
        <v>157.0</v>
      </c>
      <c r="C139" s="9" t="s">
        <v>602</v>
      </c>
      <c r="D139" s="9" t="s">
        <v>603</v>
      </c>
      <c r="E139" s="10">
        <v>6.058149301679805E-5</v>
      </c>
      <c r="F139" s="10">
        <v>0.9999942780324318</v>
      </c>
      <c r="G139" s="10">
        <v>0.33884297520661155</v>
      </c>
      <c r="H139" s="9">
        <v>0.0</v>
      </c>
      <c r="I139" s="9">
        <v>0.0</v>
      </c>
      <c r="J139" s="9">
        <v>0.0</v>
      </c>
      <c r="K139" s="9">
        <v>0.0</v>
      </c>
      <c r="L139" s="9">
        <v>1.0</v>
      </c>
      <c r="M139" s="11">
        <v>7.198129596999934</v>
      </c>
      <c r="N139" s="9" t="s">
        <v>605</v>
      </c>
      <c r="O139" s="9" t="s">
        <v>606</v>
      </c>
    </row>
    <row r="140" ht="18.0" customHeight="1">
      <c r="A140" s="9" t="s">
        <v>63</v>
      </c>
      <c r="B140" s="9">
        <v>155.0</v>
      </c>
      <c r="C140" s="9" t="s">
        <v>464</v>
      </c>
      <c r="D140" s="9" t="s">
        <v>87</v>
      </c>
      <c r="E140" s="10">
        <v>0.23831315338611603</v>
      </c>
      <c r="F140" s="10">
        <v>0.874079130589962</v>
      </c>
      <c r="G140" s="10">
        <v>0.6322314049586777</v>
      </c>
      <c r="H140" s="9">
        <v>0.0</v>
      </c>
      <c r="I140" s="9">
        <v>0.0</v>
      </c>
      <c r="J140" s="9">
        <v>1.0</v>
      </c>
      <c r="K140" s="9">
        <v>1.0</v>
      </c>
      <c r="L140" s="9">
        <v>0.0</v>
      </c>
      <c r="M140" s="11">
        <v>7.329434430000219</v>
      </c>
      <c r="N140" s="9" t="s">
        <v>607</v>
      </c>
      <c r="O140" s="9" t="s">
        <v>608</v>
      </c>
    </row>
    <row r="141" ht="18.0" customHeight="1">
      <c r="A141" s="9" t="s">
        <v>63</v>
      </c>
      <c r="B141" s="9">
        <v>115.0</v>
      </c>
      <c r="C141" s="9" t="s">
        <v>609</v>
      </c>
      <c r="D141" s="9" t="s">
        <v>610</v>
      </c>
      <c r="E141" s="10">
        <v>0.745757520198822</v>
      </c>
      <c r="F141" s="10">
        <v>0.06949225068092346</v>
      </c>
      <c r="G141" s="10">
        <v>0.1549586776859504</v>
      </c>
      <c r="H141" s="9">
        <v>0.0</v>
      </c>
      <c r="I141" s="9">
        <v>0.0</v>
      </c>
      <c r="J141" s="9">
        <v>1.0</v>
      </c>
      <c r="K141" s="9">
        <v>1.0</v>
      </c>
      <c r="L141" s="9">
        <v>0.0</v>
      </c>
      <c r="M141" s="11">
        <v>10.033708990999912</v>
      </c>
      <c r="N141" s="9" t="s">
        <v>611</v>
      </c>
      <c r="O141" s="9" t="s">
        <v>612</v>
      </c>
    </row>
    <row r="142" ht="18.0" customHeight="1">
      <c r="A142" s="9" t="s">
        <v>63</v>
      </c>
      <c r="B142" s="9">
        <v>14.0</v>
      </c>
      <c r="C142" s="9" t="s">
        <v>87</v>
      </c>
      <c r="D142" s="9" t="s">
        <v>163</v>
      </c>
      <c r="E142" s="10">
        <v>0.6638559103012085</v>
      </c>
      <c r="F142" s="10">
        <v>0.34951093792915344</v>
      </c>
      <c r="G142" s="10">
        <v>0.7871900826446282</v>
      </c>
      <c r="H142" s="9">
        <v>0.0</v>
      </c>
      <c r="I142" s="9">
        <v>0.0</v>
      </c>
      <c r="J142" s="9">
        <v>1.0</v>
      </c>
      <c r="K142" s="9">
        <v>1.0</v>
      </c>
      <c r="L142" s="9">
        <v>0.0</v>
      </c>
      <c r="M142" s="11">
        <v>12.10075261699967</v>
      </c>
      <c r="N142" s="9" t="s">
        <v>613</v>
      </c>
      <c r="O142" s="9" t="s">
        <v>614</v>
      </c>
    </row>
    <row r="143" ht="18.0" customHeight="1">
      <c r="A143" s="9" t="s">
        <v>63</v>
      </c>
      <c r="B143" s="9">
        <v>42.0</v>
      </c>
      <c r="C143" s="9" t="s">
        <v>181</v>
      </c>
      <c r="D143" s="9" t="s">
        <v>160</v>
      </c>
      <c r="E143" s="10">
        <v>0.29018735885620117</v>
      </c>
      <c r="F143" s="10">
        <v>0.8320825770497322</v>
      </c>
      <c r="G143" s="10">
        <v>0.3278236914600551</v>
      </c>
      <c r="H143" s="9">
        <v>0.0</v>
      </c>
      <c r="I143" s="9">
        <v>0.0</v>
      </c>
      <c r="J143" s="9">
        <v>1.0</v>
      </c>
      <c r="K143" s="9">
        <v>1.0</v>
      </c>
      <c r="L143" s="9">
        <v>0.0</v>
      </c>
      <c r="M143" s="11">
        <v>14.88748657799988</v>
      </c>
      <c r="N143" s="9" t="s">
        <v>615</v>
      </c>
      <c r="O143" s="9" t="s">
        <v>617</v>
      </c>
    </row>
    <row r="144" ht="18.0" customHeight="1">
      <c r="A144" s="9" t="s">
        <v>63</v>
      </c>
      <c r="B144" s="9">
        <v>2.0</v>
      </c>
      <c r="C144" s="9" t="s">
        <v>618</v>
      </c>
      <c r="D144" s="9" t="s">
        <v>122</v>
      </c>
      <c r="E144" s="10">
        <v>1.1373789310455322</v>
      </c>
      <c r="F144" s="10">
        <v>0.011755824089050293</v>
      </c>
      <c r="G144" s="10">
        <v>0.7465564738292011</v>
      </c>
      <c r="H144" s="9">
        <v>0.0</v>
      </c>
      <c r="I144" s="9">
        <v>0.0</v>
      </c>
      <c r="J144" s="9">
        <v>1.0</v>
      </c>
      <c r="K144" s="9">
        <v>1.0</v>
      </c>
      <c r="L144" s="9">
        <v>0.0</v>
      </c>
      <c r="M144" s="11">
        <v>4.309326999000405</v>
      </c>
      <c r="N144" s="9" t="s">
        <v>619</v>
      </c>
      <c r="O144" s="9" t="s">
        <v>620</v>
      </c>
    </row>
    <row r="145" ht="18.0" customHeight="1">
      <c r="A145" s="9" t="s">
        <v>63</v>
      </c>
      <c r="B145" s="9">
        <v>99.0</v>
      </c>
      <c r="C145" s="9" t="s">
        <v>621</v>
      </c>
      <c r="D145" s="9" t="s">
        <v>622</v>
      </c>
      <c r="E145" s="10">
        <v>0.13949035108089447</v>
      </c>
      <c r="F145" s="10">
        <v>0.9376557301729918</v>
      </c>
      <c r="G145" s="10">
        <v>0.1549586776859504</v>
      </c>
      <c r="H145" s="9">
        <v>0.0</v>
      </c>
      <c r="I145" s="9">
        <v>0.0</v>
      </c>
      <c r="J145" s="9">
        <v>0.0</v>
      </c>
      <c r="K145" s="9">
        <v>0.0</v>
      </c>
      <c r="L145" s="9">
        <v>1.0</v>
      </c>
      <c r="M145" s="11">
        <v>11.108119681999597</v>
      </c>
      <c r="N145" s="9" t="s">
        <v>623</v>
      </c>
      <c r="O145" s="9" t="s">
        <v>624</v>
      </c>
    </row>
    <row r="146" ht="18.0" customHeight="1">
      <c r="A146" s="9" t="s">
        <v>63</v>
      </c>
      <c r="B146" s="9">
        <v>168.0</v>
      </c>
      <c r="C146" s="9" t="s">
        <v>625</v>
      </c>
      <c r="D146" s="9" t="s">
        <v>159</v>
      </c>
      <c r="E146" s="10">
        <v>0.004474733490496874</v>
      </c>
      <c r="F146" s="10">
        <v>0.9991746286395937</v>
      </c>
      <c r="G146" s="10">
        <v>0.5537190082644629</v>
      </c>
      <c r="H146" s="9">
        <v>0.0</v>
      </c>
      <c r="I146" s="9">
        <v>0.0</v>
      </c>
      <c r="J146" s="9">
        <v>0.0</v>
      </c>
      <c r="K146" s="9">
        <v>0.0</v>
      </c>
      <c r="L146" s="9">
        <v>1.0</v>
      </c>
      <c r="M146" s="11">
        <v>6.431185125999946</v>
      </c>
      <c r="N146" s="9" t="s">
        <v>626</v>
      </c>
      <c r="O146" s="9" t="s">
        <v>628</v>
      </c>
    </row>
    <row r="147" ht="18.0" customHeight="1">
      <c r="A147" s="9" t="s">
        <v>63</v>
      </c>
      <c r="B147" s="9">
        <v>64.0</v>
      </c>
      <c r="C147" s="9" t="s">
        <v>629</v>
      </c>
      <c r="D147" s="9" t="s">
        <v>630</v>
      </c>
      <c r="E147" s="10">
        <v>5.547294131247327E-5</v>
      </c>
      <c r="F147" s="10">
        <v>0.9999960532404089</v>
      </c>
      <c r="G147" s="10">
        <v>0.8491735537190083</v>
      </c>
      <c r="H147" s="9">
        <v>0.0</v>
      </c>
      <c r="I147" s="9">
        <v>1.0</v>
      </c>
      <c r="J147" s="9">
        <v>0.0</v>
      </c>
      <c r="K147" s="9">
        <v>0.0</v>
      </c>
      <c r="L147" s="9">
        <v>0.0</v>
      </c>
      <c r="M147" s="11">
        <v>13.422367934999784</v>
      </c>
      <c r="N147" s="9" t="s">
        <v>626</v>
      </c>
      <c r="O147" s="9" t="s">
        <v>631</v>
      </c>
    </row>
    <row r="148" ht="18.0" customHeight="1">
      <c r="A148" s="9" t="s">
        <v>63</v>
      </c>
      <c r="B148" s="9">
        <v>39.0</v>
      </c>
      <c r="C148" s="9" t="s">
        <v>630</v>
      </c>
      <c r="D148" s="9" t="s">
        <v>632</v>
      </c>
      <c r="E148" s="10">
        <v>2.3023040557745844E-4</v>
      </c>
      <c r="F148" s="10">
        <v>0.9999706148464611</v>
      </c>
      <c r="G148" s="10">
        <v>0.8409090909090908</v>
      </c>
      <c r="H148" s="9">
        <v>0.0</v>
      </c>
      <c r="I148" s="9">
        <v>1.0</v>
      </c>
      <c r="J148" s="9">
        <v>0.0</v>
      </c>
      <c r="K148" s="9">
        <v>0.0</v>
      </c>
      <c r="L148" s="9">
        <v>0.0</v>
      </c>
      <c r="M148" s="11">
        <v>15.075117069000044</v>
      </c>
      <c r="N148" s="9" t="s">
        <v>626</v>
      </c>
      <c r="O148" s="9" t="s">
        <v>633</v>
      </c>
    </row>
    <row r="149" ht="18.0" customHeight="1">
      <c r="A149" s="9" t="s">
        <v>63</v>
      </c>
      <c r="B149" s="9">
        <v>199.0</v>
      </c>
      <c r="C149" s="9" t="s">
        <v>634</v>
      </c>
      <c r="D149" s="9" t="s">
        <v>181</v>
      </c>
      <c r="E149" s="10">
        <v>4.0025488488026895E-6</v>
      </c>
      <c r="F149" s="10">
        <v>0.9999997783262629</v>
      </c>
      <c r="G149" s="10">
        <v>0.8560606060606061</v>
      </c>
      <c r="H149" s="9">
        <v>0.0</v>
      </c>
      <c r="I149" s="9">
        <v>1.0</v>
      </c>
      <c r="J149" s="9">
        <v>0.0</v>
      </c>
      <c r="K149" s="9">
        <v>0.0</v>
      </c>
      <c r="L149" s="9">
        <v>0.0</v>
      </c>
      <c r="M149" s="11">
        <v>4.319961681000677</v>
      </c>
      <c r="N149" s="9" t="s">
        <v>635</v>
      </c>
      <c r="O149" s="9" t="s">
        <v>636</v>
      </c>
    </row>
    <row r="150" ht="18.0" customHeight="1">
      <c r="A150" s="9" t="s">
        <v>63</v>
      </c>
      <c r="B150" s="9">
        <v>208.0</v>
      </c>
      <c r="C150" s="9" t="s">
        <v>456</v>
      </c>
      <c r="D150" s="9" t="s">
        <v>637</v>
      </c>
      <c r="E150" s="10">
        <v>0.003831858281046152</v>
      </c>
      <c r="F150" s="10">
        <v>0.999189186579315</v>
      </c>
      <c r="G150" s="10">
        <v>0.8774104683195593</v>
      </c>
      <c r="H150" s="9">
        <v>0.0</v>
      </c>
      <c r="I150" s="9">
        <v>1.0</v>
      </c>
      <c r="J150" s="9">
        <v>0.0</v>
      </c>
      <c r="K150" s="9">
        <v>0.0</v>
      </c>
      <c r="L150" s="9">
        <v>0.0</v>
      </c>
      <c r="M150" s="11">
        <v>3.7273518410002</v>
      </c>
      <c r="N150" s="9" t="s">
        <v>638</v>
      </c>
      <c r="O150" s="9" t="s">
        <v>639</v>
      </c>
    </row>
    <row r="151" ht="18.0" customHeight="1">
      <c r="A151" s="9" t="s">
        <v>63</v>
      </c>
      <c r="B151" s="9">
        <v>213.0</v>
      </c>
      <c r="C151" s="9" t="s">
        <v>169</v>
      </c>
      <c r="D151" s="9" t="s">
        <v>640</v>
      </c>
      <c r="E151" s="10">
        <v>4.171492764726281E-5</v>
      </c>
      <c r="F151" s="10">
        <v>0.9999968388134448</v>
      </c>
      <c r="G151" s="10">
        <v>0.8519283746556474</v>
      </c>
      <c r="H151" s="9">
        <v>0.0</v>
      </c>
      <c r="I151" s="9">
        <v>1.0</v>
      </c>
      <c r="J151" s="9">
        <v>0.0</v>
      </c>
      <c r="K151" s="9">
        <v>0.0</v>
      </c>
      <c r="L151" s="9">
        <v>0.0</v>
      </c>
      <c r="M151" s="11">
        <v>3.3589253039999676</v>
      </c>
      <c r="N151" s="9" t="s">
        <v>641</v>
      </c>
      <c r="O151" s="9" t="s">
        <v>642</v>
      </c>
    </row>
    <row r="152" ht="18.0" customHeight="1">
      <c r="A152" s="9" t="s">
        <v>63</v>
      </c>
      <c r="B152" s="9">
        <v>139.0</v>
      </c>
      <c r="C152" s="9" t="s">
        <v>122</v>
      </c>
      <c r="D152" s="9" t="s">
        <v>467</v>
      </c>
      <c r="E152" s="10">
        <v>0.0030033309012651443</v>
      </c>
      <c r="F152" s="10">
        <v>0.9994941382319666</v>
      </c>
      <c r="G152" s="10">
        <v>0.5247933884297521</v>
      </c>
      <c r="H152" s="9">
        <v>0.0</v>
      </c>
      <c r="I152" s="9">
        <v>0.0</v>
      </c>
      <c r="J152" s="9">
        <v>0.0</v>
      </c>
      <c r="K152" s="9">
        <v>0.0</v>
      </c>
      <c r="L152" s="9">
        <v>1.0</v>
      </c>
      <c r="M152" s="11">
        <v>8.406124123999689</v>
      </c>
      <c r="N152" s="9" t="s">
        <v>643</v>
      </c>
      <c r="O152" s="9" t="s">
        <v>644</v>
      </c>
    </row>
    <row r="153" ht="18.0" customHeight="1">
      <c r="A153" s="9" t="s">
        <v>63</v>
      </c>
      <c r="B153" s="9">
        <v>37.0</v>
      </c>
      <c r="C153" s="9" t="s">
        <v>629</v>
      </c>
      <c r="D153" s="9" t="s">
        <v>461</v>
      </c>
      <c r="E153" s="10">
        <v>6.543659401359037E-5</v>
      </c>
      <c r="F153" s="10">
        <v>0.9999952418961584</v>
      </c>
      <c r="G153" s="10">
        <v>0.7885674931129477</v>
      </c>
      <c r="H153" s="9">
        <v>0.0</v>
      </c>
      <c r="I153" s="9">
        <v>0.0</v>
      </c>
      <c r="J153" s="9">
        <v>0.0</v>
      </c>
      <c r="K153" s="9">
        <v>0.0</v>
      </c>
      <c r="L153" s="9">
        <v>1.0</v>
      </c>
      <c r="M153" s="11">
        <v>15.256771835000109</v>
      </c>
      <c r="N153" s="9" t="s">
        <v>647</v>
      </c>
      <c r="O153" s="9" t="s">
        <v>648</v>
      </c>
    </row>
    <row r="154" ht="18.0" customHeight="1">
      <c r="A154" s="9" t="s">
        <v>65</v>
      </c>
      <c r="B154" s="9">
        <v>95.0</v>
      </c>
      <c r="C154" s="9" t="s">
        <v>232</v>
      </c>
      <c r="D154" s="9" t="s">
        <v>289</v>
      </c>
      <c r="E154" s="10">
        <v>7.623102283105254E-5</v>
      </c>
      <c r="F154" s="10">
        <v>0.9999897312823123</v>
      </c>
      <c r="G154" s="10">
        <v>0.5820244328097731</v>
      </c>
      <c r="H154" s="9">
        <v>0.0</v>
      </c>
      <c r="I154" s="9">
        <v>0.0</v>
      </c>
      <c r="J154" s="9">
        <v>0.0</v>
      </c>
      <c r="K154" s="9">
        <v>0.0</v>
      </c>
      <c r="L154" s="9">
        <v>1.0</v>
      </c>
      <c r="M154" s="11">
        <v>7.688655099000243</v>
      </c>
      <c r="N154" s="9" t="s">
        <v>650</v>
      </c>
      <c r="O154" s="9" t="s">
        <v>651</v>
      </c>
    </row>
    <row r="155" ht="18.0" customHeight="1">
      <c r="A155" s="9" t="s">
        <v>65</v>
      </c>
      <c r="B155" s="9">
        <v>44.0</v>
      </c>
      <c r="C155" s="9" t="s">
        <v>652</v>
      </c>
      <c r="D155" s="9" t="s">
        <v>122</v>
      </c>
      <c r="E155" s="10">
        <v>3.6225610529072583E-4</v>
      </c>
      <c r="F155" s="10">
        <v>0.9999467511388502</v>
      </c>
      <c r="G155" s="10">
        <v>0.38830715532286214</v>
      </c>
      <c r="H155" s="9">
        <v>0.0</v>
      </c>
      <c r="I155" s="9">
        <v>0.0</v>
      </c>
      <c r="J155" s="9">
        <v>0.0</v>
      </c>
      <c r="K155" s="9">
        <v>0.0</v>
      </c>
      <c r="L155" s="9">
        <v>1.0</v>
      </c>
      <c r="M155" s="11">
        <v>11.083219917999486</v>
      </c>
      <c r="N155" s="9" t="s">
        <v>653</v>
      </c>
      <c r="O155" s="9" t="s">
        <v>654</v>
      </c>
    </row>
    <row r="156" ht="18.0" customHeight="1">
      <c r="A156" s="9" t="s">
        <v>65</v>
      </c>
      <c r="B156" s="9">
        <v>7.0</v>
      </c>
      <c r="C156" s="9" t="s">
        <v>232</v>
      </c>
      <c r="D156" s="9" t="s">
        <v>159</v>
      </c>
      <c r="E156" s="10">
        <v>0.0018183162901550531</v>
      </c>
      <c r="F156" s="10">
        <v>0.9997415778125287</v>
      </c>
      <c r="G156" s="10">
        <v>0.837696335078534</v>
      </c>
      <c r="H156" s="9">
        <v>0.0</v>
      </c>
      <c r="I156" s="9">
        <v>1.0</v>
      </c>
      <c r="J156" s="9">
        <v>0.0</v>
      </c>
      <c r="K156" s="9">
        <v>0.0</v>
      </c>
      <c r="L156" s="9">
        <v>0.0</v>
      </c>
      <c r="M156" s="11">
        <v>2.0265492590006033</v>
      </c>
      <c r="N156" s="9" t="s">
        <v>655</v>
      </c>
      <c r="O156" s="9" t="s">
        <v>656</v>
      </c>
    </row>
    <row r="157" ht="18.0" customHeight="1">
      <c r="A157" s="9" t="s">
        <v>65</v>
      </c>
      <c r="B157" s="9">
        <v>157.0</v>
      </c>
      <c r="C157" s="9" t="s">
        <v>461</v>
      </c>
      <c r="D157" s="9" t="s">
        <v>657</v>
      </c>
      <c r="E157" s="10">
        <v>0.7616146802902222</v>
      </c>
      <c r="F157" s="10">
        <v>0.5923986881971359</v>
      </c>
      <c r="G157" s="10">
        <v>0.8298429319371728</v>
      </c>
      <c r="H157" s="9">
        <v>0.0</v>
      </c>
      <c r="I157" s="9">
        <v>1.0</v>
      </c>
      <c r="J157" s="9">
        <v>0.0</v>
      </c>
      <c r="K157" s="9">
        <v>0.0</v>
      </c>
      <c r="L157" s="9">
        <v>0.0</v>
      </c>
      <c r="M157" s="11">
        <v>3.217385942999499</v>
      </c>
      <c r="N157" s="9" t="s">
        <v>658</v>
      </c>
      <c r="O157" s="9" t="s">
        <v>659</v>
      </c>
    </row>
    <row r="158" ht="18.0" customHeight="1">
      <c r="A158" s="9" t="s">
        <v>65</v>
      </c>
      <c r="B158" s="9">
        <v>22.0</v>
      </c>
      <c r="C158" s="9" t="s">
        <v>301</v>
      </c>
      <c r="D158" s="9" t="s">
        <v>122</v>
      </c>
      <c r="E158" s="10">
        <v>3.1275994842872024E-4</v>
      </c>
      <c r="F158" s="10">
        <v>0.9999573068325844</v>
      </c>
      <c r="G158" s="10">
        <v>0.5122164048865621</v>
      </c>
      <c r="H158" s="9">
        <v>0.0</v>
      </c>
      <c r="I158" s="9">
        <v>0.0</v>
      </c>
      <c r="J158" s="9">
        <v>0.0</v>
      </c>
      <c r="K158" s="9">
        <v>0.0</v>
      </c>
      <c r="L158" s="9">
        <v>1.0</v>
      </c>
      <c r="M158" s="11">
        <v>12.34507643500001</v>
      </c>
      <c r="N158" s="9" t="s">
        <v>660</v>
      </c>
      <c r="O158" s="9" t="s">
        <v>662</v>
      </c>
    </row>
    <row r="159" ht="18.0" customHeight="1">
      <c r="A159" s="9" t="s">
        <v>65</v>
      </c>
      <c r="B159" s="9">
        <v>53.0</v>
      </c>
      <c r="C159" s="9" t="s">
        <v>663</v>
      </c>
      <c r="D159" s="9" t="s">
        <v>122</v>
      </c>
      <c r="E159" s="10">
        <v>5.7829893194139E-4</v>
      </c>
      <c r="F159" s="10">
        <v>0.9999313943062589</v>
      </c>
      <c r="G159" s="10">
        <v>0.21902268760907506</v>
      </c>
      <c r="H159" s="9">
        <v>0.0</v>
      </c>
      <c r="I159" s="9">
        <v>0.0</v>
      </c>
      <c r="J159" s="9">
        <v>0.0</v>
      </c>
      <c r="K159" s="9">
        <v>0.0</v>
      </c>
      <c r="L159" s="9">
        <v>1.0</v>
      </c>
      <c r="M159" s="11">
        <v>10.339218706999418</v>
      </c>
      <c r="N159" s="9" t="s">
        <v>664</v>
      </c>
      <c r="O159" s="9" t="s">
        <v>665</v>
      </c>
    </row>
    <row r="160" ht="18.0" customHeight="1">
      <c r="A160" s="9" t="s">
        <v>65</v>
      </c>
      <c r="B160" s="9">
        <v>145.0</v>
      </c>
      <c r="C160" s="9" t="s">
        <v>666</v>
      </c>
      <c r="D160" s="9" t="s">
        <v>163</v>
      </c>
      <c r="E160" s="10">
        <v>1.8498245477676392</v>
      </c>
      <c r="F160" s="10">
        <v>0.11343264579772949</v>
      </c>
      <c r="G160" s="10">
        <v>0.8682373472949388</v>
      </c>
      <c r="H160" s="9">
        <v>0.0</v>
      </c>
      <c r="I160" s="9">
        <v>1.0</v>
      </c>
      <c r="J160" s="9">
        <v>1.0</v>
      </c>
      <c r="K160" s="9">
        <v>1.0</v>
      </c>
      <c r="L160" s="9">
        <v>0.0</v>
      </c>
      <c r="M160" s="11">
        <v>2.13176569100051</v>
      </c>
      <c r="N160" s="9" t="s">
        <v>667</v>
      </c>
      <c r="O160" s="9" t="s">
        <v>668</v>
      </c>
    </row>
    <row r="161" ht="18.0" customHeight="1">
      <c r="A161" s="9" t="s">
        <v>65</v>
      </c>
      <c r="B161" s="9">
        <v>185.0</v>
      </c>
      <c r="C161" s="9" t="s">
        <v>669</v>
      </c>
      <c r="D161" s="9" t="s">
        <v>670</v>
      </c>
      <c r="E161" s="10">
        <v>1.4176113605499268</v>
      </c>
      <c r="F161" s="10">
        <v>0.2613847553730011</v>
      </c>
      <c r="G161" s="10">
        <v>0.10471204188481675</v>
      </c>
      <c r="H161" s="9">
        <v>0.0</v>
      </c>
      <c r="I161" s="9">
        <v>0.0</v>
      </c>
      <c r="J161" s="9">
        <v>1.0</v>
      </c>
      <c r="K161" s="9">
        <v>1.0</v>
      </c>
      <c r="L161" s="9">
        <v>0.0</v>
      </c>
      <c r="M161" s="11">
        <v>1.548465015000147</v>
      </c>
      <c r="N161" s="9" t="s">
        <v>671</v>
      </c>
      <c r="O161" s="9" t="s">
        <v>672</v>
      </c>
    </row>
    <row r="162" ht="18.0" customHeight="1">
      <c r="A162" s="9" t="s">
        <v>65</v>
      </c>
      <c r="B162" s="9">
        <v>182.0</v>
      </c>
      <c r="C162" s="9" t="s">
        <v>453</v>
      </c>
      <c r="D162" s="9" t="s">
        <v>281</v>
      </c>
      <c r="E162" s="10">
        <v>0.05195327475667</v>
      </c>
      <c r="F162" s="10">
        <v>0.9909311046358198</v>
      </c>
      <c r="G162" s="10">
        <v>0.8263525305410123</v>
      </c>
      <c r="H162" s="9">
        <v>0.0</v>
      </c>
      <c r="I162" s="9">
        <v>1.0</v>
      </c>
      <c r="J162" s="9">
        <v>0.0</v>
      </c>
      <c r="K162" s="9">
        <v>0.0</v>
      </c>
      <c r="L162" s="9">
        <v>0.0</v>
      </c>
      <c r="M162" s="11">
        <v>1.0691746780003086</v>
      </c>
      <c r="N162" s="9" t="s">
        <v>673</v>
      </c>
      <c r="O162" s="9" t="s">
        <v>674</v>
      </c>
    </row>
    <row r="163" ht="18.0" customHeight="1">
      <c r="A163" s="9" t="s">
        <v>65</v>
      </c>
      <c r="B163" s="9">
        <v>183.0</v>
      </c>
      <c r="C163" s="9" t="s">
        <v>147</v>
      </c>
      <c r="D163" s="9" t="s">
        <v>675</v>
      </c>
      <c r="E163" s="10">
        <v>1.5444318056106567</v>
      </c>
      <c r="F163" s="10">
        <v>0.44501470029354095</v>
      </c>
      <c r="G163" s="10">
        <v>0.612565445026178</v>
      </c>
      <c r="H163" s="9">
        <v>0.0</v>
      </c>
      <c r="I163" s="9">
        <v>0.0</v>
      </c>
      <c r="J163" s="9">
        <v>1.0</v>
      </c>
      <c r="K163" s="9">
        <v>0.0</v>
      </c>
      <c r="L163" s="9">
        <v>0.0</v>
      </c>
      <c r="M163" s="11">
        <v>2.221366445000058</v>
      </c>
      <c r="N163" s="9" t="s">
        <v>676</v>
      </c>
      <c r="O163" s="9" t="s">
        <v>677</v>
      </c>
    </row>
    <row r="164" ht="18.0" customHeight="1">
      <c r="A164" s="9" t="s">
        <v>65</v>
      </c>
      <c r="B164" s="9">
        <v>163.0</v>
      </c>
      <c r="C164" s="9" t="s">
        <v>666</v>
      </c>
      <c r="D164" s="9" t="s">
        <v>657</v>
      </c>
      <c r="E164" s="10">
        <v>1.564569354057312</v>
      </c>
      <c r="F164" s="10">
        <v>0.2721961885690689</v>
      </c>
      <c r="G164" s="10">
        <v>0.5174520069808027</v>
      </c>
      <c r="H164" s="9">
        <v>0.0</v>
      </c>
      <c r="I164" s="9">
        <v>0.0</v>
      </c>
      <c r="J164" s="9">
        <v>1.0</v>
      </c>
      <c r="K164" s="9">
        <v>1.0</v>
      </c>
      <c r="L164" s="9">
        <v>0.0</v>
      </c>
      <c r="M164" s="11">
        <v>3.3771661040000254</v>
      </c>
      <c r="N164" s="9" t="s">
        <v>678</v>
      </c>
      <c r="O164" s="9" t="s">
        <v>679</v>
      </c>
    </row>
    <row r="165" ht="18.0" customHeight="1">
      <c r="A165" s="9" t="s">
        <v>65</v>
      </c>
      <c r="B165" s="9">
        <v>173.0</v>
      </c>
      <c r="C165" s="14" t="s">
        <v>666</v>
      </c>
      <c r="D165" s="14" t="s">
        <v>599</v>
      </c>
      <c r="E165" s="10">
        <v>0.24189043045043945</v>
      </c>
      <c r="F165" s="10">
        <v>0.8785234950482845</v>
      </c>
      <c r="G165" s="10">
        <v>0.8438045375218151</v>
      </c>
      <c r="H165" s="9">
        <v>1.0</v>
      </c>
      <c r="I165" s="9">
        <v>1.0</v>
      </c>
      <c r="J165" s="9">
        <v>0.0</v>
      </c>
      <c r="K165" s="9">
        <v>0.0</v>
      </c>
      <c r="L165" s="9">
        <v>0.0</v>
      </c>
      <c r="M165" s="11">
        <v>3.034432817999914</v>
      </c>
      <c r="N165" s="9"/>
      <c r="O165" s="9" t="s">
        <v>680</v>
      </c>
    </row>
    <row r="166" ht="18.0" customHeight="1">
      <c r="A166" s="9" t="s">
        <v>65</v>
      </c>
      <c r="B166" s="9">
        <v>146.0</v>
      </c>
      <c r="C166" s="14" t="s">
        <v>681</v>
      </c>
      <c r="D166" s="14" t="s">
        <v>682</v>
      </c>
      <c r="E166" s="10">
        <v>1.3544502258300781</v>
      </c>
      <c r="F166" s="10">
        <v>0.05955502390861511</v>
      </c>
      <c r="G166" s="10">
        <v>0.7923211169284468</v>
      </c>
      <c r="H166" s="9">
        <v>1.0</v>
      </c>
      <c r="I166" s="9">
        <v>0.0</v>
      </c>
      <c r="J166" s="9">
        <v>0.0</v>
      </c>
      <c r="K166" s="9">
        <v>1.0</v>
      </c>
      <c r="L166" s="9">
        <v>0.0</v>
      </c>
      <c r="M166" s="11">
        <v>3.755835477999426</v>
      </c>
      <c r="N166" s="9"/>
      <c r="O166" s="9" t="s">
        <v>683</v>
      </c>
    </row>
    <row r="167" ht="18.0" customHeight="1">
      <c r="A167" s="9" t="s">
        <v>65</v>
      </c>
      <c r="B167" s="9">
        <v>8.0</v>
      </c>
      <c r="C167" s="14" t="s">
        <v>111</v>
      </c>
      <c r="D167" s="14" t="s">
        <v>684</v>
      </c>
      <c r="E167" s="10">
        <v>1.9025365114212036</v>
      </c>
      <c r="F167" s="10">
        <v>0.03742116689682007</v>
      </c>
      <c r="G167" s="10">
        <v>0.7993019197207679</v>
      </c>
      <c r="H167" s="9">
        <v>1.0</v>
      </c>
      <c r="I167" s="9">
        <v>0.0</v>
      </c>
      <c r="J167" s="9">
        <v>1.0</v>
      </c>
      <c r="K167" s="9">
        <v>1.0</v>
      </c>
      <c r="L167" s="9">
        <v>0.0</v>
      </c>
      <c r="M167" s="11">
        <v>5.83428507500048</v>
      </c>
      <c r="N167" s="9"/>
      <c r="O167" s="9" t="s">
        <v>685</v>
      </c>
    </row>
    <row r="168" ht="18.0" customHeight="1">
      <c r="A168" s="9" t="s">
        <v>65</v>
      </c>
      <c r="B168" s="9">
        <v>6.0</v>
      </c>
      <c r="C168" s="14" t="s">
        <v>139</v>
      </c>
      <c r="D168" s="14" t="s">
        <v>169</v>
      </c>
      <c r="E168" s="10">
        <v>0.2896448075771332</v>
      </c>
      <c r="F168" s="10">
        <v>0.8401542156934738</v>
      </c>
      <c r="G168" s="10">
        <v>0.7050610820244329</v>
      </c>
      <c r="H168" s="9">
        <v>1.0</v>
      </c>
      <c r="I168" s="9">
        <v>0.0</v>
      </c>
      <c r="J168" s="9">
        <v>0.0</v>
      </c>
      <c r="K168" s="9">
        <v>0.0</v>
      </c>
      <c r="L168" s="9">
        <v>1.0</v>
      </c>
      <c r="M168" s="11">
        <v>6.147075242000028</v>
      </c>
      <c r="N168" s="9"/>
      <c r="O168" s="9" t="s">
        <v>687</v>
      </c>
    </row>
    <row r="169" ht="18.0" customHeight="1">
      <c r="A169" s="9" t="s">
        <v>60</v>
      </c>
      <c r="B169" s="9">
        <v>106.0</v>
      </c>
      <c r="C169" s="9" t="s">
        <v>689</v>
      </c>
      <c r="D169" s="9" t="s">
        <v>217</v>
      </c>
      <c r="E169" s="10">
        <v>0.009204812347888947</v>
      </c>
      <c r="F169" s="10">
        <v>0.9977224611211568</v>
      </c>
      <c r="G169" s="10">
        <v>0.771551724137931</v>
      </c>
      <c r="H169" s="9">
        <v>0.0</v>
      </c>
      <c r="I169" s="9">
        <v>0.0</v>
      </c>
      <c r="J169" s="9">
        <v>0.0</v>
      </c>
      <c r="K169" s="9">
        <v>0.0</v>
      </c>
      <c r="L169" s="9">
        <v>1.0</v>
      </c>
      <c r="M169" s="11">
        <v>1.949846202000117</v>
      </c>
      <c r="N169" s="9" t="s">
        <v>690</v>
      </c>
      <c r="O169" s="9" t="s">
        <v>691</v>
      </c>
    </row>
    <row r="170" ht="18.0" customHeight="1">
      <c r="A170" s="9" t="s">
        <v>60</v>
      </c>
      <c r="B170" s="9">
        <v>29.0</v>
      </c>
      <c r="C170" s="9" t="s">
        <v>625</v>
      </c>
      <c r="D170" s="9" t="s">
        <v>692</v>
      </c>
      <c r="E170" s="10">
        <v>0.7812324166297913</v>
      </c>
      <c r="F170" s="10">
        <v>0.11507019400596619</v>
      </c>
      <c r="G170" s="10">
        <v>0.8160919540229886</v>
      </c>
      <c r="H170" s="9">
        <v>0.0</v>
      </c>
      <c r="I170" s="9">
        <v>1.0</v>
      </c>
      <c r="J170" s="9">
        <v>1.0</v>
      </c>
      <c r="K170" s="9">
        <v>1.0</v>
      </c>
      <c r="L170" s="9">
        <v>0.0</v>
      </c>
      <c r="M170" s="11">
        <v>4.8348557539993635</v>
      </c>
      <c r="N170" s="9" t="s">
        <v>693</v>
      </c>
      <c r="O170" s="9" t="s">
        <v>694</v>
      </c>
    </row>
    <row r="171" ht="18.0" customHeight="1">
      <c r="A171" s="9" t="s">
        <v>60</v>
      </c>
      <c r="B171" s="9">
        <v>30.0</v>
      </c>
      <c r="C171" s="9" t="s">
        <v>695</v>
      </c>
      <c r="D171" s="9" t="s">
        <v>413</v>
      </c>
      <c r="E171" s="10">
        <v>0.1931341290473938</v>
      </c>
      <c r="F171" s="10">
        <v>0.9628524854779243</v>
      </c>
      <c r="G171" s="10">
        <v>0.6695402298850576</v>
      </c>
      <c r="H171" s="9">
        <v>0.0</v>
      </c>
      <c r="I171" s="9">
        <v>0.0</v>
      </c>
      <c r="J171" s="9">
        <v>1.0</v>
      </c>
      <c r="K171" s="9">
        <v>0.0</v>
      </c>
      <c r="L171" s="9">
        <v>0.0</v>
      </c>
      <c r="M171" s="11">
        <v>5.5082448220000515</v>
      </c>
      <c r="N171" s="9" t="s">
        <v>696</v>
      </c>
      <c r="O171" s="9" t="s">
        <v>697</v>
      </c>
    </row>
    <row r="172" ht="18.0" customHeight="1">
      <c r="A172" s="9" t="s">
        <v>60</v>
      </c>
      <c r="B172" s="9">
        <v>72.0</v>
      </c>
      <c r="C172" s="9" t="s">
        <v>159</v>
      </c>
      <c r="D172" s="9" t="s">
        <v>264</v>
      </c>
      <c r="E172" s="10">
        <v>7.04073318047449E-6</v>
      </c>
      <c r="F172" s="10">
        <v>0.9999994597094997</v>
      </c>
      <c r="G172" s="10">
        <v>0.10057471264367816</v>
      </c>
      <c r="H172" s="9">
        <v>0.0</v>
      </c>
      <c r="I172" s="9">
        <v>0.0</v>
      </c>
      <c r="J172" s="9">
        <v>0.0</v>
      </c>
      <c r="K172" s="9">
        <v>0.0</v>
      </c>
      <c r="L172" s="9">
        <v>1.0</v>
      </c>
      <c r="M172" s="11">
        <v>4.1564162419999775</v>
      </c>
      <c r="N172" s="9" t="s">
        <v>698</v>
      </c>
      <c r="O172" s="9" t="s">
        <v>699</v>
      </c>
    </row>
    <row r="173" ht="18.0" customHeight="1">
      <c r="A173" s="9" t="s">
        <v>60</v>
      </c>
      <c r="B173" s="9">
        <v>86.0</v>
      </c>
      <c r="C173" s="9" t="s">
        <v>115</v>
      </c>
      <c r="D173" s="9" t="s">
        <v>700</v>
      </c>
      <c r="E173" s="10">
        <v>1.3113048076629639</v>
      </c>
      <c r="F173" s="10">
        <v>0.09408211708068848</v>
      </c>
      <c r="G173" s="10">
        <v>0.6091954022988505</v>
      </c>
      <c r="H173" s="9">
        <v>0.0</v>
      </c>
      <c r="I173" s="9">
        <v>0.0</v>
      </c>
      <c r="J173" s="9">
        <v>1.0</v>
      </c>
      <c r="K173" s="9">
        <v>1.0</v>
      </c>
      <c r="L173" s="9">
        <v>0.0</v>
      </c>
      <c r="M173" s="11">
        <v>3.2190992599998935</v>
      </c>
      <c r="N173" s="9" t="s">
        <v>701</v>
      </c>
      <c r="O173" s="9" t="s">
        <v>702</v>
      </c>
    </row>
    <row r="174" ht="18.0" customHeight="1">
      <c r="A174" s="9" t="s">
        <v>60</v>
      </c>
      <c r="B174" s="9">
        <v>81.0</v>
      </c>
      <c r="C174" s="9" t="s">
        <v>703</v>
      </c>
      <c r="D174" s="9" t="s">
        <v>413</v>
      </c>
      <c r="E174" s="10">
        <v>1.1727849245071411</v>
      </c>
      <c r="F174" s="10">
        <v>0.06364214420318604</v>
      </c>
      <c r="G174" s="10">
        <v>0.47844827586206895</v>
      </c>
      <c r="H174" s="9">
        <v>0.0</v>
      </c>
      <c r="I174" s="9">
        <v>0.0</v>
      </c>
      <c r="J174" s="9">
        <v>1.0</v>
      </c>
      <c r="K174" s="9">
        <v>1.0</v>
      </c>
      <c r="L174" s="9">
        <v>0.0</v>
      </c>
      <c r="M174" s="11">
        <v>3.547393646999808</v>
      </c>
      <c r="N174" s="9" t="s">
        <v>704</v>
      </c>
      <c r="O174" s="9" t="s">
        <v>705</v>
      </c>
    </row>
    <row r="175" ht="18.0" customHeight="1">
      <c r="A175" s="9" t="s">
        <v>60</v>
      </c>
      <c r="B175" s="9">
        <v>9.0</v>
      </c>
      <c r="C175" s="9" t="s">
        <v>87</v>
      </c>
      <c r="D175" s="9" t="s">
        <v>692</v>
      </c>
      <c r="E175" s="10">
        <v>0.43617141246795654</v>
      </c>
      <c r="F175" s="10">
        <v>0.8039043098688126</v>
      </c>
      <c r="G175" s="10">
        <v>0.8505747126436782</v>
      </c>
      <c r="H175" s="9">
        <v>0.0</v>
      </c>
      <c r="I175" s="9">
        <v>1.0</v>
      </c>
      <c r="J175" s="9">
        <v>1.0</v>
      </c>
      <c r="K175" s="9">
        <v>1.0</v>
      </c>
      <c r="L175" s="9">
        <v>0.0</v>
      </c>
      <c r="M175" s="11">
        <v>4.780244622999817</v>
      </c>
      <c r="N175" s="9" t="s">
        <v>708</v>
      </c>
      <c r="O175" s="9" t="s">
        <v>709</v>
      </c>
    </row>
    <row r="176" ht="18.0" customHeight="1">
      <c r="A176" s="9" t="s">
        <v>60</v>
      </c>
      <c r="B176" s="9">
        <v>110.0</v>
      </c>
      <c r="C176" s="9" t="s">
        <v>710</v>
      </c>
      <c r="D176" s="9" t="s">
        <v>711</v>
      </c>
      <c r="E176" s="10">
        <v>1.2778356904163957E-4</v>
      </c>
      <c r="F176" s="10">
        <v>0.9999879909646552</v>
      </c>
      <c r="G176" s="10">
        <v>0.8807471264367815</v>
      </c>
      <c r="H176" s="9">
        <v>0.0</v>
      </c>
      <c r="I176" s="9">
        <v>1.0</v>
      </c>
      <c r="J176" s="9">
        <v>0.0</v>
      </c>
      <c r="K176" s="9">
        <v>0.0</v>
      </c>
      <c r="L176" s="9">
        <v>0.0</v>
      </c>
      <c r="M176" s="11">
        <v>1.7538190709992705</v>
      </c>
      <c r="N176" s="9" t="s">
        <v>712</v>
      </c>
      <c r="O176" s="9" t="s">
        <v>713</v>
      </c>
    </row>
    <row r="177" ht="18.0" customHeight="1">
      <c r="A177" s="9" t="s">
        <v>60</v>
      </c>
      <c r="B177" s="9">
        <v>13.0</v>
      </c>
      <c r="C177" s="9" t="s">
        <v>714</v>
      </c>
      <c r="D177" s="9" t="s">
        <v>715</v>
      </c>
      <c r="E177" s="10">
        <v>8.851490565575659E-5</v>
      </c>
      <c r="F177" s="10">
        <v>0.9999931519853362</v>
      </c>
      <c r="G177" s="10">
        <v>0.11637931034482758</v>
      </c>
      <c r="H177" s="9">
        <v>0.0</v>
      </c>
      <c r="I177" s="9">
        <v>0.0</v>
      </c>
      <c r="J177" s="9">
        <v>0.0</v>
      </c>
      <c r="K177" s="9">
        <v>0.0</v>
      </c>
      <c r="L177" s="9">
        <v>1.0</v>
      </c>
      <c r="M177" s="11">
        <v>5.883055854000304</v>
      </c>
      <c r="N177" s="9" t="s">
        <v>717</v>
      </c>
      <c r="O177" s="9" t="s">
        <v>718</v>
      </c>
    </row>
    <row r="178" ht="18.0" customHeight="1">
      <c r="A178" s="9" t="s">
        <v>60</v>
      </c>
      <c r="B178" s="9">
        <v>83.0</v>
      </c>
      <c r="C178" s="9" t="s">
        <v>172</v>
      </c>
      <c r="D178" s="9" t="s">
        <v>700</v>
      </c>
      <c r="E178" s="10">
        <v>0.0062242974527180195</v>
      </c>
      <c r="F178" s="10">
        <v>0.9988408496719785</v>
      </c>
      <c r="G178" s="10">
        <v>0.6235632183908046</v>
      </c>
      <c r="H178" s="9">
        <v>0.0</v>
      </c>
      <c r="I178" s="9">
        <v>0.0</v>
      </c>
      <c r="J178" s="9">
        <v>0.0</v>
      </c>
      <c r="K178" s="9">
        <v>0.0</v>
      </c>
      <c r="L178" s="9">
        <v>1.0</v>
      </c>
      <c r="M178" s="11">
        <v>3.412839900999643</v>
      </c>
      <c r="N178" s="9" t="s">
        <v>719</v>
      </c>
      <c r="O178" s="9" t="s">
        <v>720</v>
      </c>
    </row>
    <row r="179" ht="18.0" customHeight="1">
      <c r="A179" s="9" t="s">
        <v>60</v>
      </c>
      <c r="B179" s="9">
        <v>109.0</v>
      </c>
      <c r="C179" s="9" t="s">
        <v>94</v>
      </c>
      <c r="D179" s="9" t="s">
        <v>453</v>
      </c>
      <c r="E179" s="10">
        <v>6.546271615661681E-4</v>
      </c>
      <c r="F179" s="10">
        <v>0.999889335485932</v>
      </c>
      <c r="G179" s="10">
        <v>0.810344827586207</v>
      </c>
      <c r="H179" s="9">
        <v>0.0</v>
      </c>
      <c r="I179" s="9">
        <v>1.0</v>
      </c>
      <c r="J179" s="9">
        <v>0.0</v>
      </c>
      <c r="K179" s="9">
        <v>0.0</v>
      </c>
      <c r="L179" s="9">
        <v>0.0</v>
      </c>
      <c r="M179" s="11">
        <v>1.005868221000128</v>
      </c>
      <c r="N179" s="9" t="s">
        <v>721</v>
      </c>
      <c r="O179" s="9" t="s">
        <v>722</v>
      </c>
    </row>
    <row r="180" ht="18.0" customHeight="1">
      <c r="A180" s="9" t="s">
        <v>60</v>
      </c>
      <c r="B180" s="9">
        <v>46.0</v>
      </c>
      <c r="C180" s="9" t="s">
        <v>723</v>
      </c>
      <c r="D180" s="9" t="s">
        <v>542</v>
      </c>
      <c r="E180" s="10">
        <v>3.8611344643868506E-4</v>
      </c>
      <c r="F180" s="10">
        <v>0.99995233941263</v>
      </c>
      <c r="G180" s="10">
        <v>0.8218390804597702</v>
      </c>
      <c r="H180" s="9">
        <v>0.0</v>
      </c>
      <c r="I180" s="9">
        <v>1.0</v>
      </c>
      <c r="J180" s="9">
        <v>0.0</v>
      </c>
      <c r="K180" s="9">
        <v>0.0</v>
      </c>
      <c r="L180" s="9">
        <v>0.0</v>
      </c>
      <c r="M180" s="11">
        <v>4.780128276000141</v>
      </c>
      <c r="N180" s="9" t="s">
        <v>724</v>
      </c>
      <c r="O180" s="9" t="s">
        <v>725</v>
      </c>
    </row>
    <row r="181" ht="18.0" customHeight="1">
      <c r="A181" s="9" t="s">
        <v>60</v>
      </c>
      <c r="B181" s="9">
        <v>7.0</v>
      </c>
      <c r="C181" s="9" t="s">
        <v>139</v>
      </c>
      <c r="D181" s="9" t="s">
        <v>169</v>
      </c>
      <c r="E181" s="10">
        <v>0.13467209041118622</v>
      </c>
      <c r="F181" s="10">
        <v>0.9463444575667381</v>
      </c>
      <c r="G181" s="10">
        <v>0.6896551724137931</v>
      </c>
      <c r="H181" s="9">
        <v>0.0</v>
      </c>
      <c r="I181" s="9">
        <v>0.0</v>
      </c>
      <c r="J181" s="9">
        <v>0.0</v>
      </c>
      <c r="K181" s="9">
        <v>1.0</v>
      </c>
      <c r="L181" s="9">
        <v>0.0</v>
      </c>
      <c r="M181" s="11">
        <v>6.434774573000141</v>
      </c>
      <c r="N181" s="9" t="s">
        <v>727</v>
      </c>
      <c r="O181" s="9" t="s">
        <v>728</v>
      </c>
    </row>
    <row r="182" ht="18.0" customHeight="1">
      <c r="A182" s="9" t="s">
        <v>60</v>
      </c>
      <c r="B182" s="9">
        <v>69.0</v>
      </c>
      <c r="C182" s="9" t="s">
        <v>254</v>
      </c>
      <c r="D182" s="9" t="s">
        <v>729</v>
      </c>
      <c r="E182" s="10">
        <v>6.298196967691183E-5</v>
      </c>
      <c r="F182" s="10">
        <v>0.9999952418961584</v>
      </c>
      <c r="G182" s="10">
        <v>0.14655172413793105</v>
      </c>
      <c r="H182" s="9">
        <v>0.0</v>
      </c>
      <c r="I182" s="9">
        <v>0.0</v>
      </c>
      <c r="J182" s="9">
        <v>0.0</v>
      </c>
      <c r="K182" s="9">
        <v>0.0</v>
      </c>
      <c r="L182" s="9">
        <v>1.0</v>
      </c>
      <c r="M182" s="11">
        <v>4.317379315000835</v>
      </c>
      <c r="N182" s="9" t="s">
        <v>730</v>
      </c>
      <c r="O182" s="9" t="s">
        <v>731</v>
      </c>
    </row>
    <row r="183" ht="18.0" customHeight="1">
      <c r="A183" s="9" t="s">
        <v>54</v>
      </c>
      <c r="B183" s="9">
        <v>25.0</v>
      </c>
      <c r="C183" s="9" t="s">
        <v>87</v>
      </c>
      <c r="D183" s="9" t="s">
        <v>563</v>
      </c>
      <c r="E183" s="10">
        <v>8.806663099676371E-4</v>
      </c>
      <c r="F183" s="10">
        <v>0.9998851174241281</v>
      </c>
      <c r="G183" s="10">
        <v>0.14492753623188406</v>
      </c>
      <c r="H183" s="9">
        <v>0.0</v>
      </c>
      <c r="I183" s="9">
        <v>0.0</v>
      </c>
      <c r="J183" s="9">
        <v>0.0</v>
      </c>
      <c r="K183" s="9">
        <v>0.0</v>
      </c>
      <c r="L183" s="9">
        <v>1.0</v>
      </c>
      <c r="M183" s="11">
        <v>2.3302403480001885</v>
      </c>
      <c r="N183" s="9" t="s">
        <v>732</v>
      </c>
      <c r="O183" s="9" t="s">
        <v>733</v>
      </c>
    </row>
    <row r="184" ht="18.0" customHeight="1">
      <c r="A184" s="9" t="s">
        <v>54</v>
      </c>
      <c r="B184" s="9">
        <v>7.0</v>
      </c>
      <c r="C184" s="9" t="s">
        <v>232</v>
      </c>
      <c r="D184" s="9" t="s">
        <v>159</v>
      </c>
      <c r="E184" s="10">
        <v>0.0017942680278792977</v>
      </c>
      <c r="F184" s="10">
        <v>0.9997905329437344</v>
      </c>
      <c r="G184" s="10">
        <v>0.8297101449275361</v>
      </c>
      <c r="H184" s="9">
        <v>0.0</v>
      </c>
      <c r="I184" s="9">
        <v>1.0</v>
      </c>
      <c r="J184" s="9">
        <v>0.0</v>
      </c>
      <c r="K184" s="9">
        <v>0.0</v>
      </c>
      <c r="L184" s="9">
        <v>0.0</v>
      </c>
      <c r="M184" s="11">
        <v>2.2366243940005006</v>
      </c>
      <c r="N184" s="9" t="s">
        <v>734</v>
      </c>
      <c r="O184" s="9" t="s">
        <v>735</v>
      </c>
    </row>
    <row r="185" ht="18.0" customHeight="1">
      <c r="A185" s="9" t="s">
        <v>54</v>
      </c>
      <c r="B185" s="9">
        <v>45.0</v>
      </c>
      <c r="C185" s="9" t="s">
        <v>159</v>
      </c>
      <c r="D185" s="9" t="s">
        <v>86</v>
      </c>
      <c r="E185" s="10">
        <v>4.782134055858478E-6</v>
      </c>
      <c r="F185" s="10">
        <v>0.9999996124965378</v>
      </c>
      <c r="G185" s="10">
        <v>0.2898550724637681</v>
      </c>
      <c r="H185" s="9">
        <v>0.0</v>
      </c>
      <c r="I185" s="9">
        <v>0.0</v>
      </c>
      <c r="J185" s="9">
        <v>0.0</v>
      </c>
      <c r="K185" s="9">
        <v>0.0</v>
      </c>
      <c r="L185" s="9">
        <v>1.0</v>
      </c>
      <c r="M185" s="11">
        <v>1.026421044000017</v>
      </c>
      <c r="N185" s="9" t="s">
        <v>736</v>
      </c>
      <c r="O185" s="9" t="s">
        <v>737</v>
      </c>
    </row>
    <row r="186" ht="18.0" customHeight="1">
      <c r="A186" s="9" t="s">
        <v>54</v>
      </c>
      <c r="B186" s="9">
        <v>15.0</v>
      </c>
      <c r="C186" s="9" t="s">
        <v>309</v>
      </c>
      <c r="D186" s="9" t="s">
        <v>738</v>
      </c>
      <c r="E186" s="10">
        <v>3.0109251383692026E-5</v>
      </c>
      <c r="F186" s="10">
        <v>0.9999975540685568</v>
      </c>
      <c r="G186" s="10">
        <v>0.391304347826087</v>
      </c>
      <c r="H186" s="9">
        <v>0.0</v>
      </c>
      <c r="I186" s="9">
        <v>0.0</v>
      </c>
      <c r="J186" s="9">
        <v>0.0</v>
      </c>
      <c r="K186" s="9">
        <v>0.0</v>
      </c>
      <c r="L186" s="9">
        <v>1.0</v>
      </c>
      <c r="M186" s="11">
        <v>2.968093016000239</v>
      </c>
      <c r="N186" s="9" t="s">
        <v>739</v>
      </c>
      <c r="O186" s="9" t="s">
        <v>740</v>
      </c>
    </row>
    <row r="187" ht="18.0" customHeight="1">
      <c r="A187" s="9" t="s">
        <v>54</v>
      </c>
      <c r="B187" s="9">
        <v>43.0</v>
      </c>
      <c r="C187" s="9" t="s">
        <v>741</v>
      </c>
      <c r="D187" s="9" t="s">
        <v>742</v>
      </c>
      <c r="E187" s="10">
        <v>0.014822620898485184</v>
      </c>
      <c r="F187" s="10">
        <v>0.9958930865395814</v>
      </c>
      <c r="G187" s="10">
        <v>0.7137681159420289</v>
      </c>
      <c r="H187" s="9">
        <v>0.0</v>
      </c>
      <c r="I187" s="9">
        <v>0.0</v>
      </c>
      <c r="J187" s="9">
        <v>1.0</v>
      </c>
      <c r="K187" s="9">
        <v>1.0</v>
      </c>
      <c r="L187" s="9">
        <v>0.0</v>
      </c>
      <c r="M187" s="11">
        <v>1.4879050639992784</v>
      </c>
      <c r="N187" s="9" t="s">
        <v>744</v>
      </c>
      <c r="O187" s="9" t="s">
        <v>745</v>
      </c>
    </row>
    <row r="188" ht="18.0" customHeight="1">
      <c r="A188" s="9" t="s">
        <v>54</v>
      </c>
      <c r="B188" s="9">
        <v>36.0</v>
      </c>
      <c r="C188" s="9" t="s">
        <v>86</v>
      </c>
      <c r="D188" s="9" t="s">
        <v>630</v>
      </c>
      <c r="E188" s="10">
        <v>0.04399038106203079</v>
      </c>
      <c r="F188" s="10">
        <v>0.9850779920816422</v>
      </c>
      <c r="G188" s="10">
        <v>0.782608695652174</v>
      </c>
      <c r="H188" s="9">
        <v>0.0</v>
      </c>
      <c r="I188" s="9">
        <v>0.0</v>
      </c>
      <c r="J188" s="9">
        <v>1.0</v>
      </c>
      <c r="K188" s="9">
        <v>1.0</v>
      </c>
      <c r="L188" s="9">
        <v>0.0</v>
      </c>
      <c r="M188" s="11">
        <v>1.6780618880002294</v>
      </c>
      <c r="N188" s="9" t="s">
        <v>746</v>
      </c>
      <c r="O188" s="9" t="s">
        <v>747</v>
      </c>
    </row>
    <row r="189" ht="18.0" customHeight="1">
      <c r="A189" s="9" t="s">
        <v>54</v>
      </c>
      <c r="B189" s="9">
        <v>6.0</v>
      </c>
      <c r="C189" s="9" t="s">
        <v>139</v>
      </c>
      <c r="D189" s="9" t="s">
        <v>169</v>
      </c>
      <c r="E189" s="10">
        <v>0.04277188330888748</v>
      </c>
      <c r="F189" s="10">
        <v>0.9890288095921278</v>
      </c>
      <c r="G189" s="10">
        <v>0.8188405797101449</v>
      </c>
      <c r="H189" s="9">
        <v>0.0</v>
      </c>
      <c r="I189" s="9">
        <v>1.0</v>
      </c>
      <c r="J189" s="9">
        <v>1.0</v>
      </c>
      <c r="K189" s="9">
        <v>1.0</v>
      </c>
      <c r="L189" s="9">
        <v>0.0</v>
      </c>
      <c r="M189" s="11">
        <v>2.494340702000045</v>
      </c>
      <c r="N189" s="9" t="s">
        <v>750</v>
      </c>
      <c r="O189" s="9" t="s">
        <v>751</v>
      </c>
    </row>
    <row r="190" ht="18.0" customHeight="1">
      <c r="A190" s="9" t="s">
        <v>54</v>
      </c>
      <c r="B190" s="9">
        <v>10.0</v>
      </c>
      <c r="C190" s="9" t="s">
        <v>752</v>
      </c>
      <c r="D190" s="9" t="s">
        <v>753</v>
      </c>
      <c r="E190" s="10">
        <v>0.03259190544486046</v>
      </c>
      <c r="F190" s="10">
        <v>0.9924464190844446</v>
      </c>
      <c r="G190" s="10">
        <v>0.8079710144927535</v>
      </c>
      <c r="H190" s="9">
        <v>0.0</v>
      </c>
      <c r="I190" s="9">
        <v>0.0</v>
      </c>
      <c r="J190" s="9">
        <v>1.0</v>
      </c>
      <c r="K190" s="9">
        <v>1.0</v>
      </c>
      <c r="L190" s="9">
        <v>0.0</v>
      </c>
      <c r="M190" s="11">
        <v>3.298620487000335</v>
      </c>
      <c r="N190" s="9" t="s">
        <v>755</v>
      </c>
      <c r="O190" s="9" t="s">
        <v>756</v>
      </c>
    </row>
    <row r="191" ht="18.0" customHeight="1">
      <c r="A191" s="9" t="s">
        <v>54</v>
      </c>
      <c r="B191" s="9">
        <v>37.0</v>
      </c>
      <c r="C191" s="9" t="s">
        <v>159</v>
      </c>
      <c r="D191" s="9" t="s">
        <v>757</v>
      </c>
      <c r="E191" s="10">
        <v>2.0326406229287386E-4</v>
      </c>
      <c r="F191" s="10">
        <v>0.9999758030835437</v>
      </c>
      <c r="G191" s="10">
        <v>0.6666666666666666</v>
      </c>
      <c r="H191" s="9">
        <v>0.0</v>
      </c>
      <c r="I191" s="9">
        <v>0.0</v>
      </c>
      <c r="J191" s="9">
        <v>0.0</v>
      </c>
      <c r="K191" s="9">
        <v>0.0</v>
      </c>
      <c r="L191" s="9">
        <v>1.0</v>
      </c>
      <c r="M191" s="11">
        <v>1.8785855890000676</v>
      </c>
      <c r="N191" s="9" t="s">
        <v>759</v>
      </c>
      <c r="O191" s="9" t="s">
        <v>760</v>
      </c>
    </row>
    <row r="192" ht="18.0" customHeight="1">
      <c r="A192" s="9" t="s">
        <v>54</v>
      </c>
      <c r="B192" s="9">
        <v>38.0</v>
      </c>
      <c r="C192" s="9" t="s">
        <v>761</v>
      </c>
      <c r="D192" s="9" t="s">
        <v>762</v>
      </c>
      <c r="E192" s="10">
        <v>1.0439709149068221E-4</v>
      </c>
      <c r="F192" s="10">
        <v>0.9999907894030002</v>
      </c>
      <c r="G192" s="10">
        <v>0.39855072463768115</v>
      </c>
      <c r="H192" s="9">
        <v>0.0</v>
      </c>
      <c r="I192" s="9">
        <v>0.0</v>
      </c>
      <c r="J192" s="9">
        <v>0.0</v>
      </c>
      <c r="K192" s="9">
        <v>0.0</v>
      </c>
      <c r="L192" s="9">
        <v>1.0</v>
      </c>
      <c r="M192" s="11">
        <v>1.4855300839999472</v>
      </c>
      <c r="N192" s="9" t="s">
        <v>764</v>
      </c>
      <c r="O192" s="9" t="s">
        <v>765</v>
      </c>
    </row>
    <row r="193" ht="18.0" customHeight="1">
      <c r="A193" s="9" t="s">
        <v>54</v>
      </c>
      <c r="B193" s="9">
        <v>11.0</v>
      </c>
      <c r="C193" s="9" t="s">
        <v>338</v>
      </c>
      <c r="D193" s="9" t="s">
        <v>767</v>
      </c>
      <c r="E193" s="10">
        <v>3.351912018842995E-4</v>
      </c>
      <c r="F193" s="10">
        <v>0.999963249015309</v>
      </c>
      <c r="G193" s="10">
        <v>0.8514492753623188</v>
      </c>
      <c r="H193" s="9">
        <v>0.0</v>
      </c>
      <c r="I193" s="9">
        <v>1.0</v>
      </c>
      <c r="J193" s="9">
        <v>0.0</v>
      </c>
      <c r="K193" s="9">
        <v>0.0</v>
      </c>
      <c r="L193" s="9">
        <v>0.0</v>
      </c>
      <c r="M193" s="11">
        <v>2.839543926999795</v>
      </c>
      <c r="N193" s="9" t="s">
        <v>768</v>
      </c>
      <c r="O193" s="9" t="s">
        <v>769</v>
      </c>
    </row>
    <row r="194" ht="18.0" customHeight="1">
      <c r="A194" s="9" t="s">
        <v>54</v>
      </c>
      <c r="B194" s="9">
        <v>35.0</v>
      </c>
      <c r="C194" s="9" t="s">
        <v>169</v>
      </c>
      <c r="D194" s="9" t="s">
        <v>770</v>
      </c>
      <c r="E194" s="10">
        <v>1.080779384210473E-5</v>
      </c>
      <c r="F194" s="10">
        <v>0.9999990887760646</v>
      </c>
      <c r="G194" s="10">
        <v>0.8297101449275363</v>
      </c>
      <c r="H194" s="9">
        <v>0.0</v>
      </c>
      <c r="I194" s="9">
        <v>1.0</v>
      </c>
      <c r="J194" s="9">
        <v>0.0</v>
      </c>
      <c r="K194" s="9">
        <v>0.0</v>
      </c>
      <c r="L194" s="9">
        <v>0.0</v>
      </c>
      <c r="M194" s="11">
        <v>1.4172998049998569</v>
      </c>
      <c r="N194" s="9" t="s">
        <v>772</v>
      </c>
      <c r="O194" s="9" t="s">
        <v>773</v>
      </c>
    </row>
    <row r="195" ht="18.0" customHeight="1">
      <c r="A195" s="9" t="s">
        <v>54</v>
      </c>
      <c r="B195" s="9">
        <v>8.0</v>
      </c>
      <c r="C195" s="9" t="s">
        <v>87</v>
      </c>
      <c r="D195" s="9" t="s">
        <v>163</v>
      </c>
      <c r="E195" s="10">
        <v>0.5453059673309326</v>
      </c>
      <c r="F195" s="10">
        <v>0.5534537434577942</v>
      </c>
      <c r="G195" s="10">
        <v>0.8876811594202897</v>
      </c>
      <c r="H195" s="9">
        <v>0.0</v>
      </c>
      <c r="I195" s="9">
        <v>1.0</v>
      </c>
      <c r="J195" s="9">
        <v>1.0</v>
      </c>
      <c r="K195" s="9">
        <v>1.0</v>
      </c>
      <c r="L195" s="9">
        <v>0.0</v>
      </c>
      <c r="M195" s="11">
        <v>2.1754071220002515</v>
      </c>
      <c r="N195" s="9" t="s">
        <v>774</v>
      </c>
      <c r="O195" s="9" t="s">
        <v>775</v>
      </c>
    </row>
    <row r="196" ht="18.0" customHeight="1">
      <c r="A196" s="9" t="s">
        <v>66</v>
      </c>
      <c r="B196" s="9">
        <v>12.0</v>
      </c>
      <c r="C196" s="9" t="s">
        <v>591</v>
      </c>
      <c r="D196" s="9" t="s">
        <v>776</v>
      </c>
      <c r="E196" s="10">
        <v>0.00733933225274086</v>
      </c>
      <c r="F196" s="10">
        <v>0.9985450168605894</v>
      </c>
      <c r="G196" s="10">
        <v>0.7450980392156863</v>
      </c>
      <c r="H196" s="9">
        <v>0.0</v>
      </c>
      <c r="I196" s="9">
        <v>1.0</v>
      </c>
      <c r="J196" s="9">
        <v>0.0</v>
      </c>
      <c r="K196" s="9">
        <v>0.0</v>
      </c>
      <c r="L196" s="9">
        <v>0.0</v>
      </c>
      <c r="M196" s="11">
        <v>1.4518182010006058</v>
      </c>
      <c r="N196" s="9" t="s">
        <v>777</v>
      </c>
      <c r="O196" s="9" t="s">
        <v>778</v>
      </c>
    </row>
    <row r="197" ht="18.0" customHeight="1">
      <c r="A197" s="9" t="s">
        <v>66</v>
      </c>
      <c r="B197" s="9">
        <v>30.0</v>
      </c>
      <c r="C197" s="9" t="s">
        <v>779</v>
      </c>
      <c r="D197" s="9" t="s">
        <v>194</v>
      </c>
      <c r="E197" s="10">
        <v>0.0011567873880267143</v>
      </c>
      <c r="F197" s="10">
        <v>0.9998218889595591</v>
      </c>
      <c r="G197" s="10">
        <v>0.7205882352941176</v>
      </c>
      <c r="H197" s="9">
        <v>0.0</v>
      </c>
      <c r="I197" s="9">
        <v>1.0</v>
      </c>
      <c r="J197" s="9">
        <v>0.0</v>
      </c>
      <c r="K197" s="9">
        <v>0.0</v>
      </c>
      <c r="L197" s="9">
        <v>1.0</v>
      </c>
      <c r="M197" s="11">
        <v>3.5627565619997767</v>
      </c>
      <c r="N197" s="9" t="s">
        <v>780</v>
      </c>
      <c r="O197" s="9" t="s">
        <v>781</v>
      </c>
    </row>
    <row r="198" ht="18.0" customHeight="1">
      <c r="A198" s="9" t="s">
        <v>66</v>
      </c>
      <c r="B198" s="9">
        <v>16.0</v>
      </c>
      <c r="C198" s="9" t="s">
        <v>710</v>
      </c>
      <c r="D198" s="9" t="s">
        <v>782</v>
      </c>
      <c r="E198" s="10">
        <v>1.447266695322469E-4</v>
      </c>
      <c r="F198" s="10">
        <v>0.9999860168338728</v>
      </c>
      <c r="G198" s="10">
        <v>0.22058823529411767</v>
      </c>
      <c r="H198" s="9">
        <v>0.0</v>
      </c>
      <c r="I198" s="9">
        <v>0.0</v>
      </c>
      <c r="J198" s="9">
        <v>0.0</v>
      </c>
      <c r="K198" s="9">
        <v>0.0</v>
      </c>
      <c r="L198" s="9">
        <v>1.0</v>
      </c>
      <c r="M198" s="11">
        <v>2.438149094000437</v>
      </c>
      <c r="N198" s="9" t="s">
        <v>783</v>
      </c>
      <c r="O198" s="9" t="s">
        <v>784</v>
      </c>
    </row>
    <row r="199" ht="18.0" customHeight="1">
      <c r="A199" s="9" t="s">
        <v>66</v>
      </c>
      <c r="B199" s="9">
        <v>32.0</v>
      </c>
      <c r="C199" s="9" t="s">
        <v>785</v>
      </c>
      <c r="D199" s="9" t="s">
        <v>261</v>
      </c>
      <c r="E199" s="10">
        <v>0.9490073323249817</v>
      </c>
      <c r="F199" s="10">
        <v>0.10685640573501587</v>
      </c>
      <c r="G199" s="10">
        <v>0.6176470588235294</v>
      </c>
      <c r="H199" s="9">
        <v>0.0</v>
      </c>
      <c r="I199" s="9">
        <v>0.0</v>
      </c>
      <c r="J199" s="9">
        <v>1.0</v>
      </c>
      <c r="K199" s="9">
        <v>1.0</v>
      </c>
      <c r="L199" s="9">
        <v>0.0</v>
      </c>
      <c r="M199" s="11">
        <v>1.405784949000008</v>
      </c>
      <c r="N199" s="9" t="s">
        <v>787</v>
      </c>
      <c r="O199" s="9" t="s">
        <v>788</v>
      </c>
    </row>
    <row r="200" ht="18.0" customHeight="1">
      <c r="A200" s="9" t="s">
        <v>66</v>
      </c>
      <c r="B200" s="9">
        <v>28.0</v>
      </c>
      <c r="C200" s="9" t="s">
        <v>789</v>
      </c>
      <c r="D200" s="9" t="s">
        <v>217</v>
      </c>
      <c r="E200" s="10">
        <v>2.7904502348974347E-4</v>
      </c>
      <c r="F200" s="10">
        <v>0.9999686273322368</v>
      </c>
      <c r="G200" s="10">
        <v>0.7401960784313726</v>
      </c>
      <c r="H200" s="9">
        <v>0.0</v>
      </c>
      <c r="I200" s="9">
        <v>1.0</v>
      </c>
      <c r="J200" s="9">
        <v>0.0</v>
      </c>
      <c r="K200" s="9">
        <v>0.0</v>
      </c>
      <c r="L200" s="9">
        <v>1.0</v>
      </c>
      <c r="M200" s="11">
        <v>1.787462525000592</v>
      </c>
      <c r="N200" s="9" t="s">
        <v>790</v>
      </c>
      <c r="O200" s="9" t="s">
        <v>791</v>
      </c>
    </row>
    <row r="201" ht="18.0" customHeight="1">
      <c r="A201" s="9" t="s">
        <v>66</v>
      </c>
      <c r="B201" s="9">
        <v>20.0</v>
      </c>
      <c r="C201" s="9" t="s">
        <v>94</v>
      </c>
      <c r="D201" s="9" t="s">
        <v>785</v>
      </c>
      <c r="E201" s="10">
        <v>0.2744290828704834</v>
      </c>
      <c r="F201" s="10">
        <v>0.8478021770715714</v>
      </c>
      <c r="G201" s="10">
        <v>0.8970588235294118</v>
      </c>
      <c r="H201" s="9">
        <v>0.0</v>
      </c>
      <c r="I201" s="9">
        <v>1.0</v>
      </c>
      <c r="J201" s="9">
        <v>0.0</v>
      </c>
      <c r="K201" s="9">
        <v>0.0</v>
      </c>
      <c r="L201" s="9">
        <v>0.0</v>
      </c>
      <c r="M201" s="11">
        <v>2.5054176630001166</v>
      </c>
      <c r="N201" s="9" t="s">
        <v>792</v>
      </c>
      <c r="O201" s="9" t="s">
        <v>793</v>
      </c>
    </row>
    <row r="202" ht="18.0" customHeight="1">
      <c r="A202" s="9" t="s">
        <v>66</v>
      </c>
      <c r="B202" s="9">
        <v>33.0</v>
      </c>
      <c r="C202" s="9" t="s">
        <v>794</v>
      </c>
      <c r="D202" s="9" t="s">
        <v>180</v>
      </c>
      <c r="E202" s="10">
        <v>0.6929513216018677</v>
      </c>
      <c r="F202" s="10">
        <v>0.046837180852890015</v>
      </c>
      <c r="G202" s="10">
        <v>0.5490196078431372</v>
      </c>
      <c r="H202" s="9">
        <v>0.0</v>
      </c>
      <c r="I202" s="9">
        <v>0.0</v>
      </c>
      <c r="J202" s="9">
        <v>1.0</v>
      </c>
      <c r="K202" s="9">
        <v>1.0</v>
      </c>
      <c r="L202" s="9">
        <v>0.0</v>
      </c>
      <c r="M202" s="11">
        <v>1.1400097739997364</v>
      </c>
      <c r="N202" s="9" t="s">
        <v>795</v>
      </c>
      <c r="O202" s="9" t="s">
        <v>796</v>
      </c>
    </row>
    <row r="203" ht="18.0" customHeight="1">
      <c r="A203" s="9" t="s">
        <v>66</v>
      </c>
      <c r="B203" s="9">
        <v>8.0</v>
      </c>
      <c r="C203" s="9" t="s">
        <v>798</v>
      </c>
      <c r="D203" s="9" t="s">
        <v>587</v>
      </c>
      <c r="E203" s="10">
        <v>1.5939441919326782</v>
      </c>
      <c r="F203" s="10">
        <v>0.06466920673847198</v>
      </c>
      <c r="G203" s="10">
        <v>0.16666666666666666</v>
      </c>
      <c r="H203" s="9">
        <v>0.0</v>
      </c>
      <c r="I203" s="9">
        <v>0.0</v>
      </c>
      <c r="J203" s="9">
        <v>1.0</v>
      </c>
      <c r="K203" s="9">
        <v>1.0</v>
      </c>
      <c r="L203" s="9">
        <v>0.0</v>
      </c>
      <c r="M203" s="11">
        <v>2.9422188690004987</v>
      </c>
      <c r="N203" s="9" t="s">
        <v>799</v>
      </c>
      <c r="O203" s="9" t="s">
        <v>800</v>
      </c>
    </row>
    <row r="204" ht="18.0" customHeight="1">
      <c r="A204" s="9" t="s">
        <v>66</v>
      </c>
      <c r="B204" s="9">
        <v>23.0</v>
      </c>
      <c r="C204" s="9" t="s">
        <v>95</v>
      </c>
      <c r="D204" s="9" t="s">
        <v>710</v>
      </c>
      <c r="E204" s="10">
        <v>1.020012132357806E-4</v>
      </c>
      <c r="F204" s="10">
        <v>0.999987694146057</v>
      </c>
      <c r="G204" s="10">
        <v>0.4950980392156863</v>
      </c>
      <c r="H204" s="9">
        <v>0.0</v>
      </c>
      <c r="I204" s="9">
        <v>0.0</v>
      </c>
      <c r="J204" s="9">
        <v>0.0</v>
      </c>
      <c r="K204" s="9">
        <v>0.0</v>
      </c>
      <c r="L204" s="9">
        <v>1.0</v>
      </c>
      <c r="M204" s="11">
        <v>1.7218431870005588</v>
      </c>
      <c r="N204" s="9" t="s">
        <v>801</v>
      </c>
      <c r="O204" s="9" t="s">
        <v>802</v>
      </c>
    </row>
    <row r="205" ht="18.0" customHeight="1">
      <c r="A205" s="9" t="s">
        <v>66</v>
      </c>
      <c r="B205" s="9">
        <v>22.0</v>
      </c>
      <c r="C205" s="14" t="s">
        <v>803</v>
      </c>
      <c r="D205" s="14" t="s">
        <v>327</v>
      </c>
      <c r="E205" s="10">
        <v>0.7748032808303833</v>
      </c>
      <c r="F205" s="10">
        <v>0.08438101410865784</v>
      </c>
      <c r="G205" s="10">
        <v>0.37745098039215685</v>
      </c>
      <c r="H205" s="9">
        <v>1.0</v>
      </c>
      <c r="I205" s="9">
        <v>0.0</v>
      </c>
      <c r="J205" s="9">
        <v>1.0</v>
      </c>
      <c r="K205" s="9">
        <v>1.0</v>
      </c>
      <c r="L205" s="9">
        <v>0.0</v>
      </c>
      <c r="M205" s="11">
        <v>1.8596900399998049</v>
      </c>
      <c r="N205" s="9"/>
      <c r="O205" s="9" t="s">
        <v>804</v>
      </c>
    </row>
    <row r="206" ht="18.0" customHeight="1">
      <c r="A206" s="9" t="s">
        <v>66</v>
      </c>
      <c r="B206" s="9">
        <v>14.0</v>
      </c>
      <c r="C206" s="14" t="s">
        <v>95</v>
      </c>
      <c r="D206" s="14" t="s">
        <v>94</v>
      </c>
      <c r="E206" s="10">
        <v>1.1298497915267944</v>
      </c>
      <c r="F206" s="10">
        <v>0.3213545233011246</v>
      </c>
      <c r="G206" s="10">
        <v>0.8627450980392156</v>
      </c>
      <c r="H206" s="9">
        <v>1.0</v>
      </c>
      <c r="I206" s="9">
        <v>1.0</v>
      </c>
      <c r="J206" s="9">
        <v>1.0</v>
      </c>
      <c r="K206" s="9">
        <v>1.0</v>
      </c>
      <c r="L206" s="9">
        <v>0.0</v>
      </c>
      <c r="M206" s="11">
        <v>2.3094399530000373</v>
      </c>
      <c r="N206" s="9"/>
      <c r="O206" s="9" t="s">
        <v>805</v>
      </c>
    </row>
    <row r="207" ht="18.0" customHeight="1">
      <c r="A207" s="9" t="s">
        <v>66</v>
      </c>
      <c r="B207" s="9">
        <v>10.0</v>
      </c>
      <c r="C207" s="14" t="s">
        <v>263</v>
      </c>
      <c r="D207" s="14" t="s">
        <v>806</v>
      </c>
      <c r="E207" s="10">
        <v>0.05213136970996857</v>
      </c>
      <c r="F207" s="10">
        <v>0.9827665807679296</v>
      </c>
      <c r="G207" s="10">
        <v>0.5637254901960785</v>
      </c>
      <c r="H207" s="9">
        <v>1.0</v>
      </c>
      <c r="I207" s="9">
        <v>0.0</v>
      </c>
      <c r="J207" s="9">
        <v>0.0</v>
      </c>
      <c r="K207" s="9">
        <v>0.0</v>
      </c>
      <c r="L207" s="9">
        <v>1.0</v>
      </c>
      <c r="M207" s="11">
        <v>2.818350358000316</v>
      </c>
      <c r="N207" s="9"/>
      <c r="O207" s="9" t="s">
        <v>807</v>
      </c>
    </row>
    <row r="208" ht="18.0" customHeight="1">
      <c r="A208" s="9" t="s">
        <v>51</v>
      </c>
      <c r="B208" s="9">
        <v>7.0</v>
      </c>
      <c r="C208" s="9" t="s">
        <v>139</v>
      </c>
      <c r="D208" s="9" t="s">
        <v>139</v>
      </c>
      <c r="E208" s="10">
        <v>0.006073536351323128</v>
      </c>
      <c r="F208" s="10">
        <v>0.9990155998093542</v>
      </c>
      <c r="G208" s="10">
        <v>0.13888888888888887</v>
      </c>
      <c r="H208" s="9">
        <v>0.0</v>
      </c>
      <c r="I208" s="9">
        <v>0.0</v>
      </c>
      <c r="J208" s="9">
        <v>0.0</v>
      </c>
      <c r="K208" s="9">
        <v>0.0</v>
      </c>
      <c r="L208" s="9">
        <v>1.0</v>
      </c>
      <c r="M208" s="11">
        <v>1.2802945599996747</v>
      </c>
      <c r="N208" s="9" t="s">
        <v>808</v>
      </c>
      <c r="O208" s="9" t="s">
        <v>809</v>
      </c>
    </row>
    <row r="209" ht="18.0" customHeight="1">
      <c r="A209" s="9" t="s">
        <v>51</v>
      </c>
      <c r="B209" s="9">
        <v>4.0</v>
      </c>
      <c r="C209" s="9" t="s">
        <v>83</v>
      </c>
      <c r="D209" s="9" t="s">
        <v>810</v>
      </c>
      <c r="E209" s="10">
        <v>1.0392363765276968E-4</v>
      </c>
      <c r="F209" s="10">
        <v>0.999992028226302</v>
      </c>
      <c r="G209" s="10">
        <v>0.5</v>
      </c>
      <c r="H209" s="9">
        <v>0.0</v>
      </c>
      <c r="I209" s="9">
        <v>0.0</v>
      </c>
      <c r="J209" s="9">
        <v>0.0</v>
      </c>
      <c r="K209" s="9">
        <v>0.0</v>
      </c>
      <c r="L209" s="9">
        <v>1.0</v>
      </c>
      <c r="M209" s="11">
        <v>2.1882429699999193</v>
      </c>
      <c r="N209" s="9" t="s">
        <v>812</v>
      </c>
      <c r="O209" s="9" t="s">
        <v>813</v>
      </c>
    </row>
    <row r="210" ht="18.0" customHeight="1">
      <c r="A210" s="9" t="s">
        <v>51</v>
      </c>
      <c r="B210" s="9">
        <v>5.0</v>
      </c>
      <c r="C210" s="9" t="s">
        <v>814</v>
      </c>
      <c r="D210" s="9" t="s">
        <v>815</v>
      </c>
      <c r="E210" s="10">
        <v>4.429569817148149E-4</v>
      </c>
      <c r="F210" s="10">
        <v>0.999947889466057</v>
      </c>
      <c r="G210" s="10">
        <v>0.3333333333333333</v>
      </c>
      <c r="H210" s="9">
        <v>0.0</v>
      </c>
      <c r="I210" s="9">
        <v>0.0</v>
      </c>
      <c r="J210" s="9">
        <v>0.0</v>
      </c>
      <c r="K210" s="9">
        <v>0.0</v>
      </c>
      <c r="L210" s="9">
        <v>1.0</v>
      </c>
      <c r="M210" s="11">
        <v>1.4070617929992295</v>
      </c>
      <c r="N210" s="9" t="s">
        <v>816</v>
      </c>
      <c r="O210" s="9" t="s">
        <v>817</v>
      </c>
    </row>
    <row r="211" ht="18.0" customHeight="1">
      <c r="A211" s="9" t="s">
        <v>51</v>
      </c>
      <c r="B211" s="9">
        <v>10.0</v>
      </c>
      <c r="C211" s="9" t="s">
        <v>818</v>
      </c>
      <c r="D211" s="9" t="s">
        <v>819</v>
      </c>
      <c r="E211" s="10">
        <v>0.2206404209136963</v>
      </c>
      <c r="F211" s="10">
        <v>0.9242889508605003</v>
      </c>
      <c r="G211" s="10">
        <v>0.7222222222222223</v>
      </c>
      <c r="H211" s="9">
        <v>0.0</v>
      </c>
      <c r="I211" s="9">
        <v>1.0</v>
      </c>
      <c r="J211" s="9">
        <v>1.0</v>
      </c>
      <c r="K211" s="9">
        <v>1.0</v>
      </c>
      <c r="L211" s="9">
        <v>0.0</v>
      </c>
      <c r="M211" s="11">
        <v>1.2771429150006952</v>
      </c>
      <c r="N211" s="9" t="s">
        <v>822</v>
      </c>
      <c r="O211" s="9" t="s">
        <v>823</v>
      </c>
    </row>
    <row r="212" ht="18.0" customHeight="1">
      <c r="A212" s="9" t="s">
        <v>51</v>
      </c>
      <c r="B212" s="9">
        <v>12.0</v>
      </c>
      <c r="C212" s="13" t="s">
        <v>245</v>
      </c>
      <c r="D212" s="13" t="s">
        <v>824</v>
      </c>
      <c r="E212" s="10">
        <v>0.01047629863023758</v>
      </c>
      <c r="F212" s="10">
        <v>0.9972601084737107</v>
      </c>
      <c r="G212" s="10">
        <v>0.6388888888888888</v>
      </c>
      <c r="H212" s="9">
        <v>0.0</v>
      </c>
      <c r="I212" s="9">
        <v>0.0</v>
      </c>
      <c r="J212" s="9">
        <v>1.0</v>
      </c>
      <c r="K212" s="9">
        <v>1.0</v>
      </c>
      <c r="L212" s="9">
        <v>1.0</v>
      </c>
      <c r="M212" s="11">
        <v>0.8191536719996293</v>
      </c>
      <c r="N212" s="9" t="s">
        <v>827</v>
      </c>
      <c r="O212" s="9" t="s">
        <v>828</v>
      </c>
    </row>
    <row r="213" ht="18.0" customHeight="1">
      <c r="A213" s="9" t="s">
        <v>51</v>
      </c>
      <c r="B213" s="9">
        <v>11.0</v>
      </c>
      <c r="C213" s="14" t="s">
        <v>359</v>
      </c>
      <c r="D213" s="14" t="s">
        <v>829</v>
      </c>
      <c r="E213" s="10">
        <v>0.025779176503419876</v>
      </c>
      <c r="F213" s="10">
        <v>0.9933409832883626</v>
      </c>
      <c r="G213" s="10">
        <v>0.8611111111111112</v>
      </c>
      <c r="H213" s="9">
        <v>1.0</v>
      </c>
      <c r="I213" s="9">
        <v>1.0</v>
      </c>
      <c r="J213" s="9">
        <v>1.0</v>
      </c>
      <c r="K213" s="9">
        <v>1.0</v>
      </c>
      <c r="L213" s="9">
        <v>0.0</v>
      </c>
      <c r="M213" s="11">
        <v>1.2109765760005757</v>
      </c>
      <c r="N213" s="9"/>
      <c r="O213" s="9" t="s">
        <v>830</v>
      </c>
    </row>
    <row r="214" ht="18.0" customHeight="1">
      <c r="A214" s="9" t="s">
        <v>51</v>
      </c>
      <c r="B214" s="9">
        <v>9.0</v>
      </c>
      <c r="C214" s="14" t="s">
        <v>163</v>
      </c>
      <c r="D214" s="14" t="s">
        <v>94</v>
      </c>
      <c r="E214" s="10">
        <v>0.9722856879234314</v>
      </c>
      <c r="F214" s="10">
        <v>0.47950761020183563</v>
      </c>
      <c r="G214" s="10">
        <v>0.75</v>
      </c>
      <c r="H214" s="9">
        <v>1.0</v>
      </c>
      <c r="I214" s="9">
        <v>1.0</v>
      </c>
      <c r="J214" s="9">
        <v>1.0</v>
      </c>
      <c r="K214" s="9">
        <v>1.0</v>
      </c>
      <c r="L214" s="9">
        <v>0.0</v>
      </c>
      <c r="M214" s="11">
        <v>2.8605352700005824</v>
      </c>
      <c r="N214" s="9"/>
      <c r="O214" s="9" t="s">
        <v>832</v>
      </c>
    </row>
    <row r="215" ht="18.0" customHeight="1">
      <c r="A215" s="9" t="s">
        <v>51</v>
      </c>
      <c r="B215" s="9">
        <v>6.0</v>
      </c>
      <c r="C215" s="14" t="s">
        <v>359</v>
      </c>
      <c r="D215" s="14" t="s">
        <v>312</v>
      </c>
      <c r="E215" s="10">
        <v>6.947941146790981E-4</v>
      </c>
      <c r="F215" s="10">
        <v>0.9998753730687895</v>
      </c>
      <c r="G215" s="10">
        <v>0.6805555555555557</v>
      </c>
      <c r="H215" s="9">
        <v>1.0</v>
      </c>
      <c r="I215" s="9">
        <v>1.0</v>
      </c>
      <c r="J215" s="9">
        <v>0.0</v>
      </c>
      <c r="K215" s="9">
        <v>0.0</v>
      </c>
      <c r="L215" s="9">
        <v>1.0</v>
      </c>
      <c r="M215" s="11">
        <v>3.055536306999784</v>
      </c>
      <c r="N215" s="9"/>
      <c r="O215" s="9" t="s">
        <v>833</v>
      </c>
    </row>
    <row r="216" ht="18.0" customHeight="1">
      <c r="A216" s="9" t="s">
        <v>51</v>
      </c>
      <c r="B216" s="9">
        <v>3.0</v>
      </c>
      <c r="C216" s="14" t="s">
        <v>231</v>
      </c>
      <c r="D216" s="14" t="s">
        <v>445</v>
      </c>
      <c r="E216" s="10">
        <v>0.33674201369285583</v>
      </c>
      <c r="F216" s="10">
        <v>0.8138073831796646</v>
      </c>
      <c r="G216" s="10">
        <v>0.8055555555555555</v>
      </c>
      <c r="H216" s="9">
        <v>1.0</v>
      </c>
      <c r="I216" s="9">
        <v>1.0</v>
      </c>
      <c r="J216" s="9">
        <v>1.0</v>
      </c>
      <c r="K216" s="9">
        <v>1.0</v>
      </c>
      <c r="L216" s="9">
        <v>0.0</v>
      </c>
      <c r="M216" s="11">
        <v>3.42384194799979</v>
      </c>
      <c r="N216" s="9"/>
      <c r="O216" s="9" t="s">
        <v>834</v>
      </c>
    </row>
    <row r="217" ht="18.0" customHeight="1">
      <c r="A217" s="9" t="s">
        <v>57</v>
      </c>
      <c r="B217" s="9">
        <v>17.0</v>
      </c>
      <c r="C217" s="9" t="s">
        <v>453</v>
      </c>
      <c r="D217" s="9" t="s">
        <v>835</v>
      </c>
      <c r="E217" s="10">
        <v>0.05042414739727974</v>
      </c>
      <c r="F217" s="10">
        <v>0.9829746019095182</v>
      </c>
      <c r="G217" s="10">
        <v>0.9166666666666666</v>
      </c>
      <c r="H217" s="9">
        <v>0.0</v>
      </c>
      <c r="I217" s="9">
        <v>1.0</v>
      </c>
      <c r="J217" s="9">
        <v>1.0</v>
      </c>
      <c r="K217" s="9">
        <v>1.0</v>
      </c>
      <c r="L217" s="9">
        <v>0.0</v>
      </c>
      <c r="M217" s="11">
        <v>11.16785598899969</v>
      </c>
      <c r="N217" s="9" t="s">
        <v>836</v>
      </c>
      <c r="O217" s="9" t="s">
        <v>837</v>
      </c>
    </row>
    <row r="218" ht="18.0" customHeight="1">
      <c r="A218" s="9" t="s">
        <v>57</v>
      </c>
      <c r="B218" s="9">
        <v>112.0</v>
      </c>
      <c r="C218" s="9" t="s">
        <v>838</v>
      </c>
      <c r="D218" s="9" t="s">
        <v>839</v>
      </c>
      <c r="E218" s="10">
        <v>4.270021236152388E-6</v>
      </c>
      <c r="F218" s="10">
        <v>0.9999997084235659</v>
      </c>
      <c r="G218" s="10">
        <v>0.9139118457300276</v>
      </c>
      <c r="H218" s="9">
        <v>0.0</v>
      </c>
      <c r="I218" s="9">
        <v>1.0</v>
      </c>
      <c r="J218" s="9">
        <v>0.0</v>
      </c>
      <c r="K218" s="9">
        <v>0.0</v>
      </c>
      <c r="L218" s="9">
        <v>0.0</v>
      </c>
      <c r="M218" s="11">
        <v>0.6248111309996602</v>
      </c>
      <c r="N218" s="9" t="s">
        <v>840</v>
      </c>
      <c r="O218" s="9" t="s">
        <v>841</v>
      </c>
    </row>
    <row r="219" ht="18.0" customHeight="1">
      <c r="A219" s="9" t="s">
        <v>57</v>
      </c>
      <c r="B219" s="9">
        <v>216.0</v>
      </c>
      <c r="C219" s="9" t="s">
        <v>427</v>
      </c>
      <c r="D219" s="9" t="s">
        <v>181</v>
      </c>
      <c r="E219" s="10">
        <v>1.654474181123078E-5</v>
      </c>
      <c r="F219" s="10">
        <v>0.9999983556161283</v>
      </c>
      <c r="G219" s="10">
        <v>0.6067493112947658</v>
      </c>
      <c r="H219" s="9">
        <v>0.0</v>
      </c>
      <c r="I219" s="9">
        <v>0.0</v>
      </c>
      <c r="J219" s="9">
        <v>0.0</v>
      </c>
      <c r="K219" s="9">
        <v>0.0</v>
      </c>
      <c r="L219" s="9">
        <v>1.0</v>
      </c>
      <c r="M219" s="11">
        <v>3.2470191159991373</v>
      </c>
      <c r="N219" s="9" t="s">
        <v>842</v>
      </c>
      <c r="O219" s="9" t="s">
        <v>843</v>
      </c>
    </row>
    <row r="220" ht="18.0" customHeight="1">
      <c r="A220" s="9" t="s">
        <v>57</v>
      </c>
      <c r="B220" s="9">
        <v>195.0</v>
      </c>
      <c r="C220" s="9" t="s">
        <v>327</v>
      </c>
      <c r="D220" s="9" t="s">
        <v>803</v>
      </c>
      <c r="E220" s="10">
        <v>5.4784562962595373E-5</v>
      </c>
      <c r="F220" s="10">
        <v>0.999992101004409</v>
      </c>
      <c r="G220" s="10">
        <v>0.44834710743801653</v>
      </c>
      <c r="H220" s="9">
        <v>0.0</v>
      </c>
      <c r="I220" s="9">
        <v>0.0</v>
      </c>
      <c r="J220" s="9">
        <v>0.0</v>
      </c>
      <c r="K220" s="9">
        <v>0.0</v>
      </c>
      <c r="L220" s="9">
        <v>1.0</v>
      </c>
      <c r="M220" s="11">
        <v>4.609172467999997</v>
      </c>
      <c r="N220" s="9" t="s">
        <v>842</v>
      </c>
      <c r="O220" s="9" t="s">
        <v>844</v>
      </c>
    </row>
    <row r="221" ht="18.0" customHeight="1">
      <c r="A221" s="9" t="s">
        <v>57</v>
      </c>
      <c r="B221" s="9">
        <v>111.0</v>
      </c>
      <c r="C221" s="9" t="s">
        <v>845</v>
      </c>
      <c r="D221" s="9" t="s">
        <v>846</v>
      </c>
      <c r="E221" s="10">
        <v>9.916573162627174E-7</v>
      </c>
      <c r="F221" s="10">
        <v>0.9999999715466519</v>
      </c>
      <c r="G221" s="10">
        <v>0.19490358126721766</v>
      </c>
      <c r="H221" s="9">
        <v>0.0</v>
      </c>
      <c r="I221" s="9">
        <v>0.0</v>
      </c>
      <c r="J221" s="9">
        <v>0.0</v>
      </c>
      <c r="K221" s="9">
        <v>0.0</v>
      </c>
      <c r="L221" s="9">
        <v>1.0</v>
      </c>
      <c r="M221" s="11">
        <v>10.310027495999748</v>
      </c>
      <c r="N221" s="9" t="s">
        <v>842</v>
      </c>
      <c r="O221" s="9" t="s">
        <v>847</v>
      </c>
    </row>
    <row r="222" ht="18.0" customHeight="1">
      <c r="A222" s="9" t="s">
        <v>57</v>
      </c>
      <c r="B222" s="9">
        <v>91.0</v>
      </c>
      <c r="C222" s="9" t="s">
        <v>848</v>
      </c>
      <c r="D222" s="9" t="s">
        <v>849</v>
      </c>
      <c r="E222" s="10">
        <v>2.9587832614197396E-5</v>
      </c>
      <c r="F222" s="10">
        <v>0.999997511644608</v>
      </c>
      <c r="G222" s="10">
        <v>0.628099173553719</v>
      </c>
      <c r="H222" s="9">
        <v>0.0</v>
      </c>
      <c r="I222" s="9">
        <v>0.0</v>
      </c>
      <c r="J222" s="9">
        <v>0.0</v>
      </c>
      <c r="K222" s="9">
        <v>0.0</v>
      </c>
      <c r="L222" s="9">
        <v>1.0</v>
      </c>
      <c r="M222" s="11">
        <v>11.6679864000007</v>
      </c>
      <c r="N222" s="9" t="s">
        <v>842</v>
      </c>
      <c r="O222" s="9" t="s">
        <v>850</v>
      </c>
    </row>
    <row r="223" ht="18.0" customHeight="1">
      <c r="A223" s="9" t="s">
        <v>57</v>
      </c>
      <c r="B223" s="9">
        <v>28.0</v>
      </c>
      <c r="C223" s="9" t="s">
        <v>159</v>
      </c>
      <c r="D223" s="9" t="s">
        <v>851</v>
      </c>
      <c r="E223" s="10">
        <v>2.0556239178404212E-5</v>
      </c>
      <c r="F223" s="10">
        <v>0.9999981552332997</v>
      </c>
      <c r="G223" s="10">
        <v>0.7561983471074379</v>
      </c>
      <c r="H223" s="9">
        <v>0.0</v>
      </c>
      <c r="I223" s="9">
        <v>0.0</v>
      </c>
      <c r="J223" s="9">
        <v>0.0</v>
      </c>
      <c r="K223" s="9">
        <v>0.0</v>
      </c>
      <c r="L223" s="9">
        <v>1.0</v>
      </c>
      <c r="M223" s="11">
        <v>15.848882171999321</v>
      </c>
      <c r="N223" s="9" t="s">
        <v>842</v>
      </c>
      <c r="O223" s="9" t="s">
        <v>852</v>
      </c>
    </row>
    <row r="224" ht="18.0" customHeight="1">
      <c r="A224" s="9" t="s">
        <v>57</v>
      </c>
      <c r="B224" s="9">
        <v>27.0</v>
      </c>
      <c r="C224" s="9" t="s">
        <v>143</v>
      </c>
      <c r="D224" s="9" t="s">
        <v>803</v>
      </c>
      <c r="E224" s="10">
        <v>0.05630631744861603</v>
      </c>
      <c r="F224" s="10">
        <v>0.979955323971808</v>
      </c>
      <c r="G224" s="10">
        <v>0.44834710743801653</v>
      </c>
      <c r="H224" s="9">
        <v>0.0</v>
      </c>
      <c r="I224" s="9">
        <v>0.0</v>
      </c>
      <c r="J224" s="9">
        <v>1.0</v>
      </c>
      <c r="K224" s="9">
        <v>1.0</v>
      </c>
      <c r="L224" s="9">
        <v>0.0</v>
      </c>
      <c r="M224" s="11">
        <v>15.925422876999619</v>
      </c>
      <c r="N224" s="9" t="s">
        <v>842</v>
      </c>
      <c r="O224" s="9" t="s">
        <v>853</v>
      </c>
    </row>
    <row r="225" ht="18.0" customHeight="1">
      <c r="A225" s="9" t="s">
        <v>57</v>
      </c>
      <c r="B225" s="9">
        <v>230.0</v>
      </c>
      <c r="C225" s="9" t="s">
        <v>854</v>
      </c>
      <c r="D225" s="9" t="s">
        <v>159</v>
      </c>
      <c r="E225" s="10">
        <v>3.8089114241302013E-5</v>
      </c>
      <c r="F225" s="10">
        <v>0.9999964059493323</v>
      </c>
      <c r="G225" s="10">
        <v>0.9173553719008264</v>
      </c>
      <c r="H225" s="9">
        <v>0.0</v>
      </c>
      <c r="I225" s="9">
        <v>1.0</v>
      </c>
      <c r="J225" s="9">
        <v>0.0</v>
      </c>
      <c r="K225" s="9">
        <v>0.0</v>
      </c>
      <c r="L225" s="9">
        <v>0.0</v>
      </c>
      <c r="M225" s="11">
        <v>2.2837003450003976</v>
      </c>
      <c r="N225" s="9" t="s">
        <v>855</v>
      </c>
      <c r="O225" s="9" t="s">
        <v>856</v>
      </c>
    </row>
    <row r="226" ht="18.0" customHeight="1">
      <c r="A226" s="9" t="s">
        <v>57</v>
      </c>
      <c r="B226" s="9">
        <v>62.0</v>
      </c>
      <c r="C226" s="9" t="s">
        <v>854</v>
      </c>
      <c r="D226" s="9" t="s">
        <v>159</v>
      </c>
      <c r="E226" s="10">
        <v>4.915671161143109E-5</v>
      </c>
      <c r="F226" s="10">
        <v>0.9999953102227437</v>
      </c>
      <c r="G226" s="10">
        <v>0.9173553719008264</v>
      </c>
      <c r="H226" s="9">
        <v>0.0</v>
      </c>
      <c r="I226" s="9">
        <v>1.0</v>
      </c>
      <c r="J226" s="9">
        <v>0.0</v>
      </c>
      <c r="K226" s="9">
        <v>0.0</v>
      </c>
      <c r="L226" s="9">
        <v>0.0</v>
      </c>
      <c r="M226" s="11">
        <v>13.572126755999307</v>
      </c>
      <c r="N226" s="9" t="s">
        <v>857</v>
      </c>
      <c r="O226" s="9" t="s">
        <v>858</v>
      </c>
    </row>
    <row r="227" ht="18.0" customHeight="1">
      <c r="A227" s="9" t="s">
        <v>57</v>
      </c>
      <c r="B227" s="9">
        <v>11.0</v>
      </c>
      <c r="C227" s="14" t="s">
        <v>859</v>
      </c>
      <c r="D227" s="14" t="s">
        <v>163</v>
      </c>
      <c r="E227" s="10">
        <v>0.9697808027267456</v>
      </c>
      <c r="F227" s="10">
        <v>0.5509086400270462</v>
      </c>
      <c r="G227" s="10">
        <v>0.9235537190082646</v>
      </c>
      <c r="H227" s="9">
        <v>1.0</v>
      </c>
      <c r="I227" s="9">
        <v>1.0</v>
      </c>
      <c r="J227" s="9">
        <v>1.0</v>
      </c>
      <c r="K227" s="9">
        <v>1.0</v>
      </c>
      <c r="L227" s="9">
        <v>0.0</v>
      </c>
      <c r="M227" s="11">
        <v>9.912941335999676</v>
      </c>
      <c r="N227" s="9"/>
      <c r="O227" s="9" t="s">
        <v>860</v>
      </c>
    </row>
    <row r="228" ht="18.0" customHeight="1">
      <c r="A228" s="9" t="s">
        <v>57</v>
      </c>
      <c r="B228" s="9">
        <v>32.0</v>
      </c>
      <c r="C228" s="14" t="s">
        <v>225</v>
      </c>
      <c r="D228" s="14" t="s">
        <v>258</v>
      </c>
      <c r="E228" s="10">
        <v>0.05849817022681236</v>
      </c>
      <c r="F228" s="10">
        <v>0.979002638719976</v>
      </c>
      <c r="G228" s="10">
        <v>0.5798898071625344</v>
      </c>
      <c r="H228" s="9">
        <v>1.0</v>
      </c>
      <c r="I228" s="9">
        <v>0.0</v>
      </c>
      <c r="J228" s="9">
        <v>1.0</v>
      </c>
      <c r="K228" s="9">
        <v>1.0</v>
      </c>
      <c r="L228" s="9">
        <v>0.0</v>
      </c>
      <c r="M228" s="11">
        <v>15.33122184199965</v>
      </c>
      <c r="N228" s="9"/>
      <c r="O228" s="9" t="s">
        <v>861</v>
      </c>
    </row>
    <row r="229" ht="18.0" customHeight="1">
      <c r="A229" s="9" t="s">
        <v>57</v>
      </c>
      <c r="B229" s="9">
        <v>18.0</v>
      </c>
      <c r="C229" s="14" t="s">
        <v>854</v>
      </c>
      <c r="D229" s="14" t="s">
        <v>835</v>
      </c>
      <c r="E229" s="10">
        <v>0.0797179639339447</v>
      </c>
      <c r="F229" s="10">
        <v>0.970260894857347</v>
      </c>
      <c r="G229" s="10">
        <v>0.8443526170798897</v>
      </c>
      <c r="H229" s="9">
        <v>1.0</v>
      </c>
      <c r="I229" s="9">
        <v>0.0</v>
      </c>
      <c r="J229" s="9">
        <v>1.0</v>
      </c>
      <c r="K229" s="9">
        <v>1.0</v>
      </c>
      <c r="L229" s="9">
        <v>0.0</v>
      </c>
      <c r="M229" s="11">
        <v>16.305610825000258</v>
      </c>
      <c r="N229" s="9"/>
      <c r="O229" s="9" t="s">
        <v>863</v>
      </c>
    </row>
    <row r="230" ht="18.0" customHeight="1">
      <c r="A230" s="9" t="s">
        <v>49</v>
      </c>
      <c r="B230" s="9">
        <v>25.0</v>
      </c>
      <c r="C230" s="9" t="s">
        <v>865</v>
      </c>
      <c r="D230" s="9" t="s">
        <v>172</v>
      </c>
      <c r="E230" s="10">
        <v>0.14359045028686523</v>
      </c>
      <c r="F230" s="10">
        <v>0.9596802899613976</v>
      </c>
      <c r="G230" s="10">
        <v>0.6160337552742616</v>
      </c>
      <c r="H230" s="9">
        <v>0.0</v>
      </c>
      <c r="I230" s="9">
        <v>0.0</v>
      </c>
      <c r="J230" s="9">
        <v>0.0</v>
      </c>
      <c r="K230" s="9">
        <v>0.0</v>
      </c>
      <c r="L230" s="9">
        <v>1.0</v>
      </c>
      <c r="M230" s="11">
        <v>4.71277087999988</v>
      </c>
      <c r="N230" s="9" t="s">
        <v>866</v>
      </c>
      <c r="O230" s="9" t="s">
        <v>867</v>
      </c>
    </row>
    <row r="231" ht="18.0" customHeight="1">
      <c r="A231" s="9" t="s">
        <v>49</v>
      </c>
      <c r="B231" s="9">
        <v>67.0</v>
      </c>
      <c r="C231" s="9" t="s">
        <v>100</v>
      </c>
      <c r="D231" s="9" t="s">
        <v>868</v>
      </c>
      <c r="E231" s="10">
        <v>0.6862329840660095</v>
      </c>
      <c r="F231" s="10">
        <v>0.20747044682502747</v>
      </c>
      <c r="G231" s="10">
        <v>0.660337552742616</v>
      </c>
      <c r="H231" s="9">
        <v>0.0</v>
      </c>
      <c r="I231" s="9">
        <v>0.0</v>
      </c>
      <c r="J231" s="9">
        <v>1.0</v>
      </c>
      <c r="K231" s="9">
        <v>1.0</v>
      </c>
      <c r="L231" s="9">
        <v>0.0</v>
      </c>
      <c r="M231" s="11">
        <v>2.591038397000375</v>
      </c>
      <c r="N231" s="9" t="s">
        <v>869</v>
      </c>
      <c r="O231" s="9" t="s">
        <v>870</v>
      </c>
    </row>
    <row r="232" ht="18.0" customHeight="1">
      <c r="A232" s="9" t="s">
        <v>49</v>
      </c>
      <c r="B232" s="9">
        <v>66.0</v>
      </c>
      <c r="C232" s="9" t="s">
        <v>871</v>
      </c>
      <c r="D232" s="9" t="s">
        <v>872</v>
      </c>
      <c r="E232" s="10">
        <v>1.1731834411621094</v>
      </c>
      <c r="F232" s="10">
        <v>0.3322557955980301</v>
      </c>
      <c r="G232" s="10">
        <v>0.7109704641350211</v>
      </c>
      <c r="H232" s="9">
        <v>0.0</v>
      </c>
      <c r="I232" s="9">
        <v>0.0</v>
      </c>
      <c r="J232" s="9">
        <v>1.0</v>
      </c>
      <c r="K232" s="9">
        <v>1.0</v>
      </c>
      <c r="L232" s="9">
        <v>0.0</v>
      </c>
      <c r="M232" s="11">
        <v>2.323259999999209</v>
      </c>
      <c r="N232" s="9" t="s">
        <v>874</v>
      </c>
      <c r="O232" s="9" t="s">
        <v>875</v>
      </c>
    </row>
    <row r="233" ht="18.0" customHeight="1">
      <c r="A233" s="9" t="s">
        <v>49</v>
      </c>
      <c r="B233" s="9">
        <v>58.0</v>
      </c>
      <c r="C233" s="9" t="s">
        <v>876</v>
      </c>
      <c r="D233" s="9" t="s">
        <v>456</v>
      </c>
      <c r="E233" s="10">
        <v>0.6657034754753113</v>
      </c>
      <c r="F233" s="10">
        <v>0.26658594608306885</v>
      </c>
      <c r="G233" s="10">
        <v>0.8354430379746836</v>
      </c>
      <c r="H233" s="9">
        <v>0.0</v>
      </c>
      <c r="I233" s="9">
        <v>1.0</v>
      </c>
      <c r="J233" s="9">
        <v>0.0</v>
      </c>
      <c r="K233" s="9">
        <v>1.0</v>
      </c>
      <c r="L233" s="9">
        <v>1.0</v>
      </c>
      <c r="M233" s="11">
        <v>2.3022201550002137</v>
      </c>
      <c r="N233" s="9" t="s">
        <v>877</v>
      </c>
      <c r="O233" s="9" t="s">
        <v>878</v>
      </c>
    </row>
    <row r="234" ht="18.0" customHeight="1">
      <c r="A234" s="9" t="s">
        <v>49</v>
      </c>
      <c r="B234" s="9">
        <v>46.0</v>
      </c>
      <c r="C234" s="9" t="s">
        <v>879</v>
      </c>
      <c r="D234" s="9" t="s">
        <v>880</v>
      </c>
      <c r="E234" s="10">
        <v>1.703559246379882E-5</v>
      </c>
      <c r="F234" s="10">
        <v>0.9999987805533976</v>
      </c>
      <c r="G234" s="10">
        <v>0.18143459915611815</v>
      </c>
      <c r="H234" s="9">
        <v>0.0</v>
      </c>
      <c r="I234" s="9">
        <v>0.0</v>
      </c>
      <c r="J234" s="9">
        <v>0.0</v>
      </c>
      <c r="K234" s="9">
        <v>0.0</v>
      </c>
      <c r="L234" s="9">
        <v>1.0</v>
      </c>
      <c r="M234" s="11">
        <v>3.214183936000154</v>
      </c>
      <c r="N234" s="9" t="s">
        <v>881</v>
      </c>
      <c r="O234" s="9" t="s">
        <v>882</v>
      </c>
    </row>
    <row r="235" ht="18.0" customHeight="1">
      <c r="A235" s="9" t="s">
        <v>49</v>
      </c>
      <c r="B235" s="9">
        <v>65.0</v>
      </c>
      <c r="C235" s="9" t="s">
        <v>884</v>
      </c>
      <c r="D235" s="9" t="s">
        <v>876</v>
      </c>
      <c r="E235" s="10">
        <v>0.43231213092803955</v>
      </c>
      <c r="F235" s="10">
        <v>0.6955353021621704</v>
      </c>
      <c r="G235" s="10">
        <v>0.79957805907173</v>
      </c>
      <c r="H235" s="9">
        <v>0.0</v>
      </c>
      <c r="I235" s="9">
        <v>1.0</v>
      </c>
      <c r="J235" s="9">
        <v>0.0</v>
      </c>
      <c r="K235" s="9">
        <v>0.0</v>
      </c>
      <c r="L235" s="9">
        <v>1.0</v>
      </c>
      <c r="M235" s="11">
        <v>1.7811963290005224</v>
      </c>
      <c r="N235" s="9" t="s">
        <v>885</v>
      </c>
      <c r="O235" s="9" t="s">
        <v>886</v>
      </c>
    </row>
    <row r="236" ht="18.0" customHeight="1">
      <c r="A236" s="9" t="s">
        <v>49</v>
      </c>
      <c r="B236" s="9">
        <v>12.0</v>
      </c>
      <c r="C236" s="9" t="s">
        <v>767</v>
      </c>
      <c r="D236" s="9" t="s">
        <v>887</v>
      </c>
      <c r="E236" s="10">
        <v>2.125659465789795</v>
      </c>
      <c r="F236" s="10">
        <v>0.03160718083381653</v>
      </c>
      <c r="G236" s="10">
        <v>0.7869198312236287</v>
      </c>
      <c r="H236" s="9">
        <v>0.0</v>
      </c>
      <c r="I236" s="9">
        <v>0.0</v>
      </c>
      <c r="J236" s="9">
        <v>1.0</v>
      </c>
      <c r="K236" s="9">
        <v>1.0</v>
      </c>
      <c r="L236" s="9">
        <v>0.0</v>
      </c>
      <c r="M236" s="11">
        <v>8.741602426999634</v>
      </c>
      <c r="N236" s="9" t="s">
        <v>888</v>
      </c>
      <c r="O236" s="9" t="s">
        <v>889</v>
      </c>
    </row>
    <row r="237" ht="18.0" customHeight="1">
      <c r="A237" s="9" t="s">
        <v>49</v>
      </c>
      <c r="B237" s="9">
        <v>73.0</v>
      </c>
      <c r="C237" s="9" t="s">
        <v>630</v>
      </c>
      <c r="D237" s="9" t="s">
        <v>890</v>
      </c>
      <c r="E237" s="10">
        <v>8.29768308904022E-4</v>
      </c>
      <c r="F237" s="10">
        <v>0.9998815770923102</v>
      </c>
      <c r="G237" s="10">
        <v>0.6476793248945147</v>
      </c>
      <c r="H237" s="9">
        <v>0.0</v>
      </c>
      <c r="I237" s="9">
        <v>0.0</v>
      </c>
      <c r="J237" s="9">
        <v>0.0</v>
      </c>
      <c r="K237" s="9">
        <v>0.0</v>
      </c>
      <c r="L237" s="9">
        <v>1.0</v>
      </c>
      <c r="M237" s="11">
        <v>1.33144975399955</v>
      </c>
      <c r="N237" s="9" t="s">
        <v>891</v>
      </c>
      <c r="O237" s="9" t="s">
        <v>892</v>
      </c>
    </row>
    <row r="238" ht="18.0" customHeight="1">
      <c r="A238" s="9" t="s">
        <v>49</v>
      </c>
      <c r="B238" s="9">
        <v>15.0</v>
      </c>
      <c r="C238" s="9" t="s">
        <v>482</v>
      </c>
      <c r="D238" s="9" t="s">
        <v>893</v>
      </c>
      <c r="E238" s="10">
        <v>0.7422138452529907</v>
      </c>
      <c r="F238" s="10">
        <v>0.6726295053958893</v>
      </c>
      <c r="G238" s="10">
        <v>0.09071729957805907</v>
      </c>
      <c r="H238" s="9">
        <v>0.0</v>
      </c>
      <c r="I238" s="9">
        <v>0.0</v>
      </c>
      <c r="J238" s="9">
        <v>1.0</v>
      </c>
      <c r="K238" s="9">
        <v>0.0</v>
      </c>
      <c r="L238" s="9">
        <v>0.0</v>
      </c>
      <c r="M238" s="11">
        <v>5.384347643000183</v>
      </c>
      <c r="N238" s="9" t="s">
        <v>894</v>
      </c>
      <c r="O238" s="9" t="s">
        <v>895</v>
      </c>
    </row>
    <row r="239" ht="18.0" customHeight="1">
      <c r="A239" s="9" t="s">
        <v>49</v>
      </c>
      <c r="B239" s="9">
        <v>64.0</v>
      </c>
      <c r="C239" s="9" t="s">
        <v>180</v>
      </c>
      <c r="D239" s="9" t="s">
        <v>896</v>
      </c>
      <c r="E239" s="10">
        <v>3.0258939659688622E-5</v>
      </c>
      <c r="F239" s="10">
        <v>0.9999981546238246</v>
      </c>
      <c r="G239" s="10">
        <v>0.8016877637130801</v>
      </c>
      <c r="H239" s="9">
        <v>0.0</v>
      </c>
      <c r="I239" s="9">
        <v>1.0</v>
      </c>
      <c r="J239" s="9">
        <v>0.0</v>
      </c>
      <c r="K239" s="9">
        <v>0.0</v>
      </c>
      <c r="L239" s="9">
        <v>0.0</v>
      </c>
      <c r="M239" s="11">
        <v>2.3169098839998696</v>
      </c>
      <c r="N239" s="9" t="s">
        <v>897</v>
      </c>
      <c r="O239" s="9" t="s">
        <v>899</v>
      </c>
    </row>
    <row r="240" ht="18.0" customHeight="1">
      <c r="A240" s="9" t="s">
        <v>49</v>
      </c>
      <c r="B240" s="9">
        <v>62.0</v>
      </c>
      <c r="C240" s="9" t="s">
        <v>900</v>
      </c>
      <c r="D240" s="9" t="s">
        <v>582</v>
      </c>
      <c r="E240" s="10">
        <v>2.5450915927649476E-5</v>
      </c>
      <c r="F240" s="10">
        <v>0.9999975511840375</v>
      </c>
      <c r="G240" s="10">
        <v>0.8649789029535864</v>
      </c>
      <c r="H240" s="9">
        <v>0.0</v>
      </c>
      <c r="I240" s="9">
        <v>1.0</v>
      </c>
      <c r="J240" s="9">
        <v>0.0</v>
      </c>
      <c r="K240" s="9">
        <v>0.0</v>
      </c>
      <c r="L240" s="9">
        <v>0.0</v>
      </c>
      <c r="M240" s="11">
        <v>3.5269700110002304</v>
      </c>
      <c r="N240" s="9" t="s">
        <v>901</v>
      </c>
      <c r="O240" s="9" t="s">
        <v>902</v>
      </c>
    </row>
    <row r="241" ht="18.0" customHeight="1">
      <c r="A241" s="9" t="s">
        <v>49</v>
      </c>
      <c r="B241" s="9">
        <v>13.0</v>
      </c>
      <c r="C241" s="9" t="s">
        <v>903</v>
      </c>
      <c r="D241" s="9" t="s">
        <v>180</v>
      </c>
      <c r="E241" s="10">
        <v>0.6594259738922119</v>
      </c>
      <c r="F241" s="10">
        <v>0.42094501852989197</v>
      </c>
      <c r="G241" s="10">
        <v>0.70042194092827</v>
      </c>
      <c r="H241" s="9">
        <v>0.0</v>
      </c>
      <c r="I241" s="9">
        <v>0.0</v>
      </c>
      <c r="J241" s="9">
        <v>0.0</v>
      </c>
      <c r="K241" s="9">
        <v>1.0</v>
      </c>
      <c r="L241" s="9">
        <v>0.0</v>
      </c>
      <c r="M241" s="11">
        <v>5.109682692000206</v>
      </c>
      <c r="N241" s="9" t="s">
        <v>904</v>
      </c>
      <c r="O241" s="9" t="s">
        <v>905</v>
      </c>
    </row>
    <row r="242" ht="18.0" customHeight="1">
      <c r="A242" s="9" t="s">
        <v>49</v>
      </c>
      <c r="B242" s="9">
        <v>50.0</v>
      </c>
      <c r="C242" s="9" t="s">
        <v>94</v>
      </c>
      <c r="D242" s="9" t="s">
        <v>476</v>
      </c>
      <c r="E242" s="10">
        <v>0.0775691345334053</v>
      </c>
      <c r="F242" s="10">
        <v>0.9725638870149851</v>
      </c>
      <c r="G242" s="10">
        <v>0.8459915611814347</v>
      </c>
      <c r="H242" s="9">
        <v>0.0</v>
      </c>
      <c r="I242" s="9">
        <v>1.0</v>
      </c>
      <c r="J242" s="9">
        <v>0.0</v>
      </c>
      <c r="K242" s="9">
        <v>0.0</v>
      </c>
      <c r="L242" s="9">
        <v>0.0</v>
      </c>
      <c r="M242" s="11">
        <v>2.7516467599998577</v>
      </c>
      <c r="N242" s="9" t="s">
        <v>906</v>
      </c>
      <c r="O242" s="9" t="s">
        <v>908</v>
      </c>
    </row>
    <row r="243" ht="18.0" customHeight="1">
      <c r="A243" s="9" t="s">
        <v>49</v>
      </c>
      <c r="B243" s="9">
        <v>5.0</v>
      </c>
      <c r="C243" s="9" t="s">
        <v>876</v>
      </c>
      <c r="D243" s="9" t="s">
        <v>87</v>
      </c>
      <c r="E243" s="10">
        <v>0.6914275884628296</v>
      </c>
      <c r="F243" s="10">
        <v>0.8389725238084793</v>
      </c>
      <c r="G243" s="10">
        <v>0.5042194092827005</v>
      </c>
      <c r="H243" s="9">
        <v>0.0</v>
      </c>
      <c r="I243" s="9">
        <v>0.0</v>
      </c>
      <c r="J243" s="9">
        <v>1.0</v>
      </c>
      <c r="K243" s="9">
        <v>0.0</v>
      </c>
      <c r="L243" s="9">
        <v>0.0</v>
      </c>
      <c r="M243" s="11">
        <v>12.49802713399913</v>
      </c>
      <c r="N243" s="9" t="s">
        <v>909</v>
      </c>
      <c r="O243" s="9" t="s">
        <v>910</v>
      </c>
    </row>
    <row r="244" ht="18.0" customHeight="1">
      <c r="A244" s="9" t="s">
        <v>67</v>
      </c>
      <c r="B244" s="9">
        <v>45.0</v>
      </c>
      <c r="C244" s="9" t="s">
        <v>911</v>
      </c>
      <c r="D244" s="9" t="s">
        <v>94</v>
      </c>
      <c r="E244" s="10">
        <v>5.7229110097978264E-5</v>
      </c>
      <c r="F244" s="10">
        <v>0.9999938761116027</v>
      </c>
      <c r="G244" s="10">
        <v>0.8728813559322034</v>
      </c>
      <c r="H244" s="9">
        <v>0.0</v>
      </c>
      <c r="I244" s="9">
        <v>1.0</v>
      </c>
      <c r="J244" s="9">
        <v>0.0</v>
      </c>
      <c r="K244" s="9">
        <v>0.0</v>
      </c>
      <c r="L244" s="9">
        <v>1.0</v>
      </c>
      <c r="M244" s="11">
        <v>2.3901337260003856</v>
      </c>
      <c r="N244" s="9" t="s">
        <v>914</v>
      </c>
      <c r="O244" s="9" t="s">
        <v>915</v>
      </c>
    </row>
    <row r="245" ht="18.0" customHeight="1">
      <c r="A245" s="9" t="s">
        <v>67</v>
      </c>
      <c r="B245" s="9">
        <v>38.0</v>
      </c>
      <c r="C245" s="9" t="s">
        <v>94</v>
      </c>
      <c r="D245" s="9" t="s">
        <v>591</v>
      </c>
      <c r="E245" s="10">
        <v>0.6976203918457031</v>
      </c>
      <c r="F245" s="10">
        <v>0.046808212995529175</v>
      </c>
      <c r="G245" s="10">
        <v>0.7429378531073446</v>
      </c>
      <c r="H245" s="9">
        <v>0.0</v>
      </c>
      <c r="I245" s="9">
        <v>0.0</v>
      </c>
      <c r="J245" s="9">
        <v>1.0</v>
      </c>
      <c r="K245" s="9">
        <v>1.0</v>
      </c>
      <c r="L245" s="9">
        <v>0.0</v>
      </c>
      <c r="M245" s="11">
        <v>1.7743395699999382</v>
      </c>
      <c r="N245" s="9" t="s">
        <v>917</v>
      </c>
      <c r="O245" s="9" t="s">
        <v>918</v>
      </c>
    </row>
    <row r="246" ht="18.0" customHeight="1">
      <c r="A246" s="9" t="s">
        <v>67</v>
      </c>
      <c r="B246" s="9">
        <v>31.0</v>
      </c>
      <c r="C246" s="9" t="s">
        <v>865</v>
      </c>
      <c r="D246" s="9" t="s">
        <v>143</v>
      </c>
      <c r="E246" s="10">
        <v>0.024800041690468788</v>
      </c>
      <c r="F246" s="10">
        <v>0.9949066985864192</v>
      </c>
      <c r="G246" s="10">
        <v>0.8700564971751413</v>
      </c>
      <c r="H246" s="9">
        <v>0.0</v>
      </c>
      <c r="I246" s="9">
        <v>1.0</v>
      </c>
      <c r="J246" s="9">
        <v>0.0</v>
      </c>
      <c r="K246" s="9">
        <v>0.0</v>
      </c>
      <c r="L246" s="9">
        <v>0.0</v>
      </c>
      <c r="M246" s="11">
        <v>2.366143354000087</v>
      </c>
      <c r="N246" s="9" t="s">
        <v>919</v>
      </c>
      <c r="O246" s="9" t="s">
        <v>920</v>
      </c>
    </row>
    <row r="247" ht="18.0" customHeight="1">
      <c r="A247" s="9" t="s">
        <v>67</v>
      </c>
      <c r="B247" s="9">
        <v>19.0</v>
      </c>
      <c r="C247" s="9" t="s">
        <v>921</v>
      </c>
      <c r="D247" s="9" t="s">
        <v>922</v>
      </c>
      <c r="E247" s="10">
        <v>0.9820677638053894</v>
      </c>
      <c r="F247" s="10">
        <v>0.10629388689994812</v>
      </c>
      <c r="G247" s="10">
        <v>0.7994350282485875</v>
      </c>
      <c r="H247" s="9">
        <v>0.0</v>
      </c>
      <c r="I247" s="9">
        <v>1.0</v>
      </c>
      <c r="J247" s="9">
        <v>1.0</v>
      </c>
      <c r="K247" s="9">
        <v>1.0</v>
      </c>
      <c r="L247" s="9">
        <v>0.0</v>
      </c>
      <c r="M247" s="11">
        <v>5.6374753999998575</v>
      </c>
      <c r="N247" s="9" t="s">
        <v>924</v>
      </c>
      <c r="O247" s="9" t="s">
        <v>925</v>
      </c>
    </row>
    <row r="248" ht="18.0" customHeight="1">
      <c r="A248" s="9" t="s">
        <v>67</v>
      </c>
      <c r="B248" s="9">
        <v>53.0</v>
      </c>
      <c r="C248" s="9" t="s">
        <v>453</v>
      </c>
      <c r="D248" s="9" t="s">
        <v>467</v>
      </c>
      <c r="E248" s="10">
        <v>2.8007879154756665E-4</v>
      </c>
      <c r="F248" s="10">
        <v>0.9999627932702424</v>
      </c>
      <c r="G248" s="10">
        <v>0.6779661016949152</v>
      </c>
      <c r="H248" s="9">
        <v>0.0</v>
      </c>
      <c r="I248" s="9">
        <v>0.0</v>
      </c>
      <c r="J248" s="9">
        <v>0.0</v>
      </c>
      <c r="K248" s="9">
        <v>0.0</v>
      </c>
      <c r="L248" s="9">
        <v>1.0</v>
      </c>
      <c r="M248" s="11">
        <v>1.8738534330004768</v>
      </c>
      <c r="N248" s="9" t="s">
        <v>926</v>
      </c>
      <c r="O248" s="9" t="s">
        <v>927</v>
      </c>
    </row>
    <row r="249" ht="18.0" customHeight="1">
      <c r="A249" s="9" t="s">
        <v>67</v>
      </c>
      <c r="B249" s="9">
        <v>17.0</v>
      </c>
      <c r="C249" s="9" t="s">
        <v>122</v>
      </c>
      <c r="D249" s="9" t="s">
        <v>123</v>
      </c>
      <c r="E249" s="10">
        <v>0.9227830171585083</v>
      </c>
      <c r="F249" s="10">
        <v>0.4383409321308136</v>
      </c>
      <c r="G249" s="10">
        <v>0.6186440677966102</v>
      </c>
      <c r="H249" s="9">
        <v>0.0</v>
      </c>
      <c r="I249" s="9">
        <v>0.0</v>
      </c>
      <c r="J249" s="9">
        <v>1.0</v>
      </c>
      <c r="K249" s="9">
        <v>1.0</v>
      </c>
      <c r="L249" s="9">
        <v>0.0</v>
      </c>
      <c r="M249" s="11">
        <v>5.77417599599994</v>
      </c>
      <c r="N249" s="9" t="s">
        <v>928</v>
      </c>
      <c r="O249" s="9" t="s">
        <v>929</v>
      </c>
    </row>
    <row r="250" ht="18.0" customHeight="1">
      <c r="A250" s="9" t="s">
        <v>67</v>
      </c>
      <c r="B250" s="9">
        <v>7.0</v>
      </c>
      <c r="C250" s="9" t="s">
        <v>524</v>
      </c>
      <c r="D250" s="9" t="s">
        <v>930</v>
      </c>
      <c r="E250" s="10">
        <v>0.9239221215248108</v>
      </c>
      <c r="F250" s="10">
        <v>0.5365092903375626</v>
      </c>
      <c r="G250" s="10">
        <v>0.1807909604519774</v>
      </c>
      <c r="H250" s="9">
        <v>0.0</v>
      </c>
      <c r="I250" s="9">
        <v>0.0</v>
      </c>
      <c r="J250" s="9">
        <v>1.0</v>
      </c>
      <c r="K250" s="9">
        <v>1.0</v>
      </c>
      <c r="L250" s="9">
        <v>0.0</v>
      </c>
      <c r="M250" s="11">
        <v>3.791476784999759</v>
      </c>
      <c r="N250" s="9" t="s">
        <v>931</v>
      </c>
      <c r="O250" s="9" t="s">
        <v>932</v>
      </c>
    </row>
    <row r="251" ht="18.0" customHeight="1">
      <c r="A251" s="9" t="s">
        <v>67</v>
      </c>
      <c r="B251" s="9">
        <v>24.0</v>
      </c>
      <c r="C251" s="9" t="s">
        <v>933</v>
      </c>
      <c r="D251" s="9" t="s">
        <v>934</v>
      </c>
      <c r="E251" s="10">
        <v>3.7541292840614915E-4</v>
      </c>
      <c r="F251" s="10">
        <v>0.9999597315309074</v>
      </c>
      <c r="G251" s="10">
        <v>0.5706214689265536</v>
      </c>
      <c r="H251" s="9">
        <v>0.0</v>
      </c>
      <c r="I251" s="9">
        <v>0.0</v>
      </c>
      <c r="J251" s="9">
        <v>0.0</v>
      </c>
      <c r="K251" s="9">
        <v>0.0</v>
      </c>
      <c r="L251" s="9">
        <v>1.0</v>
      </c>
      <c r="M251" s="11">
        <v>3.4336167159999604</v>
      </c>
      <c r="N251" s="9" t="s">
        <v>935</v>
      </c>
      <c r="O251" s="9" t="s">
        <v>936</v>
      </c>
    </row>
    <row r="252" ht="18.0" customHeight="1">
      <c r="A252" s="9" t="s">
        <v>67</v>
      </c>
      <c r="B252" s="9">
        <v>50.0</v>
      </c>
      <c r="C252" s="9" t="s">
        <v>865</v>
      </c>
      <c r="D252" s="9" t="s">
        <v>937</v>
      </c>
      <c r="E252" s="10">
        <v>9.439645509701222E-5</v>
      </c>
      <c r="F252" s="10">
        <v>0.9999857159468775</v>
      </c>
      <c r="G252" s="10">
        <v>0.8333333333333334</v>
      </c>
      <c r="H252" s="9">
        <v>0.0</v>
      </c>
      <c r="I252" s="9">
        <v>1.0</v>
      </c>
      <c r="J252" s="9">
        <v>0.0</v>
      </c>
      <c r="K252" s="9">
        <v>0.0</v>
      </c>
      <c r="L252" s="9">
        <v>0.0</v>
      </c>
      <c r="M252" s="11">
        <v>1.8051152650004951</v>
      </c>
      <c r="N252" s="9" t="s">
        <v>938</v>
      </c>
      <c r="O252" s="9" t="s">
        <v>939</v>
      </c>
    </row>
    <row r="253" ht="18.0" customHeight="1">
      <c r="A253" s="9" t="s">
        <v>67</v>
      </c>
      <c r="B253" s="9">
        <v>18.0</v>
      </c>
      <c r="C253" s="9" t="s">
        <v>232</v>
      </c>
      <c r="D253" s="9" t="s">
        <v>592</v>
      </c>
      <c r="E253" s="10">
        <v>9.562173509038985E-4</v>
      </c>
      <c r="F253" s="10">
        <v>0.9999030621329439</v>
      </c>
      <c r="G253" s="10">
        <v>0.8813559322033898</v>
      </c>
      <c r="H253" s="9">
        <v>0.0</v>
      </c>
      <c r="I253" s="9">
        <v>1.0</v>
      </c>
      <c r="J253" s="9">
        <v>0.0</v>
      </c>
      <c r="K253" s="9">
        <v>0.0</v>
      </c>
      <c r="L253" s="9">
        <v>0.0</v>
      </c>
      <c r="M253" s="11">
        <v>3.2883647689995996</v>
      </c>
      <c r="N253" s="9" t="s">
        <v>940</v>
      </c>
      <c r="O253" s="9" t="s">
        <v>941</v>
      </c>
    </row>
    <row r="254" ht="18.0" customHeight="1">
      <c r="A254" s="9" t="s">
        <v>67</v>
      </c>
      <c r="B254" s="9">
        <v>56.0</v>
      </c>
      <c r="C254" s="9" t="s">
        <v>921</v>
      </c>
      <c r="D254" s="9" t="s">
        <v>942</v>
      </c>
      <c r="E254" s="10">
        <v>1.6187210349016823E-5</v>
      </c>
      <c r="F254" s="10">
        <v>0.9999985009963552</v>
      </c>
      <c r="G254" s="10">
        <v>0.22033898305084745</v>
      </c>
      <c r="H254" s="9">
        <v>0.0</v>
      </c>
      <c r="I254" s="9">
        <v>0.0</v>
      </c>
      <c r="J254" s="9">
        <v>0.0</v>
      </c>
      <c r="K254" s="9">
        <v>0.0</v>
      </c>
      <c r="L254" s="9">
        <v>1.0</v>
      </c>
      <c r="M254" s="11">
        <v>1.3292327420003858</v>
      </c>
      <c r="N254" s="9" t="s">
        <v>943</v>
      </c>
      <c r="O254" s="9" t="s">
        <v>944</v>
      </c>
    </row>
    <row r="255" ht="18.0" customHeight="1">
      <c r="A255" s="9" t="s">
        <v>67</v>
      </c>
      <c r="B255" s="9">
        <v>20.0</v>
      </c>
      <c r="C255" s="14" t="s">
        <v>180</v>
      </c>
      <c r="D255" s="14" t="s">
        <v>945</v>
      </c>
      <c r="E255" s="10">
        <v>0.04421604052186012</v>
      </c>
      <c r="F255" s="10">
        <v>0.9899498713202775</v>
      </c>
      <c r="G255" s="10">
        <v>0.5875706214689266</v>
      </c>
      <c r="H255" s="9">
        <v>1.0</v>
      </c>
      <c r="I255" s="9">
        <v>0.0</v>
      </c>
      <c r="J255" s="9">
        <v>0.0</v>
      </c>
      <c r="K255" s="9">
        <v>0.0</v>
      </c>
      <c r="L255" s="9">
        <v>1.0</v>
      </c>
      <c r="M255" s="11">
        <v>3.553971923000063</v>
      </c>
      <c r="N255" s="9"/>
      <c r="O255" s="9" t="s">
        <v>946</v>
      </c>
    </row>
    <row r="256" ht="18.0" customHeight="1">
      <c r="A256" s="9" t="s">
        <v>67</v>
      </c>
      <c r="B256" s="9">
        <v>26.0</v>
      </c>
      <c r="C256" s="14" t="s">
        <v>911</v>
      </c>
      <c r="D256" s="14" t="s">
        <v>94</v>
      </c>
      <c r="E256" s="10">
        <v>1.2170977592468262</v>
      </c>
      <c r="F256" s="10">
        <v>0.27311597764492035</v>
      </c>
      <c r="G256" s="10">
        <v>0.7937853107344632</v>
      </c>
      <c r="H256" s="9">
        <v>1.0</v>
      </c>
      <c r="I256" s="9">
        <v>0.0</v>
      </c>
      <c r="J256" s="9">
        <v>1.0</v>
      </c>
      <c r="K256" s="9">
        <v>1.0</v>
      </c>
      <c r="L256" s="9">
        <v>0.0</v>
      </c>
      <c r="M256" s="11">
        <v>3.7099606440006028</v>
      </c>
      <c r="N256" s="9"/>
      <c r="O256" s="9" t="s">
        <v>947</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56">
    <sortState ref="A1:O256">
      <sortCondition ref="A1:A256"/>
      <sortCondition descending="1" ref="N1:N256"/>
      <sortCondition ref="M1:M256"/>
      <sortCondition ref="E1:E256"/>
    </sortState>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7.5"/>
    <col customWidth="1" min="3" max="4" width="11.63"/>
    <col customWidth="1" min="5" max="5" width="9.13"/>
    <col customWidth="1" min="6" max="6" width="11.63"/>
    <col customWidth="1" min="7" max="7" width="10.5"/>
    <col customWidth="1" min="8" max="8" width="9.75"/>
    <col customWidth="1" min="9" max="9" width="12.25"/>
    <col customWidth="1" min="10" max="10" width="9.75"/>
    <col customWidth="1" min="11" max="11" width="13.38"/>
    <col customWidth="1" min="12" max="12" width="10.0"/>
    <col customWidth="1" min="13" max="13" width="15.0"/>
    <col customWidth="1" min="14" max="26" width="8.63"/>
  </cols>
  <sheetData>
    <row r="1" ht="22.5" customHeight="1">
      <c r="A1" s="2" t="s">
        <v>1</v>
      </c>
      <c r="B1" s="2" t="s">
        <v>68</v>
      </c>
      <c r="C1" s="2" t="s">
        <v>69</v>
      </c>
      <c r="D1" s="2" t="s">
        <v>70</v>
      </c>
      <c r="E1" s="2" t="s">
        <v>71</v>
      </c>
      <c r="F1" s="2" t="s">
        <v>72</v>
      </c>
      <c r="G1" s="2" t="s">
        <v>73</v>
      </c>
      <c r="H1" s="2" t="s">
        <v>208</v>
      </c>
      <c r="I1" s="2" t="s">
        <v>209</v>
      </c>
      <c r="J1" s="2" t="s">
        <v>211</v>
      </c>
      <c r="K1" s="2" t="s">
        <v>214</v>
      </c>
      <c r="L1" s="2" t="s">
        <v>102</v>
      </c>
      <c r="M1" s="2" t="s">
        <v>216</v>
      </c>
    </row>
    <row r="2" ht="18.0" customHeight="1">
      <c r="A2" s="4" t="s">
        <v>50</v>
      </c>
      <c r="B2" s="4">
        <v>2.0</v>
      </c>
      <c r="C2" s="4" t="s">
        <v>122</v>
      </c>
      <c r="D2" s="4" t="s">
        <v>220</v>
      </c>
      <c r="E2" s="16">
        <v>0.014560951851308346</v>
      </c>
      <c r="F2" s="16">
        <v>0.9966629623668268</v>
      </c>
      <c r="G2" s="16"/>
      <c r="H2" s="16">
        <v>0.0</v>
      </c>
      <c r="I2" s="16">
        <v>0.0</v>
      </c>
      <c r="J2" s="16">
        <v>0.0</v>
      </c>
      <c r="K2" s="4">
        <v>0.0</v>
      </c>
      <c r="M2" s="4" t="s">
        <v>32</v>
      </c>
    </row>
    <row r="3" ht="18.0" customHeight="1">
      <c r="A3" s="4" t="s">
        <v>50</v>
      </c>
      <c r="B3" s="4">
        <v>3.0</v>
      </c>
      <c r="C3" s="4" t="s">
        <v>231</v>
      </c>
      <c r="D3" s="4" t="s">
        <v>232</v>
      </c>
      <c r="E3" s="16">
        <v>0.11586245894432068</v>
      </c>
      <c r="F3" s="16">
        <v>0.969624487683177</v>
      </c>
      <c r="G3" s="16"/>
      <c r="H3" s="16">
        <v>1.0</v>
      </c>
      <c r="I3" s="16">
        <v>0.4916666666666667</v>
      </c>
      <c r="J3" s="16">
        <v>0.0</v>
      </c>
      <c r="K3" s="4">
        <v>0.0</v>
      </c>
      <c r="M3" s="4" t="s">
        <v>32</v>
      </c>
    </row>
    <row r="4" ht="18.0" customHeight="1">
      <c r="A4" s="4" t="s">
        <v>50</v>
      </c>
      <c r="B4" s="4">
        <v>4.0</v>
      </c>
      <c r="C4" s="4" t="s">
        <v>82</v>
      </c>
      <c r="D4" s="4" t="s">
        <v>83</v>
      </c>
      <c r="E4" s="16">
        <v>0.6120908260345459</v>
      </c>
      <c r="F4" s="16">
        <v>0.5210752338171005</v>
      </c>
      <c r="G4" s="16"/>
      <c r="H4" s="16">
        <v>0.09090909090909091</v>
      </c>
      <c r="I4" s="16">
        <v>0.09999999999999999</v>
      </c>
      <c r="J4" s="16">
        <v>0.6666666666666667</v>
      </c>
      <c r="K4" s="4">
        <v>1.0</v>
      </c>
      <c r="L4" s="4">
        <v>0.0</v>
      </c>
      <c r="M4" s="4" t="s">
        <v>239</v>
      </c>
    </row>
    <row r="5" ht="18.0" customHeight="1">
      <c r="A5" s="4" t="s">
        <v>50</v>
      </c>
      <c r="B5" s="4">
        <v>5.0</v>
      </c>
      <c r="C5" s="4" t="s">
        <v>241</v>
      </c>
      <c r="D5" s="4" t="s">
        <v>242</v>
      </c>
      <c r="E5" s="16">
        <v>1.2350108590908349E-4</v>
      </c>
      <c r="F5" s="16">
        <v>0.9999851760148886</v>
      </c>
      <c r="G5" s="16"/>
      <c r="H5" s="16">
        <v>1.0</v>
      </c>
      <c r="I5" s="16">
        <v>0.4083333333333334</v>
      </c>
      <c r="J5" s="16">
        <v>0.6666666666666667</v>
      </c>
      <c r="K5" s="4">
        <v>0.0</v>
      </c>
      <c r="M5" s="4" t="s">
        <v>32</v>
      </c>
    </row>
    <row r="6" ht="18.0" customHeight="1">
      <c r="A6" s="4" t="s">
        <v>50</v>
      </c>
      <c r="B6" s="4">
        <v>6.0</v>
      </c>
      <c r="C6" s="4" t="s">
        <v>246</v>
      </c>
      <c r="D6" s="4" t="s">
        <v>248</v>
      </c>
      <c r="E6" s="16">
        <v>1.6407571820309386E-5</v>
      </c>
      <c r="F6" s="16">
        <v>0.9999986346895184</v>
      </c>
      <c r="G6" s="16"/>
      <c r="H6" s="16">
        <v>1.0</v>
      </c>
      <c r="I6" s="16">
        <v>0.43333333333333335</v>
      </c>
      <c r="J6" s="16">
        <v>0.6666666666666667</v>
      </c>
      <c r="K6" s="4">
        <v>0.0</v>
      </c>
      <c r="M6" s="4" t="s">
        <v>32</v>
      </c>
    </row>
    <row r="7" ht="18.0" customHeight="1">
      <c r="A7" s="4" t="s">
        <v>50</v>
      </c>
      <c r="B7" s="4">
        <v>7.0</v>
      </c>
      <c r="C7" s="4" t="s">
        <v>252</v>
      </c>
      <c r="D7" s="4" t="s">
        <v>254</v>
      </c>
      <c r="E7" s="16">
        <v>0.09774131327867508</v>
      </c>
      <c r="F7" s="16">
        <v>0.9605080150067806</v>
      </c>
      <c r="G7" s="16"/>
      <c r="H7" s="16">
        <v>0.36363636363636365</v>
      </c>
      <c r="I7" s="16">
        <v>0.225</v>
      </c>
      <c r="J7" s="16">
        <v>0.6666666666666667</v>
      </c>
      <c r="K7" s="4">
        <v>0.0</v>
      </c>
      <c r="M7" s="4" t="s">
        <v>32</v>
      </c>
    </row>
    <row r="8" ht="18.0" customHeight="1">
      <c r="A8" s="4" t="s">
        <v>50</v>
      </c>
      <c r="B8" s="4">
        <v>8.0</v>
      </c>
      <c r="C8" s="4" t="s">
        <v>258</v>
      </c>
      <c r="D8" s="4" t="s">
        <v>139</v>
      </c>
      <c r="E8" s="16">
        <v>0.007365555502474308</v>
      </c>
      <c r="F8" s="16">
        <v>0.9982343807350844</v>
      </c>
      <c r="G8" s="16"/>
      <c r="H8" s="16">
        <v>1.0</v>
      </c>
      <c r="I8" s="16">
        <v>0.4291666666666667</v>
      </c>
      <c r="J8" s="16">
        <v>1.0</v>
      </c>
      <c r="K8" s="4">
        <v>0.0</v>
      </c>
      <c r="M8" s="4" t="s">
        <v>32</v>
      </c>
    </row>
    <row r="9" ht="18.0" customHeight="1">
      <c r="A9" s="4" t="s">
        <v>50</v>
      </c>
      <c r="B9" s="4">
        <v>9.0</v>
      </c>
      <c r="C9" s="4" t="s">
        <v>263</v>
      </c>
      <c r="D9" s="4" t="s">
        <v>264</v>
      </c>
      <c r="E9" s="16">
        <v>3.684498369693756E-5</v>
      </c>
      <c r="F9" s="16">
        <v>0.9999964670960253</v>
      </c>
      <c r="G9" s="16"/>
      <c r="H9" s="16">
        <v>1.0</v>
      </c>
      <c r="I9" s="16">
        <v>0.4791666666666667</v>
      </c>
      <c r="J9" s="16">
        <v>0.2592592592592593</v>
      </c>
      <c r="K9" s="4">
        <v>0.0</v>
      </c>
      <c r="M9" s="4" t="s">
        <v>32</v>
      </c>
    </row>
    <row r="10" ht="18.0" customHeight="1">
      <c r="A10" s="4" t="s">
        <v>50</v>
      </c>
      <c r="B10" s="4">
        <v>10.0</v>
      </c>
      <c r="C10" s="4" t="s">
        <v>169</v>
      </c>
      <c r="D10" s="4" t="s">
        <v>139</v>
      </c>
      <c r="E10" s="16">
        <v>1.3379272422753274E-4</v>
      </c>
      <c r="F10" s="16">
        <v>0.9999847808435334</v>
      </c>
      <c r="G10" s="16"/>
      <c r="H10" s="16">
        <v>1.0</v>
      </c>
      <c r="I10" s="16">
        <v>0.3333333333333334</v>
      </c>
      <c r="J10" s="16">
        <v>0.8353909465020576</v>
      </c>
      <c r="K10" s="4">
        <v>0.0</v>
      </c>
      <c r="M10" s="4" t="s">
        <v>32</v>
      </c>
    </row>
    <row r="11" ht="18.0" customHeight="1">
      <c r="A11" s="4" t="s">
        <v>50</v>
      </c>
      <c r="B11" s="4">
        <v>11.0</v>
      </c>
      <c r="C11" s="4" t="s">
        <v>272</v>
      </c>
      <c r="D11" s="4" t="s">
        <v>86</v>
      </c>
      <c r="E11" s="16">
        <v>3.842102159978822E-5</v>
      </c>
      <c r="F11" s="16">
        <v>0.9999964153646488</v>
      </c>
      <c r="G11" s="16"/>
      <c r="H11" s="16">
        <v>1.0</v>
      </c>
      <c r="I11" s="16">
        <v>0.41666666666666674</v>
      </c>
      <c r="J11" s="16">
        <v>1.0</v>
      </c>
      <c r="K11" s="4">
        <v>0.0</v>
      </c>
      <c r="M11" s="4" t="s">
        <v>32</v>
      </c>
    </row>
    <row r="12" ht="18.0" customHeight="1">
      <c r="A12" s="4" t="s">
        <v>50</v>
      </c>
      <c r="B12" s="4">
        <v>12.0</v>
      </c>
      <c r="C12" s="4" t="s">
        <v>263</v>
      </c>
      <c r="D12" s="4" t="s">
        <v>277</v>
      </c>
      <c r="E12" s="16">
        <v>3.417382686166093E-5</v>
      </c>
      <c r="F12" s="16">
        <v>0.9999972566209294</v>
      </c>
      <c r="G12" s="16"/>
      <c r="H12" s="16">
        <v>0.0</v>
      </c>
      <c r="I12" s="16">
        <v>0.016666666666666666</v>
      </c>
      <c r="J12" s="16">
        <v>0.0</v>
      </c>
      <c r="K12" s="4">
        <v>0.0</v>
      </c>
      <c r="M12" s="4" t="s">
        <v>32</v>
      </c>
    </row>
    <row r="13" ht="18.0" customHeight="1">
      <c r="A13" s="4" t="s">
        <v>50</v>
      </c>
      <c r="B13" s="4">
        <v>13.0</v>
      </c>
      <c r="C13" s="4" t="s">
        <v>225</v>
      </c>
      <c r="D13" s="4" t="s">
        <v>258</v>
      </c>
      <c r="E13" s="16">
        <v>0.0012630291748791933</v>
      </c>
      <c r="F13" s="16">
        <v>0.9997984614237794</v>
      </c>
      <c r="G13" s="16"/>
      <c r="H13" s="16">
        <v>1.0</v>
      </c>
      <c r="I13" s="16">
        <v>0.35000000000000003</v>
      </c>
      <c r="J13" s="16">
        <v>0.0</v>
      </c>
      <c r="K13" s="4">
        <v>0.0</v>
      </c>
      <c r="M13" s="4" t="s">
        <v>32</v>
      </c>
    </row>
    <row r="14" ht="18.0" customHeight="1">
      <c r="A14" s="4" t="s">
        <v>50</v>
      </c>
      <c r="B14" s="4">
        <v>14.0</v>
      </c>
      <c r="C14" s="4" t="s">
        <v>232</v>
      </c>
      <c r="D14" s="4" t="s">
        <v>159</v>
      </c>
      <c r="E14" s="16">
        <v>6.986251100897789E-4</v>
      </c>
      <c r="F14" s="16">
        <v>0.9999285929006874</v>
      </c>
      <c r="G14" s="16"/>
      <c r="H14" s="16">
        <v>0.0</v>
      </c>
      <c r="I14" s="16">
        <v>0.0</v>
      </c>
      <c r="J14" s="16">
        <v>0.0</v>
      </c>
      <c r="K14" s="4">
        <v>0.0</v>
      </c>
      <c r="M14" s="4" t="s">
        <v>32</v>
      </c>
    </row>
    <row r="15" ht="18.0" customHeight="1">
      <c r="A15" s="4" t="s">
        <v>50</v>
      </c>
      <c r="B15" s="4">
        <v>15.0</v>
      </c>
      <c r="C15" s="4" t="s">
        <v>111</v>
      </c>
      <c r="D15" s="4" t="s">
        <v>94</v>
      </c>
      <c r="E15" s="16">
        <v>0.4412795603275299</v>
      </c>
      <c r="F15" s="16">
        <v>0.8755050003528595</v>
      </c>
      <c r="G15" s="16"/>
      <c r="H15" s="16">
        <v>1.0</v>
      </c>
      <c r="I15" s="16">
        <v>0.44583333333333336</v>
      </c>
      <c r="J15" s="16">
        <v>1.0</v>
      </c>
      <c r="K15" s="4">
        <v>1.0</v>
      </c>
      <c r="L15" s="4">
        <v>0.0</v>
      </c>
      <c r="M15" s="4" t="s">
        <v>239</v>
      </c>
    </row>
    <row r="16" ht="18.0" customHeight="1">
      <c r="A16" s="4" t="s">
        <v>50</v>
      </c>
      <c r="B16" s="4">
        <v>16.0</v>
      </c>
      <c r="C16" s="4" t="s">
        <v>287</v>
      </c>
      <c r="D16" s="4" t="s">
        <v>288</v>
      </c>
      <c r="E16" s="16">
        <v>0.02318967878818512</v>
      </c>
      <c r="F16" s="16">
        <v>0.9951588071417063</v>
      </c>
      <c r="G16" s="16"/>
      <c r="H16" s="16">
        <v>0.09090909090909091</v>
      </c>
      <c r="I16" s="16">
        <v>0.016666666666666666</v>
      </c>
      <c r="J16" s="16">
        <v>0.0</v>
      </c>
      <c r="K16" s="4">
        <v>0.0</v>
      </c>
      <c r="M16" s="4" t="s">
        <v>32</v>
      </c>
    </row>
    <row r="17" ht="18.0" customHeight="1">
      <c r="A17" s="4" t="s">
        <v>50</v>
      </c>
      <c r="B17" s="4">
        <v>17.0</v>
      </c>
      <c r="C17" s="4" t="s">
        <v>290</v>
      </c>
      <c r="D17" s="4" t="s">
        <v>292</v>
      </c>
      <c r="E17" s="16">
        <v>1.4650513548986055E-5</v>
      </c>
      <c r="F17" s="16">
        <v>0.9999989859284426</v>
      </c>
      <c r="G17" s="16"/>
      <c r="H17" s="16">
        <v>1.0</v>
      </c>
      <c r="I17" s="16">
        <v>0.35000000000000003</v>
      </c>
      <c r="J17" s="16">
        <v>0.6666666666666667</v>
      </c>
      <c r="K17" s="4">
        <v>0.0</v>
      </c>
      <c r="M17" s="4" t="s">
        <v>32</v>
      </c>
    </row>
    <row r="18" ht="18.0" customHeight="1">
      <c r="A18" s="4" t="s">
        <v>50</v>
      </c>
      <c r="B18" s="4">
        <v>18.0</v>
      </c>
      <c r="C18" s="4" t="s">
        <v>292</v>
      </c>
      <c r="D18" s="4" t="s">
        <v>294</v>
      </c>
      <c r="E18" s="16">
        <v>1.7582694999873638E-4</v>
      </c>
      <c r="F18" s="16">
        <v>0.999983325694302</v>
      </c>
      <c r="G18" s="16"/>
      <c r="H18" s="16">
        <v>1.0</v>
      </c>
      <c r="I18" s="16">
        <v>0.35000000000000003</v>
      </c>
      <c r="J18" s="16">
        <v>0.35</v>
      </c>
      <c r="K18" s="4">
        <v>0.0</v>
      </c>
      <c r="M18" s="4" t="s">
        <v>32</v>
      </c>
    </row>
    <row r="19" ht="18.0" customHeight="1">
      <c r="A19" s="4" t="s">
        <v>50</v>
      </c>
      <c r="B19" s="4">
        <v>19.0</v>
      </c>
      <c r="C19" s="4" t="s">
        <v>297</v>
      </c>
      <c r="D19" s="4" t="s">
        <v>298</v>
      </c>
      <c r="E19" s="16">
        <v>1.2845255696447566E-5</v>
      </c>
      <c r="F19" s="16">
        <v>0.9999990502010405</v>
      </c>
      <c r="G19" s="16"/>
      <c r="H19" s="16">
        <v>0.0</v>
      </c>
      <c r="I19" s="16">
        <v>0.016666666666666666</v>
      </c>
      <c r="J19" s="16">
        <v>0.0</v>
      </c>
      <c r="K19" s="4">
        <v>0.0</v>
      </c>
      <c r="M19" s="4" t="s">
        <v>32</v>
      </c>
    </row>
    <row r="20" ht="18.0" customHeight="1">
      <c r="A20" s="4" t="s">
        <v>50</v>
      </c>
      <c r="B20" s="4">
        <v>20.0</v>
      </c>
      <c r="C20" s="4" t="s">
        <v>301</v>
      </c>
      <c r="D20" s="4" t="s">
        <v>302</v>
      </c>
      <c r="E20" s="16">
        <v>3.2816221937537193E-4</v>
      </c>
      <c r="F20" s="16">
        <v>0.9999636021748302</v>
      </c>
      <c r="G20" s="16"/>
      <c r="H20" s="16">
        <v>1.0</v>
      </c>
      <c r="I20" s="16">
        <v>0.4833333333333334</v>
      </c>
      <c r="J20" s="16">
        <v>0.8</v>
      </c>
      <c r="K20" s="4">
        <v>0.0</v>
      </c>
      <c r="M20" s="4" t="s">
        <v>32</v>
      </c>
    </row>
    <row r="21" ht="18.0" customHeight="1">
      <c r="A21" s="4" t="s">
        <v>50</v>
      </c>
      <c r="B21" s="4">
        <v>21.0</v>
      </c>
      <c r="C21" s="4" t="s">
        <v>304</v>
      </c>
      <c r="D21" s="4" t="s">
        <v>306</v>
      </c>
      <c r="E21" s="16">
        <v>4.3616333277896047E-4</v>
      </c>
      <c r="F21" s="16">
        <v>0.9999326847319026</v>
      </c>
      <c r="G21" s="16"/>
      <c r="H21" s="16">
        <v>0.0</v>
      </c>
      <c r="I21" s="16">
        <v>0.016666666666666666</v>
      </c>
      <c r="J21" s="16">
        <v>0.0</v>
      </c>
      <c r="K21" s="4">
        <v>0.0</v>
      </c>
      <c r="M21" s="4" t="s">
        <v>32</v>
      </c>
    </row>
    <row r="22" ht="18.0" customHeight="1">
      <c r="A22" s="4" t="s">
        <v>50</v>
      </c>
      <c r="B22" s="4">
        <v>22.0</v>
      </c>
      <c r="C22" s="4" t="s">
        <v>309</v>
      </c>
      <c r="D22" s="4" t="s">
        <v>310</v>
      </c>
      <c r="E22" s="16">
        <v>6.0473044868558645E-5</v>
      </c>
      <c r="F22" s="16">
        <v>0.9999954794574251</v>
      </c>
      <c r="G22" s="16"/>
      <c r="H22" s="16">
        <v>0.0</v>
      </c>
      <c r="I22" s="16">
        <v>0.08333333333333333</v>
      </c>
      <c r="J22" s="16">
        <v>0.0</v>
      </c>
      <c r="K22" s="4">
        <v>0.0</v>
      </c>
      <c r="M22" s="4" t="s">
        <v>32</v>
      </c>
    </row>
    <row r="23" ht="18.0" customHeight="1">
      <c r="A23" s="4" t="s">
        <v>50</v>
      </c>
      <c r="B23" s="4">
        <v>23.0</v>
      </c>
      <c r="C23" s="4" t="s">
        <v>314</v>
      </c>
      <c r="D23" s="4" t="s">
        <v>290</v>
      </c>
      <c r="E23" s="16">
        <v>0.00250241463072598</v>
      </c>
      <c r="F23" s="16">
        <v>0.9994772024219856</v>
      </c>
      <c r="G23" s="16"/>
      <c r="H23" s="16">
        <v>0.7272727272727273</v>
      </c>
      <c r="I23" s="16">
        <v>0.22083333333333333</v>
      </c>
      <c r="J23" s="16">
        <v>0.8009950248756219</v>
      </c>
      <c r="K23" s="4">
        <v>0.0</v>
      </c>
      <c r="M23" s="4" t="s">
        <v>32</v>
      </c>
    </row>
    <row r="24" ht="18.0" customHeight="1">
      <c r="A24" s="4" t="s">
        <v>50</v>
      </c>
      <c r="B24" s="4">
        <v>24.0</v>
      </c>
      <c r="C24" s="4" t="s">
        <v>316</v>
      </c>
      <c r="D24" s="4" t="s">
        <v>318</v>
      </c>
      <c r="E24" s="16">
        <v>1.6934007362578996E-5</v>
      </c>
      <c r="F24" s="16">
        <v>0.9999986442032593</v>
      </c>
      <c r="G24" s="16"/>
      <c r="H24" s="16">
        <v>0.8181818181818182</v>
      </c>
      <c r="I24" s="16">
        <v>0.24166666666666667</v>
      </c>
      <c r="J24" s="16">
        <v>0.9402985074626866</v>
      </c>
      <c r="K24" s="4">
        <v>0.0</v>
      </c>
      <c r="M24" s="4" t="s">
        <v>32</v>
      </c>
    </row>
    <row r="25" ht="18.0" customHeight="1">
      <c r="A25" s="4" t="s">
        <v>50</v>
      </c>
      <c r="B25" s="4">
        <v>25.0</v>
      </c>
      <c r="C25" s="4" t="s">
        <v>132</v>
      </c>
      <c r="D25" s="4" t="s">
        <v>122</v>
      </c>
      <c r="E25" s="16">
        <v>6.68266584398225E-5</v>
      </c>
      <c r="F25" s="16">
        <v>0.9999945891212292</v>
      </c>
      <c r="G25" s="16"/>
      <c r="H25" s="16">
        <v>1.0</v>
      </c>
      <c r="I25" s="16">
        <v>0.4083333333333334</v>
      </c>
      <c r="J25" s="16">
        <v>0.0</v>
      </c>
      <c r="K25" s="4">
        <v>0.0</v>
      </c>
      <c r="M25" s="4" t="s">
        <v>32</v>
      </c>
    </row>
    <row r="26" ht="18.0" customHeight="1">
      <c r="A26" s="4" t="s">
        <v>50</v>
      </c>
      <c r="B26" s="4">
        <v>26.0</v>
      </c>
      <c r="C26" s="4" t="s">
        <v>114</v>
      </c>
      <c r="D26" s="4" t="s">
        <v>115</v>
      </c>
      <c r="E26" s="16">
        <v>0.6239526271820068</v>
      </c>
      <c r="F26" s="16">
        <v>0.6364912390708923</v>
      </c>
      <c r="G26" s="16"/>
      <c r="H26" s="16">
        <v>0.9090909090909091</v>
      </c>
      <c r="I26" s="16">
        <v>0.325</v>
      </c>
      <c r="J26" s="16">
        <v>1.0</v>
      </c>
      <c r="K26" s="4">
        <v>1.0</v>
      </c>
      <c r="L26" s="4">
        <v>0.0</v>
      </c>
      <c r="M26" s="4" t="s">
        <v>239</v>
      </c>
    </row>
    <row r="27" ht="18.0" customHeight="1">
      <c r="A27" s="4" t="s">
        <v>50</v>
      </c>
      <c r="B27" s="4">
        <v>27.0</v>
      </c>
      <c r="C27" s="4" t="s">
        <v>232</v>
      </c>
      <c r="D27" s="4" t="s">
        <v>326</v>
      </c>
      <c r="E27" s="16">
        <v>0.003805015468969941</v>
      </c>
      <c r="F27" s="16">
        <v>0.9993469399923924</v>
      </c>
      <c r="G27" s="16"/>
      <c r="H27" s="16">
        <v>0.09090909090909091</v>
      </c>
      <c r="I27" s="16">
        <v>0.0</v>
      </c>
      <c r="J27" s="16">
        <v>0.0</v>
      </c>
      <c r="K27" s="4">
        <v>0.0</v>
      </c>
      <c r="M27" s="4" t="s">
        <v>32</v>
      </c>
    </row>
    <row r="28" ht="18.0" customHeight="1">
      <c r="A28" s="4" t="s">
        <v>50</v>
      </c>
      <c r="B28" s="4">
        <v>28.0</v>
      </c>
      <c r="C28" s="4" t="s">
        <v>129</v>
      </c>
      <c r="D28" s="4" t="s">
        <v>87</v>
      </c>
      <c r="E28" s="16">
        <v>0.03688867762684822</v>
      </c>
      <c r="F28" s="16">
        <v>0.9919887953437865</v>
      </c>
      <c r="G28" s="16"/>
      <c r="H28" s="16">
        <v>1.0</v>
      </c>
      <c r="I28" s="16">
        <v>0.49583333333333335</v>
      </c>
      <c r="J28" s="16">
        <v>1.0</v>
      </c>
      <c r="K28" s="4">
        <v>1.0</v>
      </c>
      <c r="L28" s="4">
        <v>0.0</v>
      </c>
      <c r="M28" s="4" t="s">
        <v>239</v>
      </c>
    </row>
    <row r="29" ht="18.0" customHeight="1">
      <c r="A29" s="4" t="s">
        <v>50</v>
      </c>
      <c r="B29" s="4">
        <v>29.0</v>
      </c>
      <c r="C29" s="4" t="s">
        <v>331</v>
      </c>
      <c r="D29" s="4" t="s">
        <v>225</v>
      </c>
      <c r="E29" s="16">
        <v>8.886073192115873E-5</v>
      </c>
      <c r="F29" s="16">
        <v>0.9999924638123048</v>
      </c>
      <c r="G29" s="16"/>
      <c r="H29" s="16">
        <v>1.0</v>
      </c>
      <c r="I29" s="16">
        <v>0.35416666666666674</v>
      </c>
      <c r="J29" s="16">
        <v>0.4591836734693878</v>
      </c>
      <c r="K29" s="4">
        <v>0.0</v>
      </c>
      <c r="M29" s="4" t="s">
        <v>32</v>
      </c>
    </row>
    <row r="30" ht="18.0" customHeight="1">
      <c r="A30" s="4" t="s">
        <v>50</v>
      </c>
      <c r="B30" s="4">
        <v>30.0</v>
      </c>
      <c r="C30" s="4" t="s">
        <v>83</v>
      </c>
      <c r="D30" s="4" t="s">
        <v>225</v>
      </c>
      <c r="E30" s="16">
        <v>4.4771411921828985E-4</v>
      </c>
      <c r="F30" s="16">
        <v>0.999925463260297</v>
      </c>
      <c r="G30" s="16"/>
      <c r="H30" s="16">
        <v>1.0</v>
      </c>
      <c r="I30" s="16">
        <v>0.3500000000000001</v>
      </c>
      <c r="J30" s="16">
        <v>0.0</v>
      </c>
      <c r="K30" s="4">
        <v>0.0</v>
      </c>
      <c r="M30" s="4" t="s">
        <v>32</v>
      </c>
    </row>
    <row r="31" ht="18.0" customHeight="1">
      <c r="A31" s="4" t="s">
        <v>50</v>
      </c>
      <c r="B31" s="4">
        <v>31.0</v>
      </c>
      <c r="C31" s="4" t="s">
        <v>337</v>
      </c>
      <c r="D31" s="4" t="s">
        <v>338</v>
      </c>
      <c r="E31" s="16">
        <v>0.001770595321431756</v>
      </c>
      <c r="F31" s="16">
        <v>0.9997376079918467</v>
      </c>
      <c r="G31" s="16"/>
      <c r="H31" s="16">
        <v>1.0</v>
      </c>
      <c r="I31" s="16">
        <v>0.3250000000000001</v>
      </c>
      <c r="J31" s="16">
        <v>0.5</v>
      </c>
      <c r="K31" s="4">
        <v>0.0</v>
      </c>
      <c r="M31" s="4" t="s">
        <v>32</v>
      </c>
    </row>
    <row r="32" ht="18.0" customHeight="1">
      <c r="A32" s="4" t="s">
        <v>50</v>
      </c>
      <c r="B32" s="4">
        <v>32.0</v>
      </c>
      <c r="C32" s="4" t="s">
        <v>225</v>
      </c>
      <c r="D32" s="4" t="s">
        <v>258</v>
      </c>
      <c r="E32" s="16">
        <v>6.62869424559176E-5</v>
      </c>
      <c r="F32" s="16">
        <v>0.9999920769068922</v>
      </c>
      <c r="G32" s="16"/>
      <c r="H32" s="16">
        <v>1.0</v>
      </c>
      <c r="I32" s="16">
        <v>0.32500000000000007</v>
      </c>
      <c r="J32" s="16">
        <v>0.32142857142857145</v>
      </c>
      <c r="K32" s="4">
        <v>0.0</v>
      </c>
      <c r="M32" s="4" t="s">
        <v>32</v>
      </c>
    </row>
    <row r="33" ht="18.0" customHeight="1">
      <c r="A33" s="4" t="s">
        <v>50</v>
      </c>
      <c r="B33" s="4">
        <v>33.0</v>
      </c>
      <c r="C33" s="4" t="s">
        <v>232</v>
      </c>
      <c r="D33" s="4" t="s">
        <v>326</v>
      </c>
      <c r="E33" s="16">
        <v>2.1466558973770589E-4</v>
      </c>
      <c r="F33" s="16">
        <v>0.9999661529618606</v>
      </c>
      <c r="G33" s="16"/>
      <c r="H33" s="16">
        <v>0.0</v>
      </c>
      <c r="I33" s="16">
        <v>0.0</v>
      </c>
      <c r="J33" s="16">
        <v>0.0</v>
      </c>
      <c r="K33" s="4">
        <v>0.0</v>
      </c>
      <c r="M33" s="4" t="s">
        <v>32</v>
      </c>
    </row>
    <row r="34" ht="18.0" customHeight="1">
      <c r="A34" s="4" t="s">
        <v>50</v>
      </c>
      <c r="B34" s="4">
        <v>34.0</v>
      </c>
      <c r="C34" s="4" t="s">
        <v>86</v>
      </c>
      <c r="D34" s="4" t="s">
        <v>87</v>
      </c>
      <c r="E34" s="16">
        <v>1.0912885772995651E-4</v>
      </c>
      <c r="F34" s="16">
        <v>0.9999891354277679</v>
      </c>
      <c r="G34" s="16"/>
      <c r="H34" s="16">
        <v>1.0</v>
      </c>
      <c r="I34" s="16">
        <v>0.5083333333333334</v>
      </c>
      <c r="J34" s="16">
        <v>1.0</v>
      </c>
      <c r="K34" s="4">
        <v>1.0</v>
      </c>
      <c r="L34" s="4">
        <v>0.0</v>
      </c>
      <c r="M34" s="4" t="s">
        <v>239</v>
      </c>
    </row>
    <row r="35" ht="18.0" customHeight="1">
      <c r="A35" s="4" t="s">
        <v>50</v>
      </c>
      <c r="B35" s="4">
        <v>35.0</v>
      </c>
      <c r="C35" s="4" t="s">
        <v>287</v>
      </c>
      <c r="D35" s="4" t="s">
        <v>288</v>
      </c>
      <c r="E35" s="16">
        <v>3.664359974209219E-5</v>
      </c>
      <c r="F35" s="16">
        <v>0.9999971922946429</v>
      </c>
      <c r="G35" s="16"/>
      <c r="H35" s="16">
        <v>0.0</v>
      </c>
      <c r="I35" s="16">
        <v>0.016666666666666666</v>
      </c>
      <c r="J35" s="16">
        <v>0.0</v>
      </c>
      <c r="K35" s="4">
        <v>0.0</v>
      </c>
      <c r="M35" s="4" t="s">
        <v>32</v>
      </c>
    </row>
    <row r="36" ht="18.0" customHeight="1">
      <c r="A36" s="4" t="s">
        <v>50</v>
      </c>
      <c r="B36" s="4">
        <v>36.0</v>
      </c>
      <c r="C36" s="4" t="s">
        <v>290</v>
      </c>
      <c r="D36" s="4" t="s">
        <v>135</v>
      </c>
      <c r="E36" s="16">
        <v>5.52693018107675E-6</v>
      </c>
      <c r="F36" s="16">
        <v>0.9999996136567262</v>
      </c>
      <c r="G36" s="16"/>
      <c r="H36" s="16">
        <v>1.0</v>
      </c>
      <c r="I36" s="16">
        <v>0.325</v>
      </c>
      <c r="J36" s="16">
        <v>0.5</v>
      </c>
      <c r="K36" s="4">
        <v>0.0</v>
      </c>
      <c r="M36" s="4" t="s">
        <v>32</v>
      </c>
    </row>
    <row r="37" ht="18.0" customHeight="1">
      <c r="A37" s="4" t="s">
        <v>50</v>
      </c>
      <c r="B37" s="4">
        <v>37.0</v>
      </c>
      <c r="C37" s="4" t="s">
        <v>135</v>
      </c>
      <c r="D37" s="4" t="s">
        <v>136</v>
      </c>
      <c r="E37" s="16">
        <v>3.578478208510205E-5</v>
      </c>
      <c r="F37" s="16">
        <v>0.9999965970058611</v>
      </c>
      <c r="G37" s="16"/>
      <c r="H37" s="16">
        <v>1.0</v>
      </c>
      <c r="I37" s="16">
        <v>0.4708333333333334</v>
      </c>
      <c r="J37" s="16">
        <v>0.18367346938775514</v>
      </c>
      <c r="K37" s="4">
        <v>1.0</v>
      </c>
      <c r="L37" s="4">
        <v>0.0</v>
      </c>
      <c r="M37" s="4" t="s">
        <v>239</v>
      </c>
    </row>
    <row r="38" ht="18.0" customHeight="1">
      <c r="A38" s="4" t="s">
        <v>50</v>
      </c>
      <c r="B38" s="4">
        <v>38.0</v>
      </c>
      <c r="C38" s="4" t="s">
        <v>361</v>
      </c>
      <c r="D38" s="4" t="s">
        <v>362</v>
      </c>
      <c r="E38" s="16">
        <v>0.0024135287385433912</v>
      </c>
      <c r="F38" s="16">
        <v>0.9996707694153883</v>
      </c>
      <c r="G38" s="16"/>
      <c r="H38" s="16">
        <v>0.0</v>
      </c>
      <c r="I38" s="16">
        <v>0.016666666666666666</v>
      </c>
      <c r="J38" s="16">
        <v>0.0</v>
      </c>
      <c r="K38" s="4">
        <v>0.0</v>
      </c>
      <c r="M38" s="4" t="s">
        <v>32</v>
      </c>
    </row>
    <row r="39" ht="18.0" customHeight="1">
      <c r="A39" s="4" t="s">
        <v>50</v>
      </c>
      <c r="B39" s="4">
        <v>39.0</v>
      </c>
      <c r="C39" s="4" t="s">
        <v>364</v>
      </c>
      <c r="D39" s="4" t="s">
        <v>301</v>
      </c>
      <c r="E39" s="16">
        <v>1.6248351312242448E-4</v>
      </c>
      <c r="F39" s="16">
        <v>0.9999758235026093</v>
      </c>
      <c r="G39" s="16"/>
      <c r="H39" s="16">
        <v>1.0</v>
      </c>
      <c r="I39" s="16">
        <v>0.4166666666666667</v>
      </c>
      <c r="J39" s="16">
        <v>0.0</v>
      </c>
      <c r="K39" s="4">
        <v>0.0</v>
      </c>
      <c r="M39" s="4" t="s">
        <v>32</v>
      </c>
    </row>
    <row r="40" ht="18.0" customHeight="1">
      <c r="A40" s="4" t="s">
        <v>50</v>
      </c>
      <c r="B40" s="4">
        <v>40.0</v>
      </c>
      <c r="C40" s="4" t="s">
        <v>316</v>
      </c>
      <c r="D40" s="4" t="s">
        <v>290</v>
      </c>
      <c r="E40" s="16">
        <v>2.528854529373348E-4</v>
      </c>
      <c r="F40" s="16">
        <v>0.9999592454259982</v>
      </c>
      <c r="G40" s="16"/>
      <c r="H40" s="16">
        <v>1.0</v>
      </c>
      <c r="I40" s="16">
        <v>0.3916666666666668</v>
      </c>
      <c r="J40" s="16">
        <v>0.0</v>
      </c>
      <c r="K40" s="4">
        <v>0.0</v>
      </c>
      <c r="M40" s="4" t="s">
        <v>32</v>
      </c>
    </row>
    <row r="41" ht="18.0" customHeight="1">
      <c r="A41" s="4" t="s">
        <v>50</v>
      </c>
      <c r="B41" s="4">
        <v>41.0</v>
      </c>
      <c r="C41" s="4" t="s">
        <v>132</v>
      </c>
      <c r="D41" s="4" t="s">
        <v>366</v>
      </c>
      <c r="E41" s="16">
        <v>2.787302219076082E-5</v>
      </c>
      <c r="F41" s="16">
        <v>0.9999980595733433</v>
      </c>
      <c r="G41" s="16"/>
      <c r="H41" s="16">
        <v>0.0</v>
      </c>
      <c r="I41" s="16">
        <v>0.016666666666666666</v>
      </c>
      <c r="J41" s="16">
        <v>0.0</v>
      </c>
      <c r="K41" s="4">
        <v>0.0</v>
      </c>
      <c r="M41" s="4" t="s">
        <v>32</v>
      </c>
    </row>
    <row r="42" ht="18.0" customHeight="1">
      <c r="A42" s="4" t="s">
        <v>50</v>
      </c>
      <c r="B42" s="4">
        <v>42.0</v>
      </c>
      <c r="C42" s="4" t="s">
        <v>301</v>
      </c>
      <c r="D42" s="4" t="s">
        <v>122</v>
      </c>
      <c r="E42" s="16">
        <v>4.530915612122044E-5</v>
      </c>
      <c r="F42" s="16">
        <v>0.9999968320673247</v>
      </c>
      <c r="G42" s="16"/>
      <c r="H42" s="16">
        <v>1.0</v>
      </c>
      <c r="I42" s="16">
        <v>0.5208333333333334</v>
      </c>
      <c r="J42" s="16">
        <v>0.18367346938775514</v>
      </c>
      <c r="K42" s="4">
        <v>0.0</v>
      </c>
      <c r="M42" s="4" t="s">
        <v>32</v>
      </c>
    </row>
    <row r="43" ht="18.0" customHeight="1">
      <c r="A43" s="4" t="s">
        <v>50</v>
      </c>
      <c r="B43" s="4">
        <v>43.0</v>
      </c>
      <c r="C43" s="4" t="s">
        <v>83</v>
      </c>
      <c r="D43" s="4" t="s">
        <v>264</v>
      </c>
      <c r="E43" s="16">
        <v>2.9542659831349738E-5</v>
      </c>
      <c r="F43" s="16">
        <v>0.9999978877785622</v>
      </c>
      <c r="G43" s="16"/>
      <c r="H43" s="16">
        <v>1.0</v>
      </c>
      <c r="I43" s="16">
        <v>0.4791666666666667</v>
      </c>
      <c r="J43" s="16">
        <v>0.18367346938775514</v>
      </c>
      <c r="K43" s="4">
        <v>0.0</v>
      </c>
      <c r="M43" s="4" t="s">
        <v>32</v>
      </c>
    </row>
    <row r="44" ht="18.0" customHeight="1">
      <c r="A44" s="4" t="s">
        <v>50</v>
      </c>
      <c r="B44" s="4">
        <v>44.0</v>
      </c>
      <c r="C44" s="4" t="s">
        <v>314</v>
      </c>
      <c r="D44" s="4" t="s">
        <v>264</v>
      </c>
      <c r="E44" s="16">
        <v>4.4749234803020954E-5</v>
      </c>
      <c r="F44" s="16">
        <v>0.9999963456382375</v>
      </c>
      <c r="G44" s="16"/>
      <c r="H44" s="16">
        <v>1.0</v>
      </c>
      <c r="I44" s="16">
        <v>0.4791666666666667</v>
      </c>
      <c r="J44" s="16">
        <v>0.31034482758620696</v>
      </c>
      <c r="K44" s="4">
        <v>0.0</v>
      </c>
      <c r="M44" s="4" t="s">
        <v>32</v>
      </c>
    </row>
    <row r="45" ht="18.0" customHeight="1">
      <c r="A45" s="4" t="s">
        <v>50</v>
      </c>
      <c r="B45" s="4">
        <v>45.0</v>
      </c>
      <c r="C45" s="4" t="s">
        <v>297</v>
      </c>
      <c r="D45" s="4" t="s">
        <v>378</v>
      </c>
      <c r="E45" s="16">
        <v>3.3641484333202243E-4</v>
      </c>
      <c r="F45" s="16">
        <v>0.9999490293412236</v>
      </c>
      <c r="G45" s="16"/>
      <c r="H45" s="16">
        <v>1.0</v>
      </c>
      <c r="I45" s="16">
        <v>0.28333333333333344</v>
      </c>
      <c r="J45" s="16">
        <v>0.0</v>
      </c>
      <c r="K45" s="4">
        <v>0.0</v>
      </c>
      <c r="M45" s="4" t="s">
        <v>32</v>
      </c>
    </row>
    <row r="46" ht="18.0" customHeight="1">
      <c r="A46" s="4" t="s">
        <v>50</v>
      </c>
      <c r="B46" s="4">
        <v>46.0</v>
      </c>
      <c r="C46" s="4" t="s">
        <v>114</v>
      </c>
      <c r="D46" s="4" t="s">
        <v>115</v>
      </c>
      <c r="E46" s="16">
        <v>1.44713805639185E-4</v>
      </c>
      <c r="F46" s="16">
        <v>0.9999822728309482</v>
      </c>
      <c r="G46" s="16"/>
      <c r="H46" s="16">
        <v>1.0</v>
      </c>
      <c r="I46" s="16">
        <v>0.5</v>
      </c>
      <c r="J46" s="16">
        <v>0.31034482758620696</v>
      </c>
      <c r="K46" s="4">
        <v>0.0</v>
      </c>
      <c r="M46" s="4" t="s">
        <v>32</v>
      </c>
    </row>
    <row r="47" ht="18.0" customHeight="1">
      <c r="A47" s="4" t="s">
        <v>50</v>
      </c>
      <c r="B47" s="4">
        <v>47.0</v>
      </c>
      <c r="C47" s="4" t="s">
        <v>232</v>
      </c>
      <c r="D47" s="4" t="s">
        <v>289</v>
      </c>
      <c r="E47" s="16">
        <v>3.6369849112816155E-5</v>
      </c>
      <c r="F47" s="16">
        <v>0.9999961902450423</v>
      </c>
      <c r="G47" s="16"/>
      <c r="H47" s="16">
        <v>1.0</v>
      </c>
      <c r="I47" s="16">
        <v>0.25416666666666665</v>
      </c>
      <c r="J47" s="16">
        <v>1.0</v>
      </c>
      <c r="K47" s="4">
        <v>0.0</v>
      </c>
      <c r="M47" s="4" t="s">
        <v>32</v>
      </c>
    </row>
    <row r="48" ht="18.0" customHeight="1">
      <c r="A48" s="4" t="s">
        <v>50</v>
      </c>
      <c r="B48" s="4">
        <v>48.0</v>
      </c>
      <c r="C48" s="4" t="s">
        <v>86</v>
      </c>
      <c r="D48" s="4" t="s">
        <v>87</v>
      </c>
      <c r="E48" s="16">
        <v>1.6471114577143453E-5</v>
      </c>
      <c r="F48" s="16">
        <v>0.9999983238817549</v>
      </c>
      <c r="G48" s="16"/>
      <c r="H48" s="16">
        <v>1.0</v>
      </c>
      <c r="I48" s="16">
        <v>0.44166666666666665</v>
      </c>
      <c r="J48" s="16">
        <v>1.0</v>
      </c>
      <c r="K48" s="4">
        <v>0.0</v>
      </c>
      <c r="M48" s="4" t="s">
        <v>32</v>
      </c>
    </row>
    <row r="49" ht="18.0" customHeight="1">
      <c r="A49" s="4" t="s">
        <v>50</v>
      </c>
      <c r="B49" s="4">
        <v>49.0</v>
      </c>
      <c r="C49" s="4" t="s">
        <v>390</v>
      </c>
      <c r="D49" s="4" t="s">
        <v>391</v>
      </c>
      <c r="E49" s="16">
        <v>4.9866430344991386E-5</v>
      </c>
      <c r="F49" s="16">
        <v>0.9999962079402849</v>
      </c>
      <c r="G49" s="16"/>
      <c r="H49" s="16">
        <v>0.0</v>
      </c>
      <c r="I49" s="16">
        <v>0.016666666666666666</v>
      </c>
      <c r="J49" s="16">
        <v>0.0</v>
      </c>
      <c r="K49" s="4">
        <v>0.0</v>
      </c>
      <c r="M49" s="4" t="s">
        <v>32</v>
      </c>
    </row>
    <row r="50" ht="18.0" customHeight="1">
      <c r="A50" s="4" t="s">
        <v>50</v>
      </c>
      <c r="B50" s="4">
        <v>50.0</v>
      </c>
      <c r="C50" s="4" t="s">
        <v>393</v>
      </c>
      <c r="D50" s="4" t="s">
        <v>290</v>
      </c>
      <c r="E50" s="16">
        <v>1.1599379649851471E-4</v>
      </c>
      <c r="F50" s="16">
        <v>0.9999842336806068</v>
      </c>
      <c r="G50" s="16"/>
      <c r="H50" s="16">
        <v>1.0</v>
      </c>
      <c r="I50" s="16">
        <v>0.19999999999999998</v>
      </c>
      <c r="J50" s="16">
        <v>0.0</v>
      </c>
      <c r="K50" s="4">
        <v>0.0</v>
      </c>
      <c r="M50" s="4" t="s">
        <v>32</v>
      </c>
    </row>
    <row r="51" ht="18.0" customHeight="1">
      <c r="A51" s="4" t="s">
        <v>50</v>
      </c>
      <c r="B51" s="4">
        <v>51.0</v>
      </c>
      <c r="C51" s="4" t="s">
        <v>290</v>
      </c>
      <c r="D51" s="4" t="s">
        <v>256</v>
      </c>
      <c r="E51" s="16">
        <v>1.0890551493503153E-5</v>
      </c>
      <c r="F51" s="16">
        <v>0.9999992976046173</v>
      </c>
      <c r="G51" s="16"/>
      <c r="H51" s="16">
        <v>1.0</v>
      </c>
      <c r="I51" s="16">
        <v>0.19999999999999998</v>
      </c>
      <c r="J51" s="16">
        <v>0.0</v>
      </c>
      <c r="K51" s="4">
        <v>0.0</v>
      </c>
      <c r="M51" s="4" t="s">
        <v>32</v>
      </c>
    </row>
    <row r="52" ht="18.0" customHeight="1">
      <c r="A52" s="4" t="s">
        <v>50</v>
      </c>
      <c r="B52" s="4">
        <v>52.0</v>
      </c>
      <c r="C52" s="4" t="s">
        <v>256</v>
      </c>
      <c r="D52" s="4" t="s">
        <v>132</v>
      </c>
      <c r="E52" s="16">
        <v>3.818653931375593E-5</v>
      </c>
      <c r="F52" s="16">
        <v>0.9999968567558426</v>
      </c>
      <c r="G52" s="16"/>
      <c r="H52" s="16">
        <v>1.0</v>
      </c>
      <c r="I52" s="16">
        <v>0.19999999999999998</v>
      </c>
      <c r="J52" s="16">
        <v>0.0</v>
      </c>
      <c r="K52" s="4">
        <v>0.0</v>
      </c>
      <c r="M52" s="4" t="s">
        <v>32</v>
      </c>
    </row>
    <row r="53" ht="18.0" customHeight="1">
      <c r="A53" s="4" t="s">
        <v>50</v>
      </c>
      <c r="B53" s="4">
        <v>53.0</v>
      </c>
      <c r="C53" s="4" t="s">
        <v>364</v>
      </c>
      <c r="D53" s="4" t="s">
        <v>290</v>
      </c>
      <c r="E53" s="16">
        <v>3.165484231431037E-4</v>
      </c>
      <c r="F53" s="16">
        <v>0.9999473104999197</v>
      </c>
      <c r="G53" s="16"/>
      <c r="H53" s="16">
        <v>1.0</v>
      </c>
      <c r="I53" s="16">
        <v>0.19999999999999998</v>
      </c>
      <c r="J53" s="16">
        <v>0.0</v>
      </c>
      <c r="K53" s="4">
        <v>0.0</v>
      </c>
      <c r="M53" s="4" t="s">
        <v>32</v>
      </c>
    </row>
    <row r="54" ht="18.0" customHeight="1">
      <c r="A54" s="4" t="s">
        <v>50</v>
      </c>
      <c r="B54" s="4">
        <v>54.0</v>
      </c>
      <c r="C54" s="4" t="s">
        <v>290</v>
      </c>
      <c r="D54" s="4" t="s">
        <v>132</v>
      </c>
      <c r="E54" s="16">
        <v>1.427427378075663E-5</v>
      </c>
      <c r="F54" s="16">
        <v>0.9999984879912631</v>
      </c>
      <c r="G54" s="16"/>
      <c r="H54" s="16">
        <v>1.0</v>
      </c>
      <c r="I54" s="16">
        <v>0.19999999999999998</v>
      </c>
      <c r="J54" s="16">
        <v>0.0</v>
      </c>
      <c r="K54" s="4">
        <v>0.0</v>
      </c>
      <c r="M54" s="4" t="s">
        <v>32</v>
      </c>
    </row>
    <row r="55" ht="18.0" customHeight="1">
      <c r="A55" s="4" t="s">
        <v>50</v>
      </c>
      <c r="B55" s="4">
        <v>55.0</v>
      </c>
      <c r="C55" s="4" t="s">
        <v>132</v>
      </c>
      <c r="D55" s="4" t="s">
        <v>263</v>
      </c>
      <c r="E55" s="16">
        <v>2.999478419951629E-5</v>
      </c>
      <c r="F55" s="16">
        <v>0.999997808650761</v>
      </c>
      <c r="G55" s="16"/>
      <c r="H55" s="16">
        <v>1.0</v>
      </c>
      <c r="I55" s="16">
        <v>0.49583333333333335</v>
      </c>
      <c r="J55" s="16">
        <v>0.0</v>
      </c>
      <c r="K55" s="4">
        <v>0.0</v>
      </c>
      <c r="M55" s="4" t="s">
        <v>32</v>
      </c>
    </row>
    <row r="56" ht="18.0" customHeight="1">
      <c r="A56" s="4" t="s">
        <v>50</v>
      </c>
      <c r="B56" s="4">
        <v>56.0</v>
      </c>
      <c r="C56" s="4" t="s">
        <v>413</v>
      </c>
      <c r="D56" s="4" t="s">
        <v>290</v>
      </c>
      <c r="E56" s="16">
        <v>0.001278300886042416</v>
      </c>
      <c r="F56" s="16">
        <v>0.9997738744859817</v>
      </c>
      <c r="G56" s="16"/>
      <c r="H56" s="16">
        <v>1.0</v>
      </c>
      <c r="I56" s="16">
        <v>0.19999999999999998</v>
      </c>
      <c r="J56" s="16">
        <v>0.0</v>
      </c>
      <c r="K56" s="4">
        <v>0.0</v>
      </c>
      <c r="M56" s="4" t="s">
        <v>32</v>
      </c>
    </row>
    <row r="57" ht="18.0" customHeight="1">
      <c r="A57" s="4" t="s">
        <v>50</v>
      </c>
      <c r="B57" s="4">
        <v>57.0</v>
      </c>
      <c r="C57" s="4" t="s">
        <v>364</v>
      </c>
      <c r="D57" s="4" t="s">
        <v>264</v>
      </c>
      <c r="E57" s="16">
        <v>1.3494365703081712E-5</v>
      </c>
      <c r="F57" s="16">
        <v>0.9999991158091177</v>
      </c>
      <c r="G57" s="16"/>
      <c r="H57" s="16">
        <v>1.0</v>
      </c>
      <c r="I57" s="16">
        <v>0.4791666666666667</v>
      </c>
      <c r="J57" s="16">
        <v>0.0</v>
      </c>
      <c r="K57" s="4">
        <v>0.0</v>
      </c>
      <c r="M57" s="4" t="s">
        <v>32</v>
      </c>
    </row>
    <row r="58" ht="18.0" customHeight="1">
      <c r="A58" s="4" t="s">
        <v>50</v>
      </c>
      <c r="B58" s="4">
        <v>58.0</v>
      </c>
      <c r="C58" s="4" t="s">
        <v>314</v>
      </c>
      <c r="D58" s="4" t="s">
        <v>290</v>
      </c>
      <c r="E58" s="16">
        <v>0.005625254940241575</v>
      </c>
      <c r="F58" s="16">
        <v>0.9987167821964249</v>
      </c>
      <c r="G58" s="16"/>
      <c r="H58" s="16">
        <v>0.0</v>
      </c>
      <c r="I58" s="16">
        <v>0.016666666666666666</v>
      </c>
      <c r="J58" s="16">
        <v>0.0</v>
      </c>
      <c r="K58" s="4">
        <v>0.0</v>
      </c>
      <c r="M58" s="4" t="s">
        <v>32</v>
      </c>
    </row>
    <row r="59" ht="18.0" customHeight="1">
      <c r="A59" s="4" t="s">
        <v>50</v>
      </c>
      <c r="B59" s="4">
        <v>59.0</v>
      </c>
      <c r="C59" s="4" t="s">
        <v>132</v>
      </c>
      <c r="D59" s="4" t="s">
        <v>366</v>
      </c>
      <c r="E59" s="16">
        <v>1.0099083738168702E-4</v>
      </c>
      <c r="F59" s="16">
        <v>0.9999912182177013</v>
      </c>
      <c r="G59" s="16"/>
      <c r="H59" s="16">
        <v>0.0</v>
      </c>
      <c r="I59" s="16">
        <v>0.016666666666666666</v>
      </c>
      <c r="J59" s="16">
        <v>0.0</v>
      </c>
      <c r="K59" s="4">
        <v>0.0</v>
      </c>
      <c r="M59" s="4" t="s">
        <v>32</v>
      </c>
    </row>
    <row r="60" ht="18.0" customHeight="1">
      <c r="A60" s="4" t="s">
        <v>50</v>
      </c>
      <c r="B60" s="4">
        <v>60.0</v>
      </c>
      <c r="C60" s="4" t="s">
        <v>362</v>
      </c>
      <c r="D60" s="4" t="s">
        <v>424</v>
      </c>
      <c r="E60" s="16">
        <v>9.483601752435789E-5</v>
      </c>
      <c r="F60" s="16">
        <v>0.9999868449331188</v>
      </c>
      <c r="G60" s="16"/>
      <c r="H60" s="16">
        <v>0.0</v>
      </c>
      <c r="I60" s="16">
        <v>0.016666666666666666</v>
      </c>
      <c r="J60" s="16">
        <v>0.0</v>
      </c>
      <c r="K60" s="4">
        <v>0.0</v>
      </c>
      <c r="M60" s="4" t="s">
        <v>32</v>
      </c>
    </row>
    <row r="61" ht="18.0" customHeight="1">
      <c r="A61" s="4" t="s">
        <v>50</v>
      </c>
      <c r="B61" s="4">
        <v>61.0</v>
      </c>
      <c r="C61" s="4" t="s">
        <v>301</v>
      </c>
      <c r="D61" s="4" t="s">
        <v>122</v>
      </c>
      <c r="E61" s="16">
        <v>1.380092726321891E-4</v>
      </c>
      <c r="F61" s="16">
        <v>0.9999861212363612</v>
      </c>
      <c r="G61" s="16"/>
      <c r="H61" s="16">
        <v>1.0</v>
      </c>
      <c r="I61" s="16">
        <v>0.2208333333333333</v>
      </c>
      <c r="J61" s="16">
        <v>0.09090909090909091</v>
      </c>
      <c r="K61" s="4">
        <v>0.0</v>
      </c>
      <c r="M61" s="4" t="s">
        <v>32</v>
      </c>
    </row>
    <row r="62" ht="18.0" customHeight="1">
      <c r="A62" s="4" t="s">
        <v>50</v>
      </c>
      <c r="B62" s="4">
        <v>62.0</v>
      </c>
      <c r="C62" s="4" t="s">
        <v>431</v>
      </c>
      <c r="D62" s="4" t="s">
        <v>434</v>
      </c>
      <c r="E62" s="16">
        <v>7.13778572389856E-5</v>
      </c>
      <c r="F62" s="16">
        <v>0.999993208225078</v>
      </c>
      <c r="G62" s="16"/>
      <c r="H62" s="16">
        <v>0.0</v>
      </c>
      <c r="I62" s="16">
        <v>0.016666666666666666</v>
      </c>
      <c r="J62" s="16">
        <v>0.0</v>
      </c>
      <c r="K62" s="4">
        <v>0.0</v>
      </c>
      <c r="M62" s="4" t="s">
        <v>32</v>
      </c>
    </row>
    <row r="63" ht="18.0" customHeight="1">
      <c r="A63" s="4" t="s">
        <v>50</v>
      </c>
      <c r="B63" s="4">
        <v>63.0</v>
      </c>
      <c r="C63" s="4" t="s">
        <v>90</v>
      </c>
      <c r="D63" s="4" t="s">
        <v>91</v>
      </c>
      <c r="E63" s="16">
        <v>4.4175193761475384E-4</v>
      </c>
      <c r="F63" s="16">
        <v>0.999936833683023</v>
      </c>
      <c r="G63" s="16"/>
      <c r="H63" s="16">
        <v>0.0</v>
      </c>
      <c r="I63" s="16">
        <v>0.016666666666666666</v>
      </c>
      <c r="J63" s="16">
        <v>0.0</v>
      </c>
      <c r="K63" s="4">
        <v>1.0</v>
      </c>
      <c r="L63" s="4">
        <v>0.0</v>
      </c>
      <c r="M63" s="4" t="s">
        <v>239</v>
      </c>
    </row>
    <row r="64" ht="18.0" customHeight="1">
      <c r="A64" s="4" t="s">
        <v>50</v>
      </c>
      <c r="B64" s="4">
        <v>64.0</v>
      </c>
      <c r="C64" s="4" t="s">
        <v>290</v>
      </c>
      <c r="D64" s="4" t="s">
        <v>264</v>
      </c>
      <c r="E64" s="16">
        <v>1.549463049741462E-4</v>
      </c>
      <c r="F64" s="16">
        <v>0.9999820975208422</v>
      </c>
      <c r="G64" s="16"/>
      <c r="H64" s="16">
        <v>1.0</v>
      </c>
      <c r="I64" s="16">
        <v>0.25</v>
      </c>
      <c r="J64" s="16">
        <v>0.0</v>
      </c>
      <c r="K64" s="4">
        <v>0.0</v>
      </c>
      <c r="M64" s="4" t="s">
        <v>32</v>
      </c>
    </row>
    <row r="65" ht="18.0" customHeight="1">
      <c r="A65" s="4" t="s">
        <v>50</v>
      </c>
      <c r="B65" s="4">
        <v>65.0</v>
      </c>
      <c r="C65" s="4" t="s">
        <v>378</v>
      </c>
      <c r="D65" s="4" t="s">
        <v>442</v>
      </c>
      <c r="E65" s="16">
        <v>7.848652603570372E-5</v>
      </c>
      <c r="F65" s="16">
        <v>0.9999916653021046</v>
      </c>
      <c r="G65" s="16"/>
      <c r="H65" s="16">
        <v>0.0</v>
      </c>
      <c r="I65" s="16">
        <v>0.016666666666666666</v>
      </c>
      <c r="J65" s="16">
        <v>0.0</v>
      </c>
      <c r="K65" s="4">
        <v>0.0</v>
      </c>
      <c r="M65" s="4" t="s">
        <v>32</v>
      </c>
    </row>
    <row r="66" ht="18.0" customHeight="1">
      <c r="A66" s="4" t="s">
        <v>50</v>
      </c>
      <c r="B66" s="4">
        <v>66.0</v>
      </c>
      <c r="C66" s="4" t="s">
        <v>248</v>
      </c>
      <c r="D66" s="4" t="s">
        <v>446</v>
      </c>
      <c r="E66" s="16">
        <v>3.251503949286416E-5</v>
      </c>
      <c r="F66" s="16">
        <v>0.9999968785856481</v>
      </c>
      <c r="G66" s="16"/>
      <c r="H66" s="16">
        <v>0.0</v>
      </c>
      <c r="I66" s="16">
        <v>0.016666666666666666</v>
      </c>
      <c r="J66" s="16">
        <v>0.0</v>
      </c>
      <c r="K66" s="4">
        <v>0.0</v>
      </c>
      <c r="M66" s="4" t="s">
        <v>32</v>
      </c>
    </row>
    <row r="67" ht="18.0" customHeight="1">
      <c r="A67" s="4" t="s">
        <v>50</v>
      </c>
      <c r="B67" s="4">
        <v>67.0</v>
      </c>
      <c r="C67" s="4" t="s">
        <v>448</v>
      </c>
      <c r="D67" s="4" t="s">
        <v>449</v>
      </c>
      <c r="E67" s="16">
        <v>4.316388367442414E-5</v>
      </c>
      <c r="F67" s="16">
        <v>0.999996198849999</v>
      </c>
      <c r="G67" s="16"/>
      <c r="H67" s="16">
        <v>0.0</v>
      </c>
      <c r="I67" s="16">
        <v>0.016666666666666666</v>
      </c>
      <c r="J67" s="16">
        <v>0.0</v>
      </c>
      <c r="K67" s="4">
        <v>0.0</v>
      </c>
      <c r="M67" s="4" t="s">
        <v>32</v>
      </c>
    </row>
    <row r="68" ht="18.0" customHeight="1">
      <c r="A68" s="4" t="s">
        <v>50</v>
      </c>
      <c r="B68" s="4">
        <v>68.0</v>
      </c>
      <c r="C68" s="4" t="s">
        <v>452</v>
      </c>
      <c r="D68" s="4" t="s">
        <v>122</v>
      </c>
      <c r="E68" s="16">
        <v>6.0243455664021894E-6</v>
      </c>
      <c r="F68" s="16">
        <v>0.9999996718605573</v>
      </c>
      <c r="G68" s="16"/>
      <c r="H68" s="16">
        <v>1.0</v>
      </c>
      <c r="I68" s="16">
        <v>0.3541666666666667</v>
      </c>
      <c r="J68" s="16">
        <v>0.03614457831325302</v>
      </c>
      <c r="K68" s="4">
        <v>0.0</v>
      </c>
      <c r="M68" s="4" t="s">
        <v>32</v>
      </c>
    </row>
    <row r="69" ht="18.0" customHeight="1">
      <c r="A69" s="4" t="s">
        <v>50</v>
      </c>
      <c r="B69" s="4">
        <v>69.0</v>
      </c>
      <c r="C69" s="4" t="s">
        <v>424</v>
      </c>
      <c r="D69" s="4" t="s">
        <v>361</v>
      </c>
      <c r="E69" s="16">
        <v>2.629944538057316E-5</v>
      </c>
      <c r="F69" s="16">
        <v>0.9999979981857905</v>
      </c>
      <c r="G69" s="16"/>
      <c r="H69" s="16">
        <v>0.0</v>
      </c>
      <c r="I69" s="16">
        <v>0.016666666666666666</v>
      </c>
      <c r="J69" s="16">
        <v>0.0</v>
      </c>
      <c r="K69" s="4">
        <v>0.0</v>
      </c>
      <c r="M69" s="4" t="s">
        <v>32</v>
      </c>
    </row>
    <row r="70" ht="18.0" customHeight="1">
      <c r="A70" s="4" t="s">
        <v>50</v>
      </c>
      <c r="B70" s="4">
        <v>70.0</v>
      </c>
      <c r="C70" s="4" t="s">
        <v>114</v>
      </c>
      <c r="D70" s="4" t="s">
        <v>457</v>
      </c>
      <c r="E70" s="16">
        <v>0.01050642691552639</v>
      </c>
      <c r="F70" s="16">
        <v>0.9982128982082941</v>
      </c>
      <c r="G70" s="16"/>
      <c r="H70" s="16">
        <v>0.8181818181818182</v>
      </c>
      <c r="I70" s="16">
        <v>0.325</v>
      </c>
      <c r="J70" s="16">
        <v>0.1750503018108652</v>
      </c>
      <c r="K70" s="4">
        <v>0.0</v>
      </c>
      <c r="M70" s="4" t="s">
        <v>32</v>
      </c>
    </row>
    <row r="71" ht="18.0" customHeight="1">
      <c r="A71" s="4" t="s">
        <v>50</v>
      </c>
      <c r="B71" s="4">
        <v>71.0</v>
      </c>
      <c r="C71" s="4" t="s">
        <v>232</v>
      </c>
      <c r="D71" s="4" t="s">
        <v>289</v>
      </c>
      <c r="E71" s="16">
        <v>0.001135400147177279</v>
      </c>
      <c r="F71" s="16">
        <v>0.9997893395629944</v>
      </c>
      <c r="G71" s="16"/>
      <c r="H71" s="16">
        <v>1.0</v>
      </c>
      <c r="I71" s="16">
        <v>0.19583333333333333</v>
      </c>
      <c r="J71" s="16">
        <v>0.0</v>
      </c>
      <c r="K71" s="4">
        <v>0.0</v>
      </c>
      <c r="M71" s="4" t="s">
        <v>32</v>
      </c>
    </row>
    <row r="72" ht="18.0" customHeight="1">
      <c r="A72" s="4" t="s">
        <v>50</v>
      </c>
      <c r="B72" s="4">
        <v>72.0</v>
      </c>
      <c r="C72" s="4" t="s">
        <v>464</v>
      </c>
      <c r="D72" s="4" t="s">
        <v>87</v>
      </c>
      <c r="E72" s="16">
        <v>0.4112192988395691</v>
      </c>
      <c r="F72" s="16">
        <v>0.7153958082199097</v>
      </c>
      <c r="G72" s="16"/>
      <c r="H72" s="16">
        <v>1.0</v>
      </c>
      <c r="I72" s="16">
        <v>0.41250000000000003</v>
      </c>
      <c r="J72" s="16">
        <v>0.18309859154929578</v>
      </c>
      <c r="K72" s="4">
        <v>0.0</v>
      </c>
      <c r="M72" s="4" t="s">
        <v>32</v>
      </c>
    </row>
    <row r="73" ht="18.0" customHeight="1">
      <c r="A73" s="4" t="s">
        <v>50</v>
      </c>
      <c r="B73" s="4">
        <v>73.0</v>
      </c>
      <c r="C73" s="4" t="s">
        <v>82</v>
      </c>
      <c r="D73" s="4" t="s">
        <v>126</v>
      </c>
      <c r="E73" s="16">
        <v>1.5936809359118342E-4</v>
      </c>
      <c r="F73" s="16">
        <v>0.9999859644126445</v>
      </c>
      <c r="G73" s="16"/>
      <c r="H73" s="16">
        <v>1.0</v>
      </c>
      <c r="I73" s="16">
        <v>0.4083333333333334</v>
      </c>
      <c r="J73" s="16">
        <v>0.35294117647058826</v>
      </c>
      <c r="K73" s="4">
        <v>1.0</v>
      </c>
      <c r="L73" s="4">
        <v>0.0</v>
      </c>
      <c r="M73" s="4" t="s">
        <v>239</v>
      </c>
    </row>
    <row r="74" ht="18.0" customHeight="1">
      <c r="A74" s="4" t="s">
        <v>50</v>
      </c>
      <c r="B74" s="4">
        <v>74.0</v>
      </c>
      <c r="C74" s="4" t="s">
        <v>241</v>
      </c>
      <c r="D74" s="4" t="s">
        <v>472</v>
      </c>
      <c r="E74" s="16">
        <v>2.0153529476374388E-5</v>
      </c>
      <c r="F74" s="16">
        <v>0.9999984331080896</v>
      </c>
      <c r="G74" s="16"/>
      <c r="H74" s="16">
        <v>1.0</v>
      </c>
      <c r="I74" s="16">
        <v>0.21666666666666667</v>
      </c>
      <c r="J74" s="16">
        <v>0.8</v>
      </c>
      <c r="K74" s="4">
        <v>0.0</v>
      </c>
      <c r="M74" s="4" t="s">
        <v>32</v>
      </c>
    </row>
    <row r="75" ht="18.0" customHeight="1">
      <c r="A75" s="4" t="s">
        <v>50</v>
      </c>
      <c r="B75" s="4">
        <v>75.0</v>
      </c>
      <c r="C75" s="4" t="s">
        <v>246</v>
      </c>
      <c r="D75" s="4" t="s">
        <v>248</v>
      </c>
      <c r="E75" s="16">
        <v>2.524651790736243E-5</v>
      </c>
      <c r="F75" s="16">
        <v>0.9999973991305069</v>
      </c>
      <c r="G75" s="16"/>
      <c r="H75" s="16">
        <v>1.0</v>
      </c>
      <c r="I75" s="16">
        <v>0.23749999999999996</v>
      </c>
      <c r="J75" s="16">
        <v>0.5</v>
      </c>
      <c r="K75" s="4">
        <v>0.0</v>
      </c>
      <c r="M75" s="4" t="s">
        <v>32</v>
      </c>
    </row>
    <row r="76" ht="18.0" customHeight="1">
      <c r="A76" s="4" t="s">
        <v>50</v>
      </c>
      <c r="B76" s="4">
        <v>76.0</v>
      </c>
      <c r="C76" s="4" t="s">
        <v>478</v>
      </c>
      <c r="D76" s="4" t="s">
        <v>100</v>
      </c>
      <c r="E76" s="16">
        <v>0.0014051306061446667</v>
      </c>
      <c r="F76" s="16">
        <v>0.999771984956169</v>
      </c>
      <c r="G76" s="16"/>
      <c r="H76" s="16">
        <v>0.9090909090909091</v>
      </c>
      <c r="I76" s="16">
        <v>0.21666666666666665</v>
      </c>
      <c r="J76" s="16">
        <v>0.25609756097560976</v>
      </c>
      <c r="K76" s="4">
        <v>0.0</v>
      </c>
      <c r="M76" s="4" t="s">
        <v>32</v>
      </c>
    </row>
    <row r="77" ht="18.0" customHeight="1">
      <c r="A77" s="4" t="s">
        <v>50</v>
      </c>
      <c r="B77" s="4">
        <v>77.0</v>
      </c>
      <c r="C77" s="4" t="s">
        <v>232</v>
      </c>
      <c r="D77" s="4" t="s">
        <v>289</v>
      </c>
      <c r="E77" s="16">
        <v>1.566961727803573E-4</v>
      </c>
      <c r="F77" s="16">
        <v>0.9999784991787237</v>
      </c>
      <c r="G77" s="16"/>
      <c r="H77" s="16">
        <v>1.0</v>
      </c>
      <c r="I77" s="16">
        <v>0.375</v>
      </c>
      <c r="J77" s="16">
        <v>0.02439024390243903</v>
      </c>
      <c r="K77" s="4">
        <v>0.0</v>
      </c>
      <c r="M77" s="4" t="s">
        <v>32</v>
      </c>
    </row>
    <row r="78" ht="18.0" customHeight="1">
      <c r="A78" s="4" t="s">
        <v>50</v>
      </c>
      <c r="B78" s="4">
        <v>78.0</v>
      </c>
      <c r="C78" s="4" t="s">
        <v>482</v>
      </c>
      <c r="D78" s="4" t="s">
        <v>483</v>
      </c>
      <c r="E78" s="16">
        <v>0.0013806386850774288</v>
      </c>
      <c r="F78" s="16">
        <v>0.9998283906752476</v>
      </c>
      <c r="G78" s="16"/>
      <c r="H78" s="16">
        <v>0.0</v>
      </c>
      <c r="I78" s="16">
        <v>0.0</v>
      </c>
      <c r="J78" s="16">
        <v>0.33333333333333337</v>
      </c>
      <c r="K78" s="4">
        <v>0.0</v>
      </c>
      <c r="M78" s="4" t="s">
        <v>32</v>
      </c>
    </row>
    <row r="79" ht="18.0" customHeight="1">
      <c r="A79" s="4" t="s">
        <v>50</v>
      </c>
      <c r="B79" s="4">
        <v>79.0</v>
      </c>
      <c r="C79" s="4" t="s">
        <v>232</v>
      </c>
      <c r="D79" s="4" t="s">
        <v>289</v>
      </c>
      <c r="E79" s="16">
        <v>2.1057405319879763E-5</v>
      </c>
      <c r="F79" s="16">
        <v>0.9999979718759278</v>
      </c>
      <c r="G79" s="16"/>
      <c r="H79" s="16">
        <v>1.0</v>
      </c>
      <c r="I79" s="16">
        <v>0.2791666666666667</v>
      </c>
      <c r="J79" s="16">
        <v>0.0</v>
      </c>
      <c r="K79" s="4">
        <v>0.0</v>
      </c>
      <c r="M79" s="4" t="s">
        <v>32</v>
      </c>
    </row>
    <row r="80" ht="18.0" customHeight="1">
      <c r="A80" s="4" t="s">
        <v>50</v>
      </c>
      <c r="B80" s="4">
        <v>80.0</v>
      </c>
      <c r="C80" s="4" t="s">
        <v>464</v>
      </c>
      <c r="D80" s="4" t="s">
        <v>87</v>
      </c>
      <c r="E80" s="16">
        <v>3.8633443182334304E-5</v>
      </c>
      <c r="F80" s="16">
        <v>0.9999959671938541</v>
      </c>
      <c r="G80" s="16"/>
      <c r="H80" s="16">
        <v>1.0</v>
      </c>
      <c r="I80" s="16">
        <v>0.4291666666666667</v>
      </c>
      <c r="J80" s="16">
        <v>0.46987951807228917</v>
      </c>
      <c r="K80" s="4">
        <v>0.0</v>
      </c>
      <c r="M80" s="4" t="s">
        <v>32</v>
      </c>
    </row>
    <row r="81" ht="18.0" customHeight="1">
      <c r="A81" s="4" t="s">
        <v>50</v>
      </c>
      <c r="B81" s="4">
        <v>81.0</v>
      </c>
      <c r="C81" s="4" t="s">
        <v>82</v>
      </c>
      <c r="D81" s="4" t="s">
        <v>126</v>
      </c>
      <c r="E81" s="16">
        <v>2.7735153707908466E-5</v>
      </c>
      <c r="F81" s="16">
        <v>0.9999976535268047</v>
      </c>
      <c r="G81" s="16"/>
      <c r="H81" s="16">
        <v>1.0</v>
      </c>
      <c r="I81" s="16">
        <v>0.4208333333333334</v>
      </c>
      <c r="J81" s="16">
        <v>0.6666666666666667</v>
      </c>
      <c r="K81" s="4">
        <v>0.0</v>
      </c>
      <c r="M81" s="4" t="s">
        <v>32</v>
      </c>
    </row>
    <row r="82" ht="18.0" customHeight="1">
      <c r="A82" s="4" t="s">
        <v>50</v>
      </c>
      <c r="B82" s="4">
        <v>82.0</v>
      </c>
      <c r="C82" s="4" t="s">
        <v>241</v>
      </c>
      <c r="D82" s="4" t="s">
        <v>472</v>
      </c>
      <c r="E82" s="16">
        <v>3.6657693271990865E-5</v>
      </c>
      <c r="F82" s="16">
        <v>0.9999972265631527</v>
      </c>
      <c r="G82" s="16"/>
      <c r="H82" s="16">
        <v>1.0</v>
      </c>
      <c r="I82" s="16">
        <v>0.25833333333333336</v>
      </c>
      <c r="J82" s="16">
        <v>1.0</v>
      </c>
      <c r="K82" s="4">
        <v>0.0</v>
      </c>
      <c r="M82" s="4" t="s">
        <v>32</v>
      </c>
    </row>
    <row r="83" ht="18.0" customHeight="1">
      <c r="A83" s="4" t="s">
        <v>50</v>
      </c>
      <c r="B83" s="4">
        <v>83.0</v>
      </c>
      <c r="C83" s="4" t="s">
        <v>246</v>
      </c>
      <c r="D83" s="4" t="s">
        <v>248</v>
      </c>
      <c r="E83" s="16">
        <v>1.183486238005571E-4</v>
      </c>
      <c r="F83" s="16">
        <v>0.9999816212048245</v>
      </c>
      <c r="G83" s="16"/>
      <c r="H83" s="16">
        <v>1.0</v>
      </c>
      <c r="I83" s="16">
        <v>0.25833333333333336</v>
      </c>
      <c r="J83" s="16">
        <v>0.27710843373493976</v>
      </c>
      <c r="K83" s="4">
        <v>0.0</v>
      </c>
      <c r="M83" s="4" t="s">
        <v>32</v>
      </c>
    </row>
    <row r="84" ht="18.0" customHeight="1">
      <c r="A84" s="4" t="s">
        <v>50</v>
      </c>
      <c r="B84" s="4">
        <v>84.0</v>
      </c>
      <c r="C84" s="4" t="s">
        <v>100</v>
      </c>
      <c r="D84" s="4" t="s">
        <v>101</v>
      </c>
      <c r="E84" s="16">
        <v>1.0185161045228597E-5</v>
      </c>
      <c r="F84" s="16">
        <v>0.9999991006491769</v>
      </c>
      <c r="G84" s="16"/>
      <c r="H84" s="16">
        <v>0.09090909090909091</v>
      </c>
      <c r="I84" s="16">
        <v>0.041666666666666664</v>
      </c>
      <c r="J84" s="16">
        <v>0.0</v>
      </c>
      <c r="K84" s="4">
        <v>1.0</v>
      </c>
      <c r="L84" s="4">
        <v>0.0</v>
      </c>
      <c r="M84" s="4" t="s">
        <v>239</v>
      </c>
    </row>
    <row r="85" ht="18.0" customHeight="1">
      <c r="A85" s="4" t="s">
        <v>50</v>
      </c>
      <c r="B85" s="4">
        <v>85.0</v>
      </c>
      <c r="C85" s="4" t="s">
        <v>499</v>
      </c>
      <c r="D85" s="4" t="s">
        <v>500</v>
      </c>
      <c r="E85" s="16">
        <v>1.722288470773492E-5</v>
      </c>
      <c r="F85" s="16">
        <v>0.9999987307132869</v>
      </c>
      <c r="G85" s="16"/>
      <c r="H85" s="16">
        <v>0.18181818181818182</v>
      </c>
      <c r="I85" s="16">
        <v>0.05000000000000001</v>
      </c>
      <c r="J85" s="16">
        <v>0.0</v>
      </c>
      <c r="K85" s="4">
        <v>0.0</v>
      </c>
      <c r="M85" s="4" t="s">
        <v>32</v>
      </c>
    </row>
    <row r="86" ht="18.0" customHeight="1">
      <c r="A86" s="4" t="s">
        <v>50</v>
      </c>
      <c r="B86" s="4">
        <v>86.0</v>
      </c>
      <c r="C86" s="4" t="s">
        <v>504</v>
      </c>
      <c r="D86" s="4" t="s">
        <v>505</v>
      </c>
      <c r="E86" s="16">
        <v>1.5745835844427347E-4</v>
      </c>
      <c r="F86" s="16">
        <v>0.9999822539216439</v>
      </c>
      <c r="G86" s="16"/>
      <c r="H86" s="16">
        <v>1.0</v>
      </c>
      <c r="I86" s="16">
        <v>0.23333333333333336</v>
      </c>
      <c r="J86" s="16">
        <v>0.0</v>
      </c>
      <c r="K86" s="4">
        <v>0.0</v>
      </c>
      <c r="M86" s="4" t="s">
        <v>32</v>
      </c>
    </row>
    <row r="87" ht="18.0" customHeight="1">
      <c r="A87" s="4" t="s">
        <v>50</v>
      </c>
      <c r="B87" s="4">
        <v>87.0</v>
      </c>
      <c r="C87" s="4" t="s">
        <v>232</v>
      </c>
      <c r="D87" s="4" t="s">
        <v>289</v>
      </c>
      <c r="E87" s="16">
        <v>2.475081964803394E-5</v>
      </c>
      <c r="F87" s="16">
        <v>0.9999978026852432</v>
      </c>
      <c r="G87" s="16"/>
      <c r="H87" s="16">
        <v>1.0</v>
      </c>
      <c r="I87" s="16">
        <v>0.4166666666666667</v>
      </c>
      <c r="J87" s="16">
        <v>0.02439024390243903</v>
      </c>
      <c r="K87" s="4">
        <v>0.0</v>
      </c>
      <c r="M87" s="4" t="s">
        <v>32</v>
      </c>
    </row>
    <row r="88" ht="18.0" customHeight="1">
      <c r="A88" s="4" t="s">
        <v>50</v>
      </c>
      <c r="B88" s="4">
        <v>88.0</v>
      </c>
      <c r="C88" s="4" t="s">
        <v>509</v>
      </c>
      <c r="D88" s="4" t="s">
        <v>510</v>
      </c>
      <c r="E88" s="16">
        <v>8.712366252439097E-6</v>
      </c>
      <c r="F88" s="16">
        <v>0.9999993145555663</v>
      </c>
      <c r="G88" s="16"/>
      <c r="H88" s="16">
        <v>0.09090909090909091</v>
      </c>
      <c r="I88" s="16">
        <v>0.041666666666666664</v>
      </c>
      <c r="J88" s="16">
        <v>0.0</v>
      </c>
      <c r="K88" s="4">
        <v>0.0</v>
      </c>
      <c r="M88" s="4" t="s">
        <v>32</v>
      </c>
    </row>
    <row r="89" ht="18.0" customHeight="1">
      <c r="A89" s="4" t="s">
        <v>50</v>
      </c>
      <c r="B89" s="4">
        <v>89.0</v>
      </c>
      <c r="C89" s="4" t="s">
        <v>514</v>
      </c>
      <c r="D89" s="4" t="s">
        <v>499</v>
      </c>
      <c r="E89" s="16">
        <v>1.2313407205510885E-4</v>
      </c>
      <c r="F89" s="16">
        <v>0.9999858537216824</v>
      </c>
      <c r="G89" s="16"/>
      <c r="H89" s="16">
        <v>1.0</v>
      </c>
      <c r="I89" s="16">
        <v>0.2708333333333333</v>
      </c>
      <c r="J89" s="16">
        <v>0.0</v>
      </c>
      <c r="K89" s="4">
        <v>0.0</v>
      </c>
      <c r="M89" s="4" t="s">
        <v>32</v>
      </c>
    </row>
    <row r="90" ht="18.0" customHeight="1">
      <c r="A90" s="4" t="s">
        <v>50</v>
      </c>
      <c r="B90" s="4">
        <v>90.0</v>
      </c>
      <c r="C90" s="4" t="s">
        <v>107</v>
      </c>
      <c r="D90" s="4" t="s">
        <v>518</v>
      </c>
      <c r="E90" s="16">
        <v>9.728388249641284E-5</v>
      </c>
      <c r="F90" s="16">
        <v>0.9999909610194209</v>
      </c>
      <c r="G90" s="16"/>
      <c r="H90" s="16">
        <v>0.09090909090909091</v>
      </c>
      <c r="I90" s="16">
        <v>0.03333333333333333</v>
      </c>
      <c r="J90" s="16">
        <v>0.0</v>
      </c>
      <c r="K90" s="4">
        <v>0.0</v>
      </c>
      <c r="M90" s="4" t="s">
        <v>32</v>
      </c>
    </row>
    <row r="91" ht="18.0" customHeight="1">
      <c r="A91" s="4" t="s">
        <v>50</v>
      </c>
      <c r="B91" s="4">
        <v>91.0</v>
      </c>
      <c r="C91" s="4" t="s">
        <v>514</v>
      </c>
      <c r="D91" s="4" t="s">
        <v>521</v>
      </c>
      <c r="E91" s="16">
        <v>1.2318148492340697E-6</v>
      </c>
      <c r="F91" s="16">
        <v>0.9999999740929315</v>
      </c>
      <c r="G91" s="16"/>
      <c r="H91" s="16">
        <v>1.0</v>
      </c>
      <c r="I91" s="16">
        <v>0.25833333333333336</v>
      </c>
      <c r="J91" s="16">
        <v>0.0</v>
      </c>
      <c r="K91" s="4">
        <v>0.0</v>
      </c>
      <c r="M91" s="4" t="s">
        <v>32</v>
      </c>
    </row>
    <row r="92" ht="18.0" customHeight="1">
      <c r="A92" s="4" t="s">
        <v>50</v>
      </c>
      <c r="B92" s="4">
        <v>92.0</v>
      </c>
      <c r="C92" s="4" t="s">
        <v>521</v>
      </c>
      <c r="D92" s="4" t="s">
        <v>122</v>
      </c>
      <c r="E92" s="16">
        <v>1.0928831761702895E-4</v>
      </c>
      <c r="F92" s="16">
        <v>0.9999859640688555</v>
      </c>
      <c r="G92" s="16"/>
      <c r="H92" s="16">
        <v>1.0</v>
      </c>
      <c r="I92" s="16">
        <v>0.3958333333333333</v>
      </c>
      <c r="J92" s="16">
        <v>0.02439024390243903</v>
      </c>
      <c r="K92" s="4">
        <v>0.0</v>
      </c>
      <c r="M92" s="4" t="s">
        <v>32</v>
      </c>
    </row>
    <row r="93" ht="18.0" customHeight="1">
      <c r="A93" s="4" t="s">
        <v>50</v>
      </c>
      <c r="B93" s="4">
        <v>93.0</v>
      </c>
      <c r="C93" s="4" t="s">
        <v>232</v>
      </c>
      <c r="D93" s="4" t="s">
        <v>289</v>
      </c>
      <c r="E93" s="16">
        <v>1.9777320630964823E-5</v>
      </c>
      <c r="F93" s="16">
        <v>0.9999981552332997</v>
      </c>
      <c r="G93" s="16"/>
      <c r="H93" s="16">
        <v>1.0</v>
      </c>
      <c r="I93" s="16">
        <v>0.2791666666666667</v>
      </c>
      <c r="J93" s="16">
        <v>0.0</v>
      </c>
      <c r="K93" s="4">
        <v>0.0</v>
      </c>
      <c r="M93" s="4" t="s">
        <v>32</v>
      </c>
    </row>
    <row r="94" ht="18.0" customHeight="1">
      <c r="A94" s="4" t="s">
        <v>50</v>
      </c>
      <c r="B94" s="4">
        <v>94.0</v>
      </c>
      <c r="C94" s="4" t="s">
        <v>464</v>
      </c>
      <c r="D94" s="4" t="s">
        <v>87</v>
      </c>
      <c r="E94" s="16">
        <v>1.0615875362418592E-4</v>
      </c>
      <c r="F94" s="16">
        <v>0.999985752761404</v>
      </c>
      <c r="G94" s="16"/>
      <c r="H94" s="16">
        <v>1.0</v>
      </c>
      <c r="I94" s="16">
        <v>0.4083333333333334</v>
      </c>
      <c r="J94" s="16">
        <v>0.44922547332185886</v>
      </c>
      <c r="K94" s="4">
        <v>0.0</v>
      </c>
      <c r="M94" s="4" t="s">
        <v>32</v>
      </c>
    </row>
    <row r="95" ht="18.0" customHeight="1">
      <c r="A95" s="4" t="s">
        <v>50</v>
      </c>
      <c r="B95" s="4">
        <v>95.0</v>
      </c>
      <c r="C95" s="4" t="s">
        <v>82</v>
      </c>
      <c r="D95" s="4" t="s">
        <v>264</v>
      </c>
      <c r="E95" s="16">
        <v>2.244942879769951E-5</v>
      </c>
      <c r="F95" s="16">
        <v>0.9999984771481536</v>
      </c>
      <c r="G95" s="16"/>
      <c r="H95" s="16">
        <v>1.0</v>
      </c>
      <c r="I95" s="16">
        <v>0.4375</v>
      </c>
      <c r="J95" s="16">
        <v>0.13043478260869568</v>
      </c>
      <c r="K95" s="4">
        <v>0.0</v>
      </c>
      <c r="M95" s="4" t="s">
        <v>32</v>
      </c>
    </row>
    <row r="96" ht="18.0" customHeight="1">
      <c r="A96" s="4" t="s">
        <v>50</v>
      </c>
      <c r="B96" s="4">
        <v>96.0</v>
      </c>
      <c r="C96" s="4" t="s">
        <v>241</v>
      </c>
      <c r="D96" s="4" t="s">
        <v>534</v>
      </c>
      <c r="E96" s="16">
        <v>3.202878724550828E-5</v>
      </c>
      <c r="F96" s="16">
        <v>0.9999972144112235</v>
      </c>
      <c r="G96" s="16"/>
      <c r="H96" s="16">
        <v>0.0</v>
      </c>
      <c r="I96" s="16">
        <v>0.016666666666666666</v>
      </c>
      <c r="J96" s="16">
        <v>1.0</v>
      </c>
      <c r="K96" s="4">
        <v>0.0</v>
      </c>
      <c r="M96" s="4" t="s">
        <v>32</v>
      </c>
    </row>
    <row r="97" ht="18.0" customHeight="1">
      <c r="A97" s="4" t="s">
        <v>50</v>
      </c>
      <c r="B97" s="4">
        <v>97.0</v>
      </c>
      <c r="C97" s="4" t="s">
        <v>246</v>
      </c>
      <c r="D97" s="4" t="s">
        <v>248</v>
      </c>
      <c r="E97" s="16">
        <v>1.7686074716039002E-4</v>
      </c>
      <c r="F97" s="16">
        <v>0.9999734455886937</v>
      </c>
      <c r="G97" s="16"/>
      <c r="H97" s="16">
        <v>1.0</v>
      </c>
      <c r="I97" s="16">
        <v>0.2541666666666667</v>
      </c>
      <c r="J97" s="16">
        <v>1.0</v>
      </c>
      <c r="K97" s="4">
        <v>0.0</v>
      </c>
      <c r="M97" s="4" t="s">
        <v>32</v>
      </c>
    </row>
    <row r="98" ht="18.0" customHeight="1">
      <c r="A98" s="4" t="s">
        <v>50</v>
      </c>
      <c r="B98" s="4">
        <v>98.0</v>
      </c>
      <c r="C98" s="4" t="s">
        <v>100</v>
      </c>
      <c r="D98" s="4" t="s">
        <v>478</v>
      </c>
      <c r="E98" s="16">
        <v>2.6073586923303083E-5</v>
      </c>
      <c r="F98" s="16">
        <v>0.9999979838347883</v>
      </c>
      <c r="G98" s="16"/>
      <c r="H98" s="16">
        <v>1.0</v>
      </c>
      <c r="I98" s="16">
        <v>0.22083333333333333</v>
      </c>
      <c r="J98" s="16">
        <v>1.0</v>
      </c>
      <c r="K98" s="4">
        <v>0.0</v>
      </c>
      <c r="M98" s="4" t="s">
        <v>32</v>
      </c>
    </row>
    <row r="99" ht="18.0" customHeight="1">
      <c r="A99" s="4" t="s">
        <v>50</v>
      </c>
      <c r="B99" s="4">
        <v>99.0</v>
      </c>
      <c r="C99" s="4" t="s">
        <v>514</v>
      </c>
      <c r="D99" s="4" t="s">
        <v>499</v>
      </c>
      <c r="E99" s="16">
        <v>5.7871548051480204E-5</v>
      </c>
      <c r="F99" s="16">
        <v>0.9999939021511182</v>
      </c>
      <c r="G99" s="16"/>
      <c r="H99" s="16">
        <v>1.0</v>
      </c>
      <c r="I99" s="16">
        <v>0.17499999999999996</v>
      </c>
      <c r="J99" s="16">
        <v>1.0</v>
      </c>
      <c r="K99" s="4">
        <v>0.0</v>
      </c>
      <c r="M99" s="4" t="s">
        <v>32</v>
      </c>
    </row>
    <row r="100" ht="18.0" customHeight="1">
      <c r="A100" s="4" t="s">
        <v>50</v>
      </c>
      <c r="B100" s="4">
        <v>100.0</v>
      </c>
      <c r="C100" s="4" t="s">
        <v>107</v>
      </c>
      <c r="D100" s="4" t="s">
        <v>108</v>
      </c>
      <c r="E100" s="16">
        <v>1.822847843868658E-5</v>
      </c>
      <c r="F100" s="16">
        <v>0.999998569480681</v>
      </c>
      <c r="G100" s="16"/>
      <c r="H100" s="16">
        <v>0.18181818181818182</v>
      </c>
      <c r="I100" s="16">
        <v>0.11666666666666665</v>
      </c>
      <c r="J100" s="16">
        <v>0.13043478260869568</v>
      </c>
      <c r="K100" s="4">
        <v>1.0</v>
      </c>
      <c r="L100" s="4">
        <v>0.0</v>
      </c>
      <c r="M100" s="4" t="s">
        <v>239</v>
      </c>
    </row>
    <row r="101" ht="18.0" customHeight="1">
      <c r="A101" s="4" t="s">
        <v>50</v>
      </c>
      <c r="B101" s="4">
        <v>101.0</v>
      </c>
      <c r="C101" s="4" t="s">
        <v>504</v>
      </c>
      <c r="D101" s="4" t="s">
        <v>505</v>
      </c>
      <c r="E101" s="16">
        <v>1.8958713917527348E-4</v>
      </c>
      <c r="F101" s="16">
        <v>0.9999814051975591</v>
      </c>
      <c r="G101" s="16"/>
      <c r="H101" s="16">
        <v>1.0</v>
      </c>
      <c r="I101" s="16">
        <v>0.24166666666666667</v>
      </c>
      <c r="J101" s="16">
        <v>0.38372093023255816</v>
      </c>
      <c r="K101" s="4">
        <v>0.0</v>
      </c>
      <c r="M101" s="4" t="s">
        <v>32</v>
      </c>
    </row>
    <row r="102" ht="18.0" customHeight="1">
      <c r="A102" s="4" t="s">
        <v>50</v>
      </c>
      <c r="B102" s="4">
        <v>102.0</v>
      </c>
      <c r="C102" s="4" t="s">
        <v>232</v>
      </c>
      <c r="D102" s="4" t="s">
        <v>289</v>
      </c>
      <c r="E102" s="16">
        <v>3.5734690754907206E-5</v>
      </c>
      <c r="F102" s="16">
        <v>0.999996013003738</v>
      </c>
      <c r="G102" s="16"/>
      <c r="H102" s="16">
        <v>1.0</v>
      </c>
      <c r="I102" s="16">
        <v>0.4583333333333333</v>
      </c>
      <c r="J102" s="16">
        <v>0.13043478260869568</v>
      </c>
      <c r="K102" s="4">
        <v>0.0</v>
      </c>
      <c r="M102" s="4" t="s">
        <v>32</v>
      </c>
    </row>
    <row r="103" ht="18.0" customHeight="1">
      <c r="A103" s="4" t="s">
        <v>50</v>
      </c>
      <c r="B103" s="4">
        <v>103.0</v>
      </c>
      <c r="C103" s="4" t="s">
        <v>509</v>
      </c>
      <c r="D103" s="4" t="s">
        <v>87</v>
      </c>
      <c r="E103" s="16">
        <v>2.1237285181996413E-5</v>
      </c>
      <c r="F103" s="16">
        <v>0.9999978890252805</v>
      </c>
      <c r="G103" s="16"/>
      <c r="H103" s="16">
        <v>0.9090909090909091</v>
      </c>
      <c r="I103" s="16">
        <v>0.45</v>
      </c>
      <c r="J103" s="16">
        <v>1.0</v>
      </c>
      <c r="K103" s="4">
        <v>0.0</v>
      </c>
      <c r="M103" s="4" t="s">
        <v>32</v>
      </c>
    </row>
    <row r="104" ht="18.0" customHeight="1">
      <c r="A104" s="4" t="s">
        <v>50</v>
      </c>
      <c r="B104" s="4">
        <v>104.0</v>
      </c>
      <c r="C104" s="4" t="s">
        <v>514</v>
      </c>
      <c r="D104" s="4" t="s">
        <v>499</v>
      </c>
      <c r="E104" s="16">
        <v>1.4484940038528293E-4</v>
      </c>
      <c r="F104" s="16">
        <v>0.9999811711331859</v>
      </c>
      <c r="G104" s="16"/>
      <c r="H104" s="16">
        <v>0.0</v>
      </c>
      <c r="I104" s="16">
        <v>0.016666666666666666</v>
      </c>
      <c r="J104" s="16">
        <v>0.0</v>
      </c>
      <c r="K104" s="4">
        <v>0.0</v>
      </c>
      <c r="M104" s="4" t="s">
        <v>32</v>
      </c>
    </row>
    <row r="105" ht="18.0" customHeight="1">
      <c r="A105" s="4" t="s">
        <v>50</v>
      </c>
      <c r="B105" s="4">
        <v>105.0</v>
      </c>
      <c r="C105" s="4" t="s">
        <v>107</v>
      </c>
      <c r="D105" s="4" t="s">
        <v>554</v>
      </c>
      <c r="E105" s="16">
        <v>2.460481191519648E-4</v>
      </c>
      <c r="F105" s="16">
        <v>0.9999741133169664</v>
      </c>
      <c r="G105" s="16"/>
      <c r="H105" s="16">
        <v>1.0</v>
      </c>
      <c r="I105" s="16">
        <v>0.32083333333333336</v>
      </c>
      <c r="J105" s="16">
        <v>0.0</v>
      </c>
      <c r="K105" s="4">
        <v>0.0</v>
      </c>
      <c r="M105" s="4" t="s">
        <v>32</v>
      </c>
    </row>
    <row r="106" ht="18.0" customHeight="1">
      <c r="A106" s="4" t="s">
        <v>50</v>
      </c>
      <c r="B106" s="4">
        <v>106.0</v>
      </c>
      <c r="C106" s="4" t="s">
        <v>514</v>
      </c>
      <c r="D106" s="4" t="s">
        <v>521</v>
      </c>
      <c r="E106" s="16">
        <v>1.5106284081412014E-5</v>
      </c>
      <c r="F106" s="16">
        <v>0.9999986394854261</v>
      </c>
      <c r="G106" s="16"/>
      <c r="H106" s="16">
        <v>1.0</v>
      </c>
      <c r="I106" s="16">
        <v>0.30833333333333335</v>
      </c>
      <c r="J106" s="16">
        <v>0.33333333333333337</v>
      </c>
      <c r="K106" s="4">
        <v>0.0</v>
      </c>
      <c r="M106" s="4" t="s">
        <v>32</v>
      </c>
    </row>
    <row r="107" ht="18.0" customHeight="1">
      <c r="A107" s="4" t="s">
        <v>50</v>
      </c>
      <c r="B107" s="4">
        <v>107.0</v>
      </c>
      <c r="C107" s="4" t="s">
        <v>521</v>
      </c>
      <c r="D107" s="4" t="s">
        <v>559</v>
      </c>
      <c r="E107" s="16">
        <v>4.976651398465037E-4</v>
      </c>
      <c r="F107" s="16">
        <v>0.9999464780339622</v>
      </c>
      <c r="G107" s="16"/>
      <c r="H107" s="16">
        <v>0.7272727272727273</v>
      </c>
      <c r="I107" s="16">
        <v>0.35000000000000003</v>
      </c>
      <c r="J107" s="16">
        <v>0.8125</v>
      </c>
      <c r="K107" s="4">
        <v>0.0</v>
      </c>
      <c r="M107" s="4" t="s">
        <v>32</v>
      </c>
    </row>
    <row r="108" ht="18.0" customHeight="1">
      <c r="A108" s="4" t="s">
        <v>50</v>
      </c>
      <c r="B108" s="4">
        <v>108.0</v>
      </c>
      <c r="C108" s="4" t="s">
        <v>232</v>
      </c>
      <c r="D108" s="4" t="s">
        <v>289</v>
      </c>
      <c r="E108" s="16">
        <v>3.706965653691441E-4</v>
      </c>
      <c r="F108" s="16">
        <v>0.9999426151789521</v>
      </c>
      <c r="G108" s="16"/>
      <c r="H108" s="16">
        <v>0.9090909090909091</v>
      </c>
      <c r="I108" s="16">
        <v>0.3041666666666667</v>
      </c>
      <c r="J108" s="16">
        <v>1.0</v>
      </c>
      <c r="K108" s="4">
        <v>0.0</v>
      </c>
      <c r="M108" s="4" t="s">
        <v>32</v>
      </c>
    </row>
    <row r="109" ht="18.0" customHeight="1">
      <c r="A109" s="4" t="s">
        <v>50</v>
      </c>
      <c r="B109" s="4">
        <v>109.0</v>
      </c>
      <c r="C109" s="4" t="s">
        <v>87</v>
      </c>
      <c r="D109" s="4" t="s">
        <v>563</v>
      </c>
      <c r="E109" s="16">
        <v>0.015175851061940193</v>
      </c>
      <c r="F109" s="16">
        <v>0.9962101493729278</v>
      </c>
      <c r="G109" s="16"/>
      <c r="H109" s="16">
        <v>0.09090909090909091</v>
      </c>
      <c r="I109" s="16">
        <v>0.0</v>
      </c>
      <c r="J109" s="16">
        <v>0.0</v>
      </c>
      <c r="K109" s="4">
        <v>0.0</v>
      </c>
      <c r="M109" s="4" t="s">
        <v>32</v>
      </c>
    </row>
    <row r="110" ht="18.0" customHeight="1">
      <c r="A110" s="4" t="s">
        <v>50</v>
      </c>
      <c r="B110" s="4">
        <v>110.0</v>
      </c>
      <c r="C110" s="4" t="s">
        <v>232</v>
      </c>
      <c r="D110" s="4" t="s">
        <v>289</v>
      </c>
      <c r="E110" s="16">
        <v>0.0044306302443146706</v>
      </c>
      <c r="F110" s="16">
        <v>0.9989869286655448</v>
      </c>
      <c r="G110" s="16"/>
      <c r="H110" s="16">
        <v>0.9090909090909091</v>
      </c>
      <c r="I110" s="16">
        <v>0.3458333333333334</v>
      </c>
      <c r="J110" s="16">
        <v>0.956043956043956</v>
      </c>
      <c r="K110" s="4">
        <v>0.0</v>
      </c>
      <c r="M110" s="4" t="s">
        <v>32</v>
      </c>
    </row>
    <row r="111" ht="18.0" customHeight="1">
      <c r="A111" s="4" t="s">
        <v>50</v>
      </c>
      <c r="B111" s="4">
        <v>111.0</v>
      </c>
      <c r="C111" s="4" t="s">
        <v>94</v>
      </c>
      <c r="D111" s="4" t="s">
        <v>95</v>
      </c>
      <c r="E111" s="16">
        <v>1.17483389377594</v>
      </c>
      <c r="F111" s="16">
        <v>0.05148676037788391</v>
      </c>
      <c r="G111" s="16"/>
      <c r="H111" s="16">
        <v>1.0</v>
      </c>
      <c r="I111" s="16">
        <v>0.5583333333333333</v>
      </c>
      <c r="J111" s="16">
        <v>0.8241279069767442</v>
      </c>
      <c r="K111" s="4">
        <v>1.0</v>
      </c>
      <c r="L111" s="4">
        <v>0.0</v>
      </c>
      <c r="M111" s="4" t="s">
        <v>239</v>
      </c>
    </row>
    <row r="112" ht="18.0" customHeight="1">
      <c r="A112" s="4" t="s">
        <v>50</v>
      </c>
      <c r="B112" s="4">
        <v>112.0</v>
      </c>
      <c r="C112" s="4" t="s">
        <v>83</v>
      </c>
      <c r="D112" s="4" t="s">
        <v>132</v>
      </c>
      <c r="E112" s="16">
        <v>0.4685859680175781</v>
      </c>
      <c r="F112" s="16">
        <v>0.7964497953653336</v>
      </c>
      <c r="G112" s="16"/>
      <c r="H112" s="16">
        <v>1.0</v>
      </c>
      <c r="I112" s="16">
        <v>0.47500000000000003</v>
      </c>
      <c r="J112" s="16">
        <v>0.6666666666666667</v>
      </c>
      <c r="K112" s="4">
        <v>0.0</v>
      </c>
      <c r="M112" s="4" t="s">
        <v>32</v>
      </c>
    </row>
    <row r="113" ht="18.0" customHeight="1">
      <c r="A113" s="4" t="s">
        <v>50</v>
      </c>
      <c r="B113" s="4">
        <v>113.0</v>
      </c>
      <c r="C113" s="4" t="s">
        <v>241</v>
      </c>
      <c r="D113" s="4" t="s">
        <v>534</v>
      </c>
      <c r="E113" s="16">
        <v>2.0419498468982056E-5</v>
      </c>
      <c r="F113" s="16">
        <v>0.9999980511432227</v>
      </c>
      <c r="G113" s="16"/>
      <c r="H113" s="16">
        <v>0.0</v>
      </c>
      <c r="I113" s="16">
        <v>0.016666666666666666</v>
      </c>
      <c r="J113" s="16">
        <v>0.4</v>
      </c>
      <c r="K113" s="4">
        <v>0.0</v>
      </c>
      <c r="M113" s="4" t="s">
        <v>32</v>
      </c>
    </row>
    <row r="114" ht="18.0" customHeight="1">
      <c r="A114" s="4" t="s">
        <v>50</v>
      </c>
      <c r="B114" s="4">
        <v>114.0</v>
      </c>
      <c r="C114" s="4" t="s">
        <v>246</v>
      </c>
      <c r="D114" s="4" t="s">
        <v>248</v>
      </c>
      <c r="E114" s="16">
        <v>7.489890776923858E-6</v>
      </c>
      <c r="F114" s="16">
        <v>0.9999992616705526</v>
      </c>
      <c r="G114" s="16"/>
      <c r="H114" s="16">
        <v>1.0</v>
      </c>
      <c r="I114" s="16">
        <v>0.325</v>
      </c>
      <c r="J114" s="16">
        <v>0.6</v>
      </c>
      <c r="K114" s="4">
        <v>0.0</v>
      </c>
      <c r="M114" s="4" t="s">
        <v>32</v>
      </c>
    </row>
    <row r="115" ht="18.0" customHeight="1">
      <c r="A115" s="4" t="s">
        <v>50</v>
      </c>
      <c r="B115" s="4">
        <v>115.0</v>
      </c>
      <c r="C115" s="4" t="s">
        <v>252</v>
      </c>
      <c r="D115" s="4" t="s">
        <v>254</v>
      </c>
      <c r="E115" s="16">
        <v>1.3692909851670265E-4</v>
      </c>
      <c r="F115" s="16">
        <v>0.9999878560145135</v>
      </c>
      <c r="G115" s="16"/>
      <c r="H115" s="16">
        <v>0.09090909090909091</v>
      </c>
      <c r="I115" s="16">
        <v>0.05833333333333333</v>
      </c>
      <c r="J115" s="16">
        <v>0.0</v>
      </c>
      <c r="K115" s="4">
        <v>0.0</v>
      </c>
      <c r="M115" s="4" t="s">
        <v>32</v>
      </c>
    </row>
    <row r="116" ht="18.0" customHeight="1">
      <c r="A116" s="4" t="s">
        <v>50</v>
      </c>
      <c r="B116" s="4">
        <v>116.0</v>
      </c>
      <c r="C116" s="4" t="s">
        <v>139</v>
      </c>
      <c r="D116" s="4" t="s">
        <v>140</v>
      </c>
      <c r="E116" s="16">
        <v>0.0048624807968735695</v>
      </c>
      <c r="F116" s="16">
        <v>0.9992836794699542</v>
      </c>
      <c r="G116" s="16"/>
      <c r="H116" s="16">
        <v>1.0</v>
      </c>
      <c r="I116" s="16">
        <v>0.5</v>
      </c>
      <c r="J116" s="16">
        <v>0.18412698412698408</v>
      </c>
      <c r="K116" s="4">
        <v>0.0</v>
      </c>
      <c r="M116" s="4" t="s">
        <v>32</v>
      </c>
    </row>
    <row r="117" ht="18.0" customHeight="1">
      <c r="A117" s="4" t="s">
        <v>50</v>
      </c>
      <c r="B117" s="4">
        <v>117.0</v>
      </c>
      <c r="C117" s="4" t="s">
        <v>326</v>
      </c>
      <c r="D117" s="4" t="s">
        <v>582</v>
      </c>
      <c r="E117" s="16">
        <v>2.8153977837064303E-5</v>
      </c>
      <c r="F117" s="16">
        <v>0.9999978263809055</v>
      </c>
      <c r="G117" s="16"/>
      <c r="H117" s="16">
        <v>0.0</v>
      </c>
      <c r="I117" s="16">
        <v>0.0</v>
      </c>
      <c r="J117" s="16">
        <v>0.0</v>
      </c>
      <c r="K117" s="4">
        <v>0.0</v>
      </c>
      <c r="M117" s="4" t="s">
        <v>32</v>
      </c>
    </row>
    <row r="118" ht="18.0" customHeight="1">
      <c r="A118" s="4" t="s">
        <v>50</v>
      </c>
      <c r="B118" s="4">
        <v>118.0</v>
      </c>
      <c r="C118" s="4" t="s">
        <v>163</v>
      </c>
      <c r="D118" s="4" t="s">
        <v>585</v>
      </c>
      <c r="E118" s="16">
        <v>2.520365160307847E-5</v>
      </c>
      <c r="F118" s="16">
        <v>0.999998028403013</v>
      </c>
      <c r="G118" s="16"/>
      <c r="H118" s="16">
        <v>0.0</v>
      </c>
      <c r="I118" s="16">
        <v>0.08333333333333333</v>
      </c>
      <c r="J118" s="16">
        <v>0.0</v>
      </c>
      <c r="K118" s="4">
        <v>0.0</v>
      </c>
      <c r="M118" s="4" t="s">
        <v>32</v>
      </c>
    </row>
    <row r="119" ht="18.0" customHeight="1">
      <c r="A119" s="4" t="s">
        <v>50</v>
      </c>
      <c r="B119" s="4">
        <v>119.0</v>
      </c>
      <c r="C119" s="4" t="s">
        <v>132</v>
      </c>
      <c r="D119" s="4" t="s">
        <v>587</v>
      </c>
      <c r="E119" s="16">
        <v>5.439352025859989E-5</v>
      </c>
      <c r="F119" s="16">
        <v>0.9999955944390422</v>
      </c>
      <c r="G119" s="16"/>
      <c r="H119" s="16">
        <v>0.0</v>
      </c>
      <c r="I119" s="16">
        <v>0.016666666666666666</v>
      </c>
      <c r="J119" s="16">
        <v>0.0</v>
      </c>
      <c r="K119" s="4">
        <v>0.0</v>
      </c>
      <c r="M119" s="4" t="s">
        <v>32</v>
      </c>
    </row>
    <row r="120" ht="18.0" customHeight="1">
      <c r="A120" s="4" t="s">
        <v>50</v>
      </c>
      <c r="B120" s="4">
        <v>120.0</v>
      </c>
      <c r="C120" s="4" t="s">
        <v>122</v>
      </c>
      <c r="D120" s="4" t="s">
        <v>123</v>
      </c>
      <c r="E120" s="16">
        <v>1.0525668859481812</v>
      </c>
      <c r="F120" s="16">
        <v>0.11145567893981934</v>
      </c>
      <c r="G120" s="16"/>
      <c r="H120" s="16">
        <v>0.0</v>
      </c>
      <c r="I120" s="16">
        <v>0.0</v>
      </c>
      <c r="J120" s="16">
        <v>0.0</v>
      </c>
      <c r="K120" s="4">
        <v>1.0</v>
      </c>
      <c r="L120" s="4">
        <v>0.0</v>
      </c>
      <c r="M120" s="4" t="s">
        <v>239</v>
      </c>
    </row>
    <row r="121" ht="18.0" customHeight="1">
      <c r="A121" s="4" t="s">
        <v>50</v>
      </c>
      <c r="B121" s="4">
        <v>121.0</v>
      </c>
      <c r="C121" s="4" t="s">
        <v>232</v>
      </c>
      <c r="D121" s="4" t="s">
        <v>592</v>
      </c>
      <c r="E121" s="16">
        <v>3.059697337448597E-4</v>
      </c>
      <c r="F121" s="16">
        <v>0.9999707078468418</v>
      </c>
      <c r="G121" s="16"/>
      <c r="H121" s="16">
        <v>0.0</v>
      </c>
      <c r="I121" s="16">
        <v>0.0</v>
      </c>
      <c r="J121" s="16">
        <v>0.0</v>
      </c>
      <c r="K121" s="4">
        <v>0.0</v>
      </c>
      <c r="M121" s="4" t="s">
        <v>32</v>
      </c>
    </row>
    <row r="122" ht="18.0" customHeight="1">
      <c r="A122" s="4" t="s">
        <v>50</v>
      </c>
      <c r="B122" s="4">
        <v>122.0</v>
      </c>
      <c r="C122" s="4" t="s">
        <v>453</v>
      </c>
      <c r="D122" s="4" t="s">
        <v>95</v>
      </c>
      <c r="E122" s="16">
        <v>0.07589753717184067</v>
      </c>
      <c r="F122" s="16">
        <v>0.9833455053158104</v>
      </c>
      <c r="G122" s="16"/>
      <c r="H122" s="16">
        <v>1.0</v>
      </c>
      <c r="I122" s="16">
        <v>0.7916666666666666</v>
      </c>
      <c r="J122" s="16">
        <v>0.20912220309810672</v>
      </c>
      <c r="K122" s="4">
        <v>0.0</v>
      </c>
      <c r="M122" s="4" t="s">
        <v>32</v>
      </c>
    </row>
    <row r="123" ht="18.0" customHeight="1">
      <c r="A123" s="4" t="s">
        <v>50</v>
      </c>
      <c r="B123" s="4">
        <v>123.0</v>
      </c>
      <c r="C123" s="4" t="s">
        <v>147</v>
      </c>
      <c r="D123" s="4" t="s">
        <v>187</v>
      </c>
      <c r="E123" s="16">
        <v>0.017981234937906265</v>
      </c>
      <c r="F123" s="16">
        <v>0.9957495210692286</v>
      </c>
      <c r="G123" s="16"/>
      <c r="H123" s="16">
        <v>0.0</v>
      </c>
      <c r="I123" s="16">
        <v>0.016666666666666666</v>
      </c>
      <c r="J123" s="16">
        <v>0.0</v>
      </c>
      <c r="K123" s="4">
        <v>0.0</v>
      </c>
      <c r="M123" s="4" t="s">
        <v>32</v>
      </c>
    </row>
    <row r="124" ht="18.0" customHeight="1">
      <c r="A124" s="4" t="s">
        <v>50</v>
      </c>
      <c r="B124" s="4">
        <v>124.0</v>
      </c>
      <c r="C124" s="4" t="s">
        <v>172</v>
      </c>
      <c r="D124" s="4" t="s">
        <v>151</v>
      </c>
      <c r="E124" s="16">
        <v>3.605562960729003E-5</v>
      </c>
      <c r="F124" s="16">
        <v>0.9999970238082483</v>
      </c>
      <c r="G124" s="16"/>
      <c r="H124" s="16">
        <v>1.0</v>
      </c>
      <c r="I124" s="16">
        <v>0.6</v>
      </c>
      <c r="J124" s="16">
        <v>0.3020833333333333</v>
      </c>
      <c r="K124" s="4">
        <v>0.0</v>
      </c>
      <c r="M124" s="4" t="s">
        <v>32</v>
      </c>
    </row>
    <row r="125" ht="18.0" customHeight="1">
      <c r="A125" s="4" t="s">
        <v>50</v>
      </c>
      <c r="B125" s="4">
        <v>125.0</v>
      </c>
      <c r="C125" s="4" t="s">
        <v>599</v>
      </c>
      <c r="D125" s="4" t="s">
        <v>600</v>
      </c>
      <c r="E125" s="16">
        <v>0.002305230125784874</v>
      </c>
      <c r="F125" s="16">
        <v>0.9995079868822359</v>
      </c>
      <c r="G125" s="16"/>
      <c r="H125" s="16">
        <v>1.0</v>
      </c>
      <c r="I125" s="16">
        <v>0.5583333333333333</v>
      </c>
      <c r="J125" s="16">
        <v>0.21428571428571427</v>
      </c>
      <c r="K125" s="4">
        <v>0.0</v>
      </c>
      <c r="M125" s="4" t="s">
        <v>32</v>
      </c>
    </row>
    <row r="126" ht="18.0" customHeight="1">
      <c r="A126" s="4" t="s">
        <v>50</v>
      </c>
      <c r="B126" s="4">
        <v>126.0</v>
      </c>
      <c r="C126" s="4" t="s">
        <v>604</v>
      </c>
      <c r="D126" s="4" t="s">
        <v>311</v>
      </c>
      <c r="E126" s="16">
        <v>0.025551926344633102</v>
      </c>
      <c r="F126" s="16">
        <v>0.9937398694455624</v>
      </c>
      <c r="G126" s="16"/>
      <c r="H126" s="16">
        <v>1.0</v>
      </c>
      <c r="I126" s="16">
        <v>0.6666666666666666</v>
      </c>
      <c r="J126" s="16">
        <v>0.23611111111111113</v>
      </c>
      <c r="K126" s="4">
        <v>0.0</v>
      </c>
      <c r="M126" s="4" t="s">
        <v>32</v>
      </c>
    </row>
    <row r="127" ht="18.0" customHeight="1">
      <c r="A127" s="4" t="s">
        <v>50</v>
      </c>
      <c r="B127" s="4">
        <v>127.0</v>
      </c>
      <c r="C127" s="4" t="s">
        <v>252</v>
      </c>
      <c r="D127" s="4" t="s">
        <v>132</v>
      </c>
      <c r="E127" s="16">
        <v>2.8355696122162044E-4</v>
      </c>
      <c r="F127" s="16">
        <v>0.9999714919385951</v>
      </c>
      <c r="G127" s="16"/>
      <c r="H127" s="16">
        <v>0.09090909090909091</v>
      </c>
      <c r="I127" s="16">
        <v>0.08333333333333333</v>
      </c>
      <c r="J127" s="16">
        <v>0.0</v>
      </c>
      <c r="K127" s="4">
        <v>0.0</v>
      </c>
      <c r="M127" s="4" t="s">
        <v>32</v>
      </c>
    </row>
    <row r="128" ht="18.0" customHeight="1">
      <c r="A128" s="4" t="s">
        <v>50</v>
      </c>
      <c r="B128" s="4">
        <v>128.0</v>
      </c>
      <c r="C128" s="4" t="s">
        <v>118</v>
      </c>
      <c r="D128" s="4" t="s">
        <v>119</v>
      </c>
      <c r="E128" s="16">
        <v>0.7318528890609741</v>
      </c>
      <c r="F128" s="16">
        <v>0.26996803283691406</v>
      </c>
      <c r="G128" s="16"/>
      <c r="H128" s="16">
        <v>1.0</v>
      </c>
      <c r="I128" s="16">
        <v>0.625</v>
      </c>
      <c r="J128" s="16">
        <v>0.20392156862745103</v>
      </c>
      <c r="K128" s="4">
        <v>1.0</v>
      </c>
      <c r="L128" s="4">
        <v>0.0</v>
      </c>
      <c r="M128" s="4" t="s">
        <v>239</v>
      </c>
    </row>
    <row r="129" ht="18.0" customHeight="1">
      <c r="A129" s="4" t="s">
        <v>50</v>
      </c>
      <c r="B129" s="4">
        <v>129.0</v>
      </c>
      <c r="C129" s="4" t="s">
        <v>86</v>
      </c>
      <c r="D129" s="4" t="s">
        <v>159</v>
      </c>
      <c r="E129" s="16">
        <v>0.3365651071071625</v>
      </c>
      <c r="F129" s="16">
        <v>0.792207770049572</v>
      </c>
      <c r="G129" s="16"/>
      <c r="H129" s="16">
        <v>0.09090909090909091</v>
      </c>
      <c r="I129" s="16">
        <v>0.10416666666666667</v>
      </c>
      <c r="J129" s="16">
        <v>0.16747967479674794</v>
      </c>
      <c r="K129" s="4">
        <v>0.0</v>
      </c>
      <c r="M129" s="4" t="s">
        <v>32</v>
      </c>
    </row>
    <row r="130" ht="18.0" customHeight="1">
      <c r="A130" s="4" t="s">
        <v>50</v>
      </c>
      <c r="B130" s="4">
        <v>130.0</v>
      </c>
      <c r="C130" s="4" t="s">
        <v>181</v>
      </c>
      <c r="D130" s="4" t="s">
        <v>159</v>
      </c>
      <c r="E130" s="16">
        <v>1.589158819115255E-5</v>
      </c>
      <c r="F130" s="16">
        <v>0.9999988252188245</v>
      </c>
      <c r="G130" s="16"/>
      <c r="H130" s="16">
        <v>1.0</v>
      </c>
      <c r="I130" s="16">
        <v>0.5791666666666667</v>
      </c>
      <c r="J130" s="16">
        <v>0.0</v>
      </c>
      <c r="K130" s="4">
        <v>0.0</v>
      </c>
      <c r="M130" s="4" t="s">
        <v>32</v>
      </c>
    </row>
    <row r="131" ht="18.0" customHeight="1">
      <c r="A131" s="4" t="s">
        <v>50</v>
      </c>
      <c r="B131" s="4">
        <v>131.0</v>
      </c>
      <c r="C131" s="4" t="s">
        <v>151</v>
      </c>
      <c r="D131" s="4" t="s">
        <v>616</v>
      </c>
      <c r="E131" s="16">
        <v>8.369789611606393E-6</v>
      </c>
      <c r="F131" s="16">
        <v>0.9999991050439405</v>
      </c>
      <c r="G131" s="16"/>
      <c r="H131" s="16">
        <v>1.0</v>
      </c>
      <c r="I131" s="16">
        <v>0.49583333333333335</v>
      </c>
      <c r="J131" s="16">
        <v>0.0</v>
      </c>
      <c r="K131" s="4">
        <v>0.0</v>
      </c>
      <c r="M131" s="4" t="s">
        <v>32</v>
      </c>
    </row>
    <row r="132" ht="18.0" customHeight="1">
      <c r="A132" s="4" t="s">
        <v>50</v>
      </c>
      <c r="B132" s="4">
        <v>132.0</v>
      </c>
      <c r="C132" s="4" t="s">
        <v>86</v>
      </c>
      <c r="D132" s="4" t="s">
        <v>159</v>
      </c>
      <c r="E132" s="16">
        <v>2.2116264517535456E-6</v>
      </c>
      <c r="F132" s="16">
        <v>0.9999997852833431</v>
      </c>
      <c r="G132" s="16"/>
      <c r="H132" s="16">
        <v>0.0</v>
      </c>
      <c r="I132" s="16">
        <v>0.020833333333333332</v>
      </c>
      <c r="J132" s="16">
        <v>0.19047619047619047</v>
      </c>
      <c r="K132" s="4">
        <v>0.0</v>
      </c>
      <c r="M132" s="4" t="s">
        <v>32</v>
      </c>
    </row>
    <row r="133" ht="18.0" customHeight="1">
      <c r="A133" s="4" t="s">
        <v>50</v>
      </c>
      <c r="B133" s="4">
        <v>133.0</v>
      </c>
      <c r="C133" s="4" t="s">
        <v>181</v>
      </c>
      <c r="D133" s="4" t="s">
        <v>160</v>
      </c>
      <c r="E133" s="16">
        <v>5.967011929897126E-6</v>
      </c>
      <c r="F133" s="16">
        <v>0.9999994673980268</v>
      </c>
      <c r="G133" s="16"/>
      <c r="H133" s="16">
        <v>0.18181818181818182</v>
      </c>
      <c r="I133" s="16">
        <v>0.16666666666666666</v>
      </c>
      <c r="J133" s="16">
        <v>0.5</v>
      </c>
      <c r="K133" s="4">
        <v>0.0</v>
      </c>
      <c r="M133" s="4" t="s">
        <v>32</v>
      </c>
    </row>
    <row r="134" ht="18.0" customHeight="1">
      <c r="A134" s="4" t="s">
        <v>50</v>
      </c>
      <c r="B134" s="4">
        <v>134.0</v>
      </c>
      <c r="C134" s="4" t="s">
        <v>139</v>
      </c>
      <c r="D134" s="4" t="s">
        <v>140</v>
      </c>
      <c r="E134" s="16">
        <v>2.875631325878203E-4</v>
      </c>
      <c r="F134" s="16">
        <v>0.9999585305886285</v>
      </c>
      <c r="G134" s="16"/>
      <c r="H134" s="16">
        <v>1.0</v>
      </c>
      <c r="I134" s="16">
        <v>0.5416666666666666</v>
      </c>
      <c r="J134" s="16">
        <v>0.07692307692307693</v>
      </c>
      <c r="K134" s="4">
        <v>0.0</v>
      </c>
      <c r="M134" s="4" t="s">
        <v>32</v>
      </c>
    </row>
    <row r="135" ht="18.0" customHeight="1">
      <c r="A135" s="4" t="s">
        <v>50</v>
      </c>
      <c r="B135" s="4">
        <v>135.0</v>
      </c>
      <c r="C135" s="4" t="s">
        <v>326</v>
      </c>
      <c r="D135" s="4" t="s">
        <v>627</v>
      </c>
      <c r="E135" s="16">
        <v>2.9536742658820003E-5</v>
      </c>
      <c r="F135" s="16">
        <v>0.9999978122524169</v>
      </c>
      <c r="G135" s="16"/>
      <c r="H135" s="16">
        <v>0.09090909090909091</v>
      </c>
      <c r="I135" s="16">
        <v>0.0</v>
      </c>
      <c r="J135" s="16">
        <v>0.0</v>
      </c>
      <c r="K135" s="4">
        <v>0.0</v>
      </c>
      <c r="M135" s="4" t="s">
        <v>32</v>
      </c>
    </row>
    <row r="136" ht="18.0" customHeight="1">
      <c r="A136" s="4" t="s">
        <v>50</v>
      </c>
      <c r="B136" s="4">
        <v>136.0</v>
      </c>
      <c r="C136" s="4" t="s">
        <v>94</v>
      </c>
      <c r="D136" s="4" t="s">
        <v>424</v>
      </c>
      <c r="E136" s="16">
        <v>0.03450392559170723</v>
      </c>
      <c r="F136" s="16">
        <v>0.9916070986073464</v>
      </c>
      <c r="G136" s="16"/>
      <c r="H136" s="16">
        <v>1.0</v>
      </c>
      <c r="I136" s="16">
        <v>0.5375</v>
      </c>
      <c r="J136" s="16">
        <v>0.4604651162790698</v>
      </c>
      <c r="K136" s="4">
        <v>0.0</v>
      </c>
      <c r="M136" s="4" t="s">
        <v>32</v>
      </c>
    </row>
    <row r="137" ht="18.0" customHeight="1">
      <c r="A137" s="4" t="s">
        <v>50</v>
      </c>
      <c r="B137" s="4">
        <v>137.0</v>
      </c>
      <c r="C137" s="4" t="s">
        <v>83</v>
      </c>
      <c r="D137" s="4" t="s">
        <v>132</v>
      </c>
      <c r="E137" s="16">
        <v>0.0019857920706272125</v>
      </c>
      <c r="F137" s="16">
        <v>0.9996170790254837</v>
      </c>
      <c r="G137" s="16"/>
      <c r="H137" s="16">
        <v>1.0</v>
      </c>
      <c r="I137" s="16">
        <v>0.5791666666666667</v>
      </c>
      <c r="J137" s="16">
        <v>1.0</v>
      </c>
      <c r="K137" s="4">
        <v>1.0</v>
      </c>
      <c r="L137" s="4">
        <v>0.0</v>
      </c>
      <c r="M137" s="4" t="s">
        <v>239</v>
      </c>
    </row>
    <row r="138" ht="18.0" customHeight="1">
      <c r="A138" s="4" t="s">
        <v>50</v>
      </c>
      <c r="B138" s="4">
        <v>138.0</v>
      </c>
      <c r="C138" s="4" t="s">
        <v>241</v>
      </c>
      <c r="D138" s="4" t="s">
        <v>534</v>
      </c>
      <c r="E138" s="16">
        <v>2.737721615631017E-6</v>
      </c>
      <c r="F138" s="16">
        <v>0.9999998114598014</v>
      </c>
      <c r="G138" s="16"/>
      <c r="H138" s="16">
        <v>0.0</v>
      </c>
      <c r="I138" s="16">
        <v>0.016666666666666666</v>
      </c>
      <c r="J138" s="16">
        <v>0.5</v>
      </c>
      <c r="K138" s="4">
        <v>0.0</v>
      </c>
      <c r="M138" s="4" t="s">
        <v>32</v>
      </c>
    </row>
    <row r="139" ht="18.0" customHeight="1">
      <c r="A139" s="4" t="s">
        <v>50</v>
      </c>
      <c r="B139" s="4">
        <v>139.0</v>
      </c>
      <c r="C139" s="4" t="s">
        <v>246</v>
      </c>
      <c r="D139" s="4" t="s">
        <v>248</v>
      </c>
      <c r="E139" s="16">
        <v>2.9595867090392858E-6</v>
      </c>
      <c r="F139" s="16">
        <v>0.9999997407384171</v>
      </c>
      <c r="G139" s="16"/>
      <c r="H139" s="16">
        <v>0.9090909090909091</v>
      </c>
      <c r="I139" s="16">
        <v>0.4083333333333334</v>
      </c>
      <c r="J139" s="16">
        <v>0.5</v>
      </c>
      <c r="K139" s="4">
        <v>0.0</v>
      </c>
      <c r="M139" s="4" t="s">
        <v>32</v>
      </c>
    </row>
    <row r="140" ht="18.0" customHeight="1">
      <c r="A140" s="4" t="s">
        <v>50</v>
      </c>
      <c r="B140" s="4">
        <v>140.0</v>
      </c>
      <c r="C140" s="4" t="s">
        <v>252</v>
      </c>
      <c r="D140" s="4" t="s">
        <v>254</v>
      </c>
      <c r="E140" s="16">
        <v>3.250814916100353E-5</v>
      </c>
      <c r="F140" s="16">
        <v>0.9999973358881107</v>
      </c>
      <c r="G140" s="16"/>
      <c r="H140" s="16">
        <v>0.9090909090909091</v>
      </c>
      <c r="I140" s="16">
        <v>0.47500000000000003</v>
      </c>
      <c r="J140" s="16">
        <v>0.33333333333333337</v>
      </c>
      <c r="K140" s="4">
        <v>0.0</v>
      </c>
      <c r="M140" s="4" t="s">
        <v>32</v>
      </c>
    </row>
    <row r="141" ht="18.0" customHeight="1">
      <c r="A141" s="4" t="s">
        <v>50</v>
      </c>
      <c r="B141" s="4">
        <v>141.0</v>
      </c>
      <c r="C141" s="4" t="s">
        <v>542</v>
      </c>
      <c r="D141" s="4" t="s">
        <v>553</v>
      </c>
      <c r="E141" s="16">
        <v>0.46213945746421814</v>
      </c>
      <c r="F141" s="16">
        <v>0.669578492641449</v>
      </c>
      <c r="G141" s="16"/>
      <c r="H141" s="16">
        <v>0.36363636363636365</v>
      </c>
      <c r="I141" s="16">
        <v>0.2916666666666667</v>
      </c>
      <c r="J141" s="16">
        <v>0.25</v>
      </c>
      <c r="K141" s="4">
        <v>0.0</v>
      </c>
      <c r="M141" s="4" t="s">
        <v>32</v>
      </c>
    </row>
    <row r="142" ht="18.0" customHeight="1">
      <c r="A142" s="4" t="s">
        <v>50</v>
      </c>
      <c r="B142" s="4">
        <v>142.0</v>
      </c>
      <c r="C142" s="4" t="s">
        <v>258</v>
      </c>
      <c r="D142" s="4" t="s">
        <v>412</v>
      </c>
      <c r="E142" s="16">
        <v>0.0012862286530435085</v>
      </c>
      <c r="F142" s="16">
        <v>0.9998111463864916</v>
      </c>
      <c r="G142" s="16"/>
      <c r="H142" s="16">
        <v>1.0</v>
      </c>
      <c r="I142" s="16">
        <v>0.625</v>
      </c>
      <c r="J142" s="16">
        <v>0.0</v>
      </c>
      <c r="K142" s="4">
        <v>0.0</v>
      </c>
      <c r="M142" s="4" t="s">
        <v>32</v>
      </c>
    </row>
    <row r="143" ht="18.0" customHeight="1">
      <c r="A143" s="4" t="s">
        <v>50</v>
      </c>
      <c r="B143" s="4">
        <v>143.0</v>
      </c>
      <c r="C143" s="4" t="s">
        <v>645</v>
      </c>
      <c r="D143" s="4" t="s">
        <v>646</v>
      </c>
      <c r="E143" s="16">
        <v>0.004776337184011936</v>
      </c>
      <c r="F143" s="16">
        <v>0.9989254805841483</v>
      </c>
      <c r="G143" s="16"/>
      <c r="H143" s="16">
        <v>1.0</v>
      </c>
      <c r="I143" s="16">
        <v>0.5625</v>
      </c>
      <c r="J143" s="16">
        <v>0.0</v>
      </c>
      <c r="K143" s="4">
        <v>0.0</v>
      </c>
      <c r="M143" s="4" t="s">
        <v>32</v>
      </c>
    </row>
    <row r="144" ht="18.0" customHeight="1">
      <c r="A144" s="4" t="s">
        <v>50</v>
      </c>
      <c r="B144" s="4">
        <v>144.0</v>
      </c>
      <c r="C144" s="4" t="s">
        <v>582</v>
      </c>
      <c r="D144" s="4" t="s">
        <v>649</v>
      </c>
      <c r="E144" s="16">
        <v>3.905914491042495E-5</v>
      </c>
      <c r="F144" s="16">
        <v>0.9999963776639333</v>
      </c>
      <c r="G144" s="16"/>
      <c r="H144" s="16">
        <v>0.09090909090909091</v>
      </c>
      <c r="I144" s="16">
        <v>0.020833333333333332</v>
      </c>
      <c r="J144" s="16">
        <v>0.0</v>
      </c>
      <c r="K144" s="4">
        <v>0.0</v>
      </c>
      <c r="M144" s="4" t="s">
        <v>32</v>
      </c>
    </row>
    <row r="145" ht="18.0" customHeight="1">
      <c r="A145" s="4" t="s">
        <v>50</v>
      </c>
      <c r="B145" s="4">
        <v>145.0</v>
      </c>
      <c r="C145" s="4" t="s">
        <v>163</v>
      </c>
      <c r="D145" s="4" t="s">
        <v>362</v>
      </c>
      <c r="E145" s="16">
        <v>0.47050029039382935</v>
      </c>
      <c r="F145" s="16">
        <v>0.6609046757221222</v>
      </c>
      <c r="G145" s="16"/>
      <c r="H145" s="16">
        <v>1.0</v>
      </c>
      <c r="I145" s="16">
        <v>0.6666666666666666</v>
      </c>
      <c r="J145" s="16">
        <v>0.27301587301587305</v>
      </c>
      <c r="K145" s="4">
        <v>0.0</v>
      </c>
      <c r="M145" s="4" t="s">
        <v>32</v>
      </c>
    </row>
    <row r="146" ht="18.0" customHeight="1">
      <c r="A146" s="4" t="s">
        <v>50</v>
      </c>
      <c r="B146" s="4">
        <v>146.0</v>
      </c>
      <c r="C146" s="4" t="s">
        <v>132</v>
      </c>
      <c r="D146" s="4" t="s">
        <v>252</v>
      </c>
      <c r="E146" s="16">
        <v>3.616855974541977E-5</v>
      </c>
      <c r="F146" s="16">
        <v>0.9999970974695316</v>
      </c>
      <c r="G146" s="16"/>
      <c r="H146" s="16">
        <v>0.36363636363636365</v>
      </c>
      <c r="I146" s="16">
        <v>0.1875</v>
      </c>
      <c r="J146" s="16">
        <v>0.25</v>
      </c>
      <c r="K146" s="4">
        <v>0.0</v>
      </c>
      <c r="M146" s="4" t="s">
        <v>32</v>
      </c>
    </row>
    <row r="147" ht="18.0" customHeight="1">
      <c r="A147" s="4" t="s">
        <v>50</v>
      </c>
      <c r="B147" s="4">
        <v>147.0</v>
      </c>
      <c r="C147" s="4" t="s">
        <v>630</v>
      </c>
      <c r="D147" s="4" t="s">
        <v>553</v>
      </c>
      <c r="E147" s="16">
        <v>3.3251213608309627E-4</v>
      </c>
      <c r="F147" s="16">
        <v>0.9999591574323858</v>
      </c>
      <c r="G147" s="16"/>
      <c r="H147" s="16">
        <v>1.0</v>
      </c>
      <c r="I147" s="16">
        <v>0.5583333333333333</v>
      </c>
      <c r="J147" s="16">
        <v>0.25</v>
      </c>
      <c r="K147" s="4">
        <v>0.0</v>
      </c>
      <c r="M147" s="4" t="s">
        <v>32</v>
      </c>
    </row>
    <row r="148" ht="18.0" customHeight="1">
      <c r="A148" s="4" t="s">
        <v>50</v>
      </c>
      <c r="B148" s="4">
        <v>148.0</v>
      </c>
      <c r="C148" s="4" t="s">
        <v>132</v>
      </c>
      <c r="D148" s="4" t="s">
        <v>456</v>
      </c>
      <c r="E148" s="16">
        <v>6.261286907829344E-4</v>
      </c>
      <c r="F148" s="16">
        <v>0.9999334970925702</v>
      </c>
      <c r="G148" s="16"/>
      <c r="H148" s="16">
        <v>1.0</v>
      </c>
      <c r="I148" s="16">
        <v>0.4583333333333333</v>
      </c>
      <c r="J148" s="16">
        <v>0.0</v>
      </c>
      <c r="K148" s="4">
        <v>0.0</v>
      </c>
      <c r="M148" s="4" t="s">
        <v>32</v>
      </c>
    </row>
    <row r="149" ht="18.0" customHeight="1">
      <c r="A149" s="4" t="s">
        <v>50</v>
      </c>
      <c r="B149" s="4">
        <v>149.0</v>
      </c>
      <c r="C149" s="4" t="s">
        <v>553</v>
      </c>
      <c r="D149" s="4" t="s">
        <v>542</v>
      </c>
      <c r="E149" s="16">
        <v>0.00183861143887043</v>
      </c>
      <c r="F149" s="16">
        <v>0.9996983583405381</v>
      </c>
      <c r="G149" s="16"/>
      <c r="H149" s="16">
        <v>0.18181818181818182</v>
      </c>
      <c r="I149" s="16">
        <v>0.20833333333333334</v>
      </c>
      <c r="J149" s="16">
        <v>0.0</v>
      </c>
      <c r="K149" s="4">
        <v>0.0</v>
      </c>
      <c r="M149" s="4" t="s">
        <v>32</v>
      </c>
    </row>
    <row r="150" ht="18.0" customHeight="1">
      <c r="A150" s="4" t="s">
        <v>59</v>
      </c>
      <c r="B150" s="4">
        <v>2.0</v>
      </c>
      <c r="C150" s="4" t="s">
        <v>156</v>
      </c>
      <c r="D150" s="4" t="s">
        <v>661</v>
      </c>
      <c r="E150" s="16">
        <v>1.4511175686493516E-4</v>
      </c>
      <c r="F150" s="16">
        <v>0.999986311250268</v>
      </c>
      <c r="G150" s="16"/>
      <c r="H150" s="16">
        <v>0.0</v>
      </c>
      <c r="I150" s="16">
        <v>0.041666666666666664</v>
      </c>
      <c r="J150" s="16">
        <v>0.0</v>
      </c>
      <c r="K150" s="4">
        <v>0.0</v>
      </c>
      <c r="M150" s="4" t="s">
        <v>32</v>
      </c>
    </row>
    <row r="151" ht="18.0" customHeight="1">
      <c r="A151" s="4" t="s">
        <v>59</v>
      </c>
      <c r="B151" s="4">
        <v>3.0</v>
      </c>
      <c r="C151" s="4" t="s">
        <v>139</v>
      </c>
      <c r="D151" s="4" t="s">
        <v>140</v>
      </c>
      <c r="E151" s="16">
        <v>0.036144357174634933</v>
      </c>
      <c r="F151" s="16">
        <v>0.9887304240837693</v>
      </c>
      <c r="G151" s="16"/>
      <c r="H151" s="16">
        <v>1.0</v>
      </c>
      <c r="I151" s="16">
        <v>0.625</v>
      </c>
      <c r="J151" s="16">
        <v>0.18165137614678895</v>
      </c>
      <c r="K151" s="4">
        <v>1.0</v>
      </c>
      <c r="L151" s="4">
        <v>0.0</v>
      </c>
      <c r="M151" s="4" t="s">
        <v>239</v>
      </c>
    </row>
    <row r="152" ht="18.0" customHeight="1">
      <c r="A152" s="4" t="s">
        <v>59</v>
      </c>
      <c r="B152" s="4">
        <v>4.0</v>
      </c>
      <c r="C152" s="4" t="s">
        <v>232</v>
      </c>
      <c r="D152" s="4" t="s">
        <v>159</v>
      </c>
      <c r="E152" s="16">
        <v>0.006910060998052359</v>
      </c>
      <c r="F152" s="16">
        <v>0.9985267460579053</v>
      </c>
      <c r="G152" s="16"/>
      <c r="H152" s="16">
        <v>0.0</v>
      </c>
      <c r="I152" s="16">
        <v>0.0</v>
      </c>
      <c r="J152" s="16">
        <v>0.0</v>
      </c>
      <c r="K152" s="4">
        <v>0.0</v>
      </c>
      <c r="M152" s="4" t="s">
        <v>32</v>
      </c>
    </row>
    <row r="153" ht="18.0" customHeight="1">
      <c r="A153" s="4" t="s">
        <v>59</v>
      </c>
      <c r="B153" s="4">
        <v>5.0</v>
      </c>
      <c r="C153" s="4" t="s">
        <v>163</v>
      </c>
      <c r="D153" s="4" t="s">
        <v>111</v>
      </c>
      <c r="E153" s="16">
        <v>0.21295614540576935</v>
      </c>
      <c r="F153" s="16">
        <v>0.9102808684110641</v>
      </c>
      <c r="G153" s="16"/>
      <c r="H153" s="16">
        <v>1.0</v>
      </c>
      <c r="I153" s="16">
        <v>0.6583333333333333</v>
      </c>
      <c r="J153" s="16">
        <v>0.32967032967032966</v>
      </c>
      <c r="K153" s="4">
        <v>1.0</v>
      </c>
      <c r="L153" s="4">
        <v>0.0</v>
      </c>
      <c r="M153" s="4" t="s">
        <v>239</v>
      </c>
    </row>
    <row r="154" ht="18.0" customHeight="1">
      <c r="A154" s="4" t="s">
        <v>59</v>
      </c>
      <c r="B154" s="4">
        <v>6.0</v>
      </c>
      <c r="C154" s="4" t="s">
        <v>517</v>
      </c>
      <c r="D154" s="4" t="s">
        <v>275</v>
      </c>
      <c r="E154" s="16">
        <v>3.86143772630021E-4</v>
      </c>
      <c r="F154" s="16">
        <v>0.9999573413961116</v>
      </c>
      <c r="G154" s="16"/>
      <c r="H154" s="16">
        <v>0.0</v>
      </c>
      <c r="I154" s="16">
        <v>0.041666666666666664</v>
      </c>
      <c r="J154" s="16">
        <v>0.0</v>
      </c>
      <c r="K154" s="4">
        <v>0.0</v>
      </c>
      <c r="M154" s="4" t="s">
        <v>32</v>
      </c>
    </row>
    <row r="155" ht="18.0" customHeight="1">
      <c r="A155" s="4" t="s">
        <v>59</v>
      </c>
      <c r="B155" s="4">
        <v>7.0</v>
      </c>
      <c r="C155" s="4" t="s">
        <v>155</v>
      </c>
      <c r="D155" s="4" t="s">
        <v>156</v>
      </c>
      <c r="E155" s="16">
        <v>1.0632418394088745</v>
      </c>
      <c r="F155" s="16">
        <v>0.06863129138946533</v>
      </c>
      <c r="G155" s="16"/>
      <c r="H155" s="16">
        <v>0.9090909090909091</v>
      </c>
      <c r="I155" s="16">
        <v>0.5916666666666667</v>
      </c>
      <c r="J155" s="16">
        <v>0.75</v>
      </c>
      <c r="K155" s="4">
        <v>1.0</v>
      </c>
      <c r="L155" s="4">
        <v>0.0</v>
      </c>
      <c r="M155" s="4" t="s">
        <v>239</v>
      </c>
    </row>
    <row r="156" ht="18.0" customHeight="1">
      <c r="A156" s="4" t="s">
        <v>59</v>
      </c>
      <c r="B156" s="4">
        <v>8.0</v>
      </c>
      <c r="C156" s="4" t="s">
        <v>453</v>
      </c>
      <c r="D156" s="4" t="s">
        <v>94</v>
      </c>
      <c r="E156" s="16">
        <v>6.23642816208303E-4</v>
      </c>
      <c r="F156" s="16">
        <v>0.9999219202036329</v>
      </c>
      <c r="G156" s="16"/>
      <c r="H156" s="16">
        <v>0.7272727272727273</v>
      </c>
      <c r="I156" s="16">
        <v>0.5583333333333333</v>
      </c>
      <c r="J156" s="16">
        <v>0.7777777777777778</v>
      </c>
      <c r="K156" s="4">
        <v>0.0</v>
      </c>
      <c r="M156" s="4" t="s">
        <v>32</v>
      </c>
    </row>
    <row r="157" ht="18.0" customHeight="1">
      <c r="A157" s="4" t="s">
        <v>59</v>
      </c>
      <c r="B157" s="4">
        <v>9.0</v>
      </c>
      <c r="C157" s="4" t="s">
        <v>147</v>
      </c>
      <c r="D157" s="4" t="s">
        <v>148</v>
      </c>
      <c r="E157" s="16">
        <v>0.012348762713372707</v>
      </c>
      <c r="F157" s="16">
        <v>0.9972325321286917</v>
      </c>
      <c r="G157" s="16"/>
      <c r="H157" s="16">
        <v>0.09090909090909091</v>
      </c>
      <c r="I157" s="16">
        <v>0.03333333333333333</v>
      </c>
      <c r="J157" s="16">
        <v>0.0</v>
      </c>
      <c r="K157" s="4">
        <v>1.0</v>
      </c>
      <c r="L157" s="4">
        <v>0.0</v>
      </c>
      <c r="M157" s="4" t="s">
        <v>239</v>
      </c>
    </row>
    <row r="158" ht="18.0" customHeight="1">
      <c r="A158" s="4" t="s">
        <v>59</v>
      </c>
      <c r="B158" s="4">
        <v>10.0</v>
      </c>
      <c r="C158" s="4" t="s">
        <v>151</v>
      </c>
      <c r="D158" s="4" t="s">
        <v>152</v>
      </c>
      <c r="E158" s="16">
        <v>0.0010497260373085737</v>
      </c>
      <c r="F158" s="16">
        <v>0.9998318142897915</v>
      </c>
      <c r="G158" s="16"/>
      <c r="H158" s="16">
        <v>1.0</v>
      </c>
      <c r="I158" s="16">
        <v>0.6875</v>
      </c>
      <c r="J158" s="16">
        <v>0.0</v>
      </c>
      <c r="K158" s="4">
        <v>1.0</v>
      </c>
      <c r="L158" s="4">
        <v>0.0</v>
      </c>
      <c r="M158" s="4" t="s">
        <v>239</v>
      </c>
    </row>
    <row r="159" ht="18.0" customHeight="1">
      <c r="A159" s="4" t="s">
        <v>59</v>
      </c>
      <c r="B159" s="4">
        <v>11.0</v>
      </c>
      <c r="C159" s="4" t="s">
        <v>461</v>
      </c>
      <c r="D159" s="4" t="s">
        <v>577</v>
      </c>
      <c r="E159" s="16">
        <v>2.6342549972468987E-5</v>
      </c>
      <c r="F159" s="16">
        <v>0.9999977609190296</v>
      </c>
      <c r="G159" s="16"/>
      <c r="H159" s="16">
        <v>0.0</v>
      </c>
      <c r="I159" s="16">
        <v>0.016666666666666666</v>
      </c>
      <c r="J159" s="16">
        <v>0.0</v>
      </c>
      <c r="K159" s="4">
        <v>0.0</v>
      </c>
      <c r="M159" s="4" t="s">
        <v>32</v>
      </c>
    </row>
    <row r="160" ht="18.0" customHeight="1">
      <c r="A160" s="4" t="s">
        <v>59</v>
      </c>
      <c r="B160" s="4">
        <v>12.0</v>
      </c>
      <c r="C160" s="4" t="s">
        <v>172</v>
      </c>
      <c r="D160" s="4" t="s">
        <v>159</v>
      </c>
      <c r="E160" s="16">
        <v>1.704301030258648E-5</v>
      </c>
      <c r="F160" s="16">
        <v>0.9999986473542322</v>
      </c>
      <c r="G160" s="16"/>
      <c r="H160" s="16">
        <v>1.0</v>
      </c>
      <c r="I160" s="16">
        <v>0.6041666666666666</v>
      </c>
      <c r="J160" s="16">
        <v>0.12315270935960596</v>
      </c>
      <c r="K160" s="4">
        <v>1.0</v>
      </c>
      <c r="L160" s="4">
        <v>0.0</v>
      </c>
      <c r="M160" s="4" t="s">
        <v>239</v>
      </c>
    </row>
    <row r="161" ht="18.0" customHeight="1">
      <c r="A161" s="4" t="s">
        <v>59</v>
      </c>
      <c r="B161" s="4">
        <v>13.0</v>
      </c>
      <c r="C161" s="4" t="s">
        <v>175</v>
      </c>
      <c r="D161" s="4" t="s">
        <v>176</v>
      </c>
      <c r="E161" s="16">
        <v>6.537595618283376E-5</v>
      </c>
      <c r="F161" s="16">
        <v>0.9999909939592726</v>
      </c>
      <c r="G161" s="16"/>
      <c r="H161" s="16">
        <v>0.0</v>
      </c>
      <c r="I161" s="16">
        <v>0.016666666666666666</v>
      </c>
      <c r="J161" s="16">
        <v>0.0</v>
      </c>
      <c r="K161" s="4">
        <v>1.0</v>
      </c>
      <c r="L161" s="4">
        <v>0.0</v>
      </c>
      <c r="M161" s="4" t="s">
        <v>239</v>
      </c>
    </row>
    <row r="162" ht="18.0" customHeight="1">
      <c r="A162" s="4" t="s">
        <v>59</v>
      </c>
      <c r="B162" s="4">
        <v>14.0</v>
      </c>
      <c r="C162" s="4" t="s">
        <v>156</v>
      </c>
      <c r="D162" s="4" t="s">
        <v>661</v>
      </c>
      <c r="E162" s="16">
        <v>1.530764129711315E-4</v>
      </c>
      <c r="F162" s="16">
        <v>0.9999817406978764</v>
      </c>
      <c r="G162" s="16"/>
      <c r="H162" s="16">
        <v>1.0</v>
      </c>
      <c r="I162" s="16">
        <v>0.7083333333333334</v>
      </c>
      <c r="J162" s="16">
        <v>0.0</v>
      </c>
      <c r="K162" s="4">
        <v>0.0</v>
      </c>
      <c r="M162" s="4" t="s">
        <v>32</v>
      </c>
    </row>
    <row r="163" ht="18.0" customHeight="1">
      <c r="A163" s="4" t="s">
        <v>59</v>
      </c>
      <c r="B163" s="4">
        <v>15.0</v>
      </c>
      <c r="C163" s="4" t="s">
        <v>169</v>
      </c>
      <c r="D163" s="4" t="s">
        <v>151</v>
      </c>
      <c r="E163" s="16">
        <v>0.04289950802922249</v>
      </c>
      <c r="F163" s="16">
        <v>0.9866134012117982</v>
      </c>
      <c r="G163" s="16"/>
      <c r="H163" s="16">
        <v>1.0</v>
      </c>
      <c r="I163" s="16">
        <v>0.7083333333333334</v>
      </c>
      <c r="J163" s="16">
        <v>0.2857142857142857</v>
      </c>
      <c r="K163" s="4">
        <v>1.0</v>
      </c>
      <c r="L163" s="4">
        <v>0.0</v>
      </c>
      <c r="M163" s="4" t="s">
        <v>239</v>
      </c>
    </row>
    <row r="164" ht="18.0" customHeight="1">
      <c r="A164" s="4" t="s">
        <v>59</v>
      </c>
      <c r="B164" s="4">
        <v>16.0</v>
      </c>
      <c r="C164" s="4" t="s">
        <v>94</v>
      </c>
      <c r="D164" s="4" t="s">
        <v>166</v>
      </c>
      <c r="E164" s="16">
        <v>8.963048458099365E-5</v>
      </c>
      <c r="F164" s="16">
        <v>0.9999930154597223</v>
      </c>
      <c r="G164" s="16"/>
      <c r="H164" s="16">
        <v>0.0</v>
      </c>
      <c r="I164" s="16">
        <v>0.08333333333333333</v>
      </c>
      <c r="J164" s="16">
        <v>0.0</v>
      </c>
      <c r="K164" s="4">
        <v>1.0</v>
      </c>
      <c r="L164" s="4">
        <v>0.0</v>
      </c>
      <c r="M164" s="4" t="s">
        <v>239</v>
      </c>
    </row>
    <row r="165" ht="18.0" customHeight="1">
      <c r="A165" s="4" t="s">
        <v>59</v>
      </c>
      <c r="B165" s="4">
        <v>17.0</v>
      </c>
      <c r="C165" s="4" t="s">
        <v>147</v>
      </c>
      <c r="D165" s="4" t="s">
        <v>461</v>
      </c>
      <c r="E165" s="16">
        <v>0.008220422081649303</v>
      </c>
      <c r="F165" s="16">
        <v>0.9982797124539502</v>
      </c>
      <c r="G165" s="16"/>
      <c r="H165" s="16">
        <v>0.2727272727272727</v>
      </c>
      <c r="I165" s="16">
        <v>0.20000000000000004</v>
      </c>
      <c r="J165" s="16">
        <v>0.5714285714285714</v>
      </c>
      <c r="K165" s="4">
        <v>0.0</v>
      </c>
      <c r="M165" s="4" t="s">
        <v>32</v>
      </c>
    </row>
    <row r="166" ht="18.0" customHeight="1">
      <c r="A166" s="4" t="s">
        <v>59</v>
      </c>
      <c r="B166" s="4">
        <v>18.0</v>
      </c>
      <c r="C166" s="4" t="s">
        <v>686</v>
      </c>
      <c r="D166" s="4" t="s">
        <v>688</v>
      </c>
      <c r="E166" s="16">
        <v>5.633708788082004E-4</v>
      </c>
      <c r="F166" s="16">
        <v>0.9999029741775303</v>
      </c>
      <c r="G166" s="16"/>
      <c r="H166" s="16">
        <v>1.0</v>
      </c>
      <c r="I166" s="16">
        <v>0.6875</v>
      </c>
      <c r="J166" s="16">
        <v>0.0</v>
      </c>
      <c r="K166" s="4">
        <v>0.0</v>
      </c>
      <c r="M166" s="4" t="s">
        <v>32</v>
      </c>
    </row>
    <row r="167" ht="18.0" customHeight="1">
      <c r="A167" s="4" t="s">
        <v>59</v>
      </c>
      <c r="B167" s="4">
        <v>19.0</v>
      </c>
      <c r="C167" s="4" t="s">
        <v>159</v>
      </c>
      <c r="D167" s="4" t="s">
        <v>160</v>
      </c>
      <c r="E167" s="16">
        <v>5.059128852735739E-6</v>
      </c>
      <c r="F167" s="16">
        <v>0.9999994849071072</v>
      </c>
      <c r="G167" s="16"/>
      <c r="H167" s="16">
        <v>1.0</v>
      </c>
      <c r="I167" s="16">
        <v>0.5625</v>
      </c>
      <c r="J167" s="16">
        <v>0.0</v>
      </c>
      <c r="K167" s="4">
        <v>1.0</v>
      </c>
      <c r="L167" s="4">
        <v>0.0</v>
      </c>
      <c r="M167" s="4" t="s">
        <v>239</v>
      </c>
    </row>
    <row r="168" ht="18.0" customHeight="1">
      <c r="A168" s="4" t="s">
        <v>59</v>
      </c>
      <c r="B168" s="4">
        <v>20.0</v>
      </c>
      <c r="C168" s="4" t="s">
        <v>160</v>
      </c>
      <c r="D168" s="4" t="s">
        <v>159</v>
      </c>
      <c r="E168" s="16">
        <v>1.7421500615455443E-6</v>
      </c>
      <c r="F168" s="16">
        <v>0.999999808132543</v>
      </c>
      <c r="G168" s="16"/>
      <c r="H168" s="16">
        <v>1.0</v>
      </c>
      <c r="I168" s="16">
        <v>0.5625</v>
      </c>
      <c r="J168" s="16">
        <v>0.3756613756613757</v>
      </c>
      <c r="K168" s="4">
        <v>1.0</v>
      </c>
      <c r="L168" s="4">
        <v>1.0</v>
      </c>
      <c r="M168" s="4" t="s">
        <v>486</v>
      </c>
    </row>
    <row r="169" ht="18.0" customHeight="1">
      <c r="A169" s="4" t="s">
        <v>59</v>
      </c>
      <c r="B169" s="4">
        <v>21.0</v>
      </c>
      <c r="C169" s="4" t="s">
        <v>143</v>
      </c>
      <c r="D169" s="4" t="s">
        <v>144</v>
      </c>
      <c r="E169" s="16">
        <v>0.0048796809278428555</v>
      </c>
      <c r="F169" s="16">
        <v>0.9989759005839005</v>
      </c>
      <c r="G169" s="16"/>
      <c r="H169" s="16">
        <v>0.2727272727272727</v>
      </c>
      <c r="I169" s="16">
        <v>0.3333333333333333</v>
      </c>
      <c r="J169" s="16">
        <v>0.5714285714285714</v>
      </c>
      <c r="K169" s="4">
        <v>1.0</v>
      </c>
      <c r="L169" s="4">
        <v>0.0</v>
      </c>
      <c r="M169" s="4" t="s">
        <v>239</v>
      </c>
    </row>
    <row r="170" ht="18.0" customHeight="1">
      <c r="A170" s="4" t="s">
        <v>59</v>
      </c>
      <c r="B170" s="4">
        <v>22.0</v>
      </c>
      <c r="C170" s="4" t="s">
        <v>159</v>
      </c>
      <c r="D170" s="4" t="s">
        <v>566</v>
      </c>
      <c r="E170" s="16">
        <v>9.751156903803349E-5</v>
      </c>
      <c r="F170" s="16">
        <v>0.9999914566362804</v>
      </c>
      <c r="G170" s="16"/>
      <c r="H170" s="16">
        <v>1.0</v>
      </c>
      <c r="I170" s="16">
        <v>0.6041666666666666</v>
      </c>
      <c r="J170" s="16">
        <v>0.0</v>
      </c>
      <c r="K170" s="4">
        <v>0.0</v>
      </c>
      <c r="M170" s="4" t="s">
        <v>32</v>
      </c>
    </row>
    <row r="171" ht="18.0" customHeight="1">
      <c r="A171" s="4" t="s">
        <v>61</v>
      </c>
      <c r="B171" s="4">
        <v>2.0</v>
      </c>
      <c r="C171" s="4" t="s">
        <v>122</v>
      </c>
      <c r="D171" s="4" t="s">
        <v>220</v>
      </c>
      <c r="E171" s="16">
        <v>0.0015700862277299166</v>
      </c>
      <c r="F171" s="16">
        <v>0.9997214964532759</v>
      </c>
      <c r="G171" s="16"/>
      <c r="H171" s="16">
        <v>0.0</v>
      </c>
      <c r="I171" s="16">
        <v>0.0</v>
      </c>
      <c r="J171" s="16">
        <v>0.0</v>
      </c>
      <c r="K171" s="4">
        <v>0.0</v>
      </c>
      <c r="M171" s="4" t="s">
        <v>32</v>
      </c>
    </row>
    <row r="172" ht="18.0" customHeight="1">
      <c r="A172" s="4" t="s">
        <v>61</v>
      </c>
      <c r="B172" s="4">
        <v>3.0</v>
      </c>
      <c r="C172" s="4" t="s">
        <v>231</v>
      </c>
      <c r="D172" s="4" t="s">
        <v>234</v>
      </c>
      <c r="E172" s="16">
        <v>0.2501063048839569</v>
      </c>
      <c r="F172" s="16">
        <v>0.8989721350371838</v>
      </c>
      <c r="G172" s="16"/>
      <c r="H172" s="16">
        <v>1.0</v>
      </c>
      <c r="I172" s="16">
        <v>0.6208333333333333</v>
      </c>
      <c r="J172" s="16">
        <v>0.8571428571428572</v>
      </c>
      <c r="K172" s="4">
        <v>1.0</v>
      </c>
      <c r="L172" s="4">
        <v>0.0</v>
      </c>
      <c r="M172" s="4" t="s">
        <v>239</v>
      </c>
    </row>
    <row r="173" ht="18.0" customHeight="1">
      <c r="A173" s="4" t="s">
        <v>61</v>
      </c>
      <c r="B173" s="4">
        <v>4.0</v>
      </c>
      <c r="C173" s="4" t="s">
        <v>197</v>
      </c>
      <c r="D173" s="4" t="s">
        <v>83</v>
      </c>
      <c r="E173" s="16">
        <v>0.7552945613861084</v>
      </c>
      <c r="F173" s="16">
        <v>0.04642334580421448</v>
      </c>
      <c r="G173" s="16"/>
      <c r="H173" s="16">
        <v>1.0</v>
      </c>
      <c r="I173" s="16">
        <v>0.5208333333333334</v>
      </c>
      <c r="J173" s="16">
        <v>1.0</v>
      </c>
      <c r="K173" s="4">
        <v>1.0</v>
      </c>
      <c r="L173" s="4">
        <v>0.0</v>
      </c>
      <c r="M173" s="4" t="s">
        <v>239</v>
      </c>
    </row>
    <row r="174" ht="18.0" customHeight="1">
      <c r="A174" s="4" t="s">
        <v>61</v>
      </c>
      <c r="B174" s="4">
        <v>5.0</v>
      </c>
      <c r="C174" s="4" t="s">
        <v>706</v>
      </c>
      <c r="D174" s="4" t="s">
        <v>707</v>
      </c>
      <c r="E174" s="16">
        <v>0.002669333480298519</v>
      </c>
      <c r="F174" s="16">
        <v>0.9996860248575103</v>
      </c>
      <c r="G174" s="16"/>
      <c r="H174" s="16">
        <v>1.0</v>
      </c>
      <c r="I174" s="16">
        <v>0.6666666666666666</v>
      </c>
      <c r="J174" s="16">
        <v>0.33333333333333337</v>
      </c>
      <c r="K174" s="4">
        <v>0.0</v>
      </c>
      <c r="M174" s="4" t="s">
        <v>32</v>
      </c>
    </row>
    <row r="175" ht="18.0" customHeight="1">
      <c r="A175" s="4" t="s">
        <v>61</v>
      </c>
      <c r="B175" s="4">
        <v>6.0</v>
      </c>
      <c r="C175" s="4" t="s">
        <v>181</v>
      </c>
      <c r="D175" s="4" t="s">
        <v>427</v>
      </c>
      <c r="E175" s="16">
        <v>3.2325153824785957E-6</v>
      </c>
      <c r="F175" s="16">
        <v>0.9999998058261212</v>
      </c>
      <c r="G175" s="16"/>
      <c r="H175" s="16">
        <v>0.18181818181818182</v>
      </c>
      <c r="I175" s="16">
        <v>0.25</v>
      </c>
      <c r="J175" s="16">
        <v>0.5</v>
      </c>
      <c r="K175" s="4">
        <v>0.0</v>
      </c>
      <c r="M175" s="4" t="s">
        <v>32</v>
      </c>
    </row>
    <row r="176" ht="18.0" customHeight="1">
      <c r="A176" s="4" t="s">
        <v>61</v>
      </c>
      <c r="B176" s="4">
        <v>7.0</v>
      </c>
      <c r="C176" s="4" t="s">
        <v>151</v>
      </c>
      <c r="D176" s="4" t="s">
        <v>258</v>
      </c>
      <c r="E176" s="16">
        <v>1.473978627473116E-4</v>
      </c>
      <c r="F176" s="16">
        <v>0.9999832300027265</v>
      </c>
      <c r="G176" s="16"/>
      <c r="H176" s="16">
        <v>1.0</v>
      </c>
      <c r="I176" s="16">
        <v>0.5583333333333333</v>
      </c>
      <c r="J176" s="16">
        <v>0.37499999999999994</v>
      </c>
      <c r="K176" s="4">
        <v>0.0</v>
      </c>
      <c r="M176" s="4" t="s">
        <v>32</v>
      </c>
    </row>
    <row r="177" ht="18.0" customHeight="1">
      <c r="A177" s="4" t="s">
        <v>61</v>
      </c>
      <c r="B177" s="4">
        <v>8.0</v>
      </c>
      <c r="C177" s="4" t="s">
        <v>716</v>
      </c>
      <c r="D177" s="4" t="s">
        <v>706</v>
      </c>
      <c r="E177" s="16">
        <v>3.5111232136841863E-5</v>
      </c>
      <c r="F177" s="16">
        <v>0.9999973419437538</v>
      </c>
      <c r="G177" s="16"/>
      <c r="H177" s="16">
        <v>0.5454545454545454</v>
      </c>
      <c r="I177" s="16">
        <v>0.4583333333333333</v>
      </c>
      <c r="J177" s="16">
        <v>0.25</v>
      </c>
      <c r="K177" s="4">
        <v>0.0</v>
      </c>
      <c r="M177" s="4" t="s">
        <v>32</v>
      </c>
    </row>
    <row r="178" ht="18.0" customHeight="1">
      <c r="A178" s="4" t="s">
        <v>61</v>
      </c>
      <c r="B178" s="4">
        <v>9.0</v>
      </c>
      <c r="C178" s="4" t="s">
        <v>160</v>
      </c>
      <c r="D178" s="4" t="s">
        <v>139</v>
      </c>
      <c r="E178" s="16">
        <v>1.3670180578628788E-6</v>
      </c>
      <c r="F178" s="16">
        <v>0.999999953453429</v>
      </c>
      <c r="G178" s="16"/>
      <c r="H178" s="16">
        <v>1.0</v>
      </c>
      <c r="I178" s="16">
        <v>0.6666666666666666</v>
      </c>
      <c r="J178" s="16">
        <v>0.19047619047619047</v>
      </c>
      <c r="K178" s="4">
        <v>0.0</v>
      </c>
      <c r="M178" s="4" t="s">
        <v>32</v>
      </c>
    </row>
    <row r="179" ht="18.0" customHeight="1">
      <c r="A179" s="4" t="s">
        <v>61</v>
      </c>
      <c r="B179" s="4">
        <v>10.0</v>
      </c>
      <c r="C179" s="4" t="s">
        <v>139</v>
      </c>
      <c r="D179" s="4" t="s">
        <v>139</v>
      </c>
      <c r="E179" s="16">
        <v>0.0022527275141328573</v>
      </c>
      <c r="F179" s="16">
        <v>0.9996476004162105</v>
      </c>
      <c r="G179" s="16"/>
      <c r="H179" s="16">
        <v>0.0</v>
      </c>
      <c r="I179" s="16">
        <v>0.0</v>
      </c>
      <c r="J179" s="16">
        <v>0.0</v>
      </c>
      <c r="K179" s="4">
        <v>0.0</v>
      </c>
      <c r="M179" s="4" t="s">
        <v>32</v>
      </c>
    </row>
    <row r="180" ht="18.0" customHeight="1">
      <c r="A180" s="4" t="s">
        <v>61</v>
      </c>
      <c r="B180" s="4">
        <v>11.0</v>
      </c>
      <c r="C180" s="4" t="s">
        <v>232</v>
      </c>
      <c r="D180" s="4" t="s">
        <v>159</v>
      </c>
      <c r="E180" s="16">
        <v>0.0017501730471849442</v>
      </c>
      <c r="F180" s="16">
        <v>0.9997741434635827</v>
      </c>
      <c r="G180" s="16"/>
      <c r="H180" s="16">
        <v>0.0</v>
      </c>
      <c r="I180" s="16">
        <v>0.0</v>
      </c>
      <c r="J180" s="16">
        <v>0.0</v>
      </c>
      <c r="K180" s="4">
        <v>0.0</v>
      </c>
      <c r="M180" s="4" t="s">
        <v>32</v>
      </c>
    </row>
    <row r="181" ht="18.0" customHeight="1">
      <c r="A181" s="4" t="s">
        <v>61</v>
      </c>
      <c r="B181" s="4">
        <v>12.0</v>
      </c>
      <c r="C181" s="4" t="s">
        <v>200</v>
      </c>
      <c r="D181" s="4" t="s">
        <v>201</v>
      </c>
      <c r="E181" s="16">
        <v>0.5984967350959778</v>
      </c>
      <c r="F181" s="16">
        <v>0.7944483533501625</v>
      </c>
      <c r="G181" s="16"/>
      <c r="H181" s="16">
        <v>1.0</v>
      </c>
      <c r="I181" s="16">
        <v>0.6</v>
      </c>
      <c r="J181" s="16">
        <v>1.0</v>
      </c>
      <c r="K181" s="4">
        <v>1.0</v>
      </c>
      <c r="L181" s="4">
        <v>0.0</v>
      </c>
      <c r="M181" s="4" t="s">
        <v>239</v>
      </c>
    </row>
    <row r="182" ht="18.0" customHeight="1">
      <c r="A182" s="4" t="s">
        <v>61</v>
      </c>
      <c r="B182" s="4">
        <v>13.0</v>
      </c>
      <c r="C182" s="4" t="s">
        <v>180</v>
      </c>
      <c r="D182" s="4" t="s">
        <v>181</v>
      </c>
      <c r="E182" s="16">
        <v>1.0629148483276367</v>
      </c>
      <c r="F182" s="16">
        <v>0.31427641212940216</v>
      </c>
      <c r="G182" s="16"/>
      <c r="H182" s="16">
        <v>0.9090909090909091</v>
      </c>
      <c r="I182" s="16">
        <v>0.6041666666666666</v>
      </c>
      <c r="J182" s="16">
        <v>0.3885542168674699</v>
      </c>
      <c r="K182" s="4">
        <v>1.0</v>
      </c>
      <c r="L182" s="4">
        <v>0.0</v>
      </c>
      <c r="M182" s="4" t="s">
        <v>239</v>
      </c>
    </row>
    <row r="183" ht="18.0" customHeight="1">
      <c r="A183" s="4" t="s">
        <v>61</v>
      </c>
      <c r="B183" s="4">
        <v>14.0</v>
      </c>
      <c r="C183" s="4" t="s">
        <v>726</v>
      </c>
      <c r="D183" s="4" t="s">
        <v>716</v>
      </c>
      <c r="E183" s="16">
        <v>2.590501680970192E-4</v>
      </c>
      <c r="F183" s="16">
        <v>0.9999726195792391</v>
      </c>
      <c r="G183" s="16"/>
      <c r="H183" s="16">
        <v>0.7272727272727273</v>
      </c>
      <c r="I183" s="16">
        <v>0.5583333333333333</v>
      </c>
      <c r="J183" s="16">
        <v>0.75</v>
      </c>
      <c r="K183" s="4">
        <v>0.0</v>
      </c>
      <c r="M183" s="4" t="s">
        <v>32</v>
      </c>
    </row>
    <row r="184" ht="18.0" customHeight="1">
      <c r="A184" s="4" t="s">
        <v>61</v>
      </c>
      <c r="B184" s="4">
        <v>15.0</v>
      </c>
      <c r="C184" s="4" t="s">
        <v>706</v>
      </c>
      <c r="D184" s="4" t="s">
        <v>495</v>
      </c>
      <c r="E184" s="16">
        <v>4.3422129238024354E-4</v>
      </c>
      <c r="F184" s="16">
        <v>0.9999534953267357</v>
      </c>
      <c r="G184" s="16"/>
      <c r="H184" s="16">
        <v>1.0</v>
      </c>
      <c r="I184" s="16">
        <v>0.7083333333333334</v>
      </c>
      <c r="J184" s="16">
        <v>0.0</v>
      </c>
      <c r="K184" s="4">
        <v>0.0</v>
      </c>
      <c r="M184" s="4" t="s">
        <v>32</v>
      </c>
    </row>
    <row r="185" ht="18.0" customHeight="1">
      <c r="A185" s="4" t="s">
        <v>61</v>
      </c>
      <c r="B185" s="4">
        <v>16.0</v>
      </c>
      <c r="C185" s="4" t="s">
        <v>181</v>
      </c>
      <c r="D185" s="4" t="s">
        <v>160</v>
      </c>
      <c r="E185" s="16">
        <v>6.5601007008808665E-6</v>
      </c>
      <c r="F185" s="16">
        <v>0.9999992307355683</v>
      </c>
      <c r="G185" s="16"/>
      <c r="H185" s="16">
        <v>0.09090909090909091</v>
      </c>
      <c r="I185" s="16">
        <v>0.16666666666666666</v>
      </c>
      <c r="J185" s="16">
        <v>0.5</v>
      </c>
      <c r="K185" s="4">
        <v>0.0</v>
      </c>
      <c r="M185" s="4" t="s">
        <v>32</v>
      </c>
    </row>
    <row r="186" ht="18.0" customHeight="1">
      <c r="A186" s="4" t="s">
        <v>61</v>
      </c>
      <c r="B186" s="4">
        <v>17.0</v>
      </c>
      <c r="C186" s="4" t="s">
        <v>217</v>
      </c>
      <c r="D186" s="4" t="s">
        <v>200</v>
      </c>
      <c r="E186" s="16">
        <v>2.063523788820021E-5</v>
      </c>
      <c r="F186" s="16">
        <v>0.9999986012408613</v>
      </c>
      <c r="G186" s="16"/>
      <c r="H186" s="16">
        <v>1.0</v>
      </c>
      <c r="I186" s="16">
        <v>0.6</v>
      </c>
      <c r="J186" s="16">
        <v>0.2433862433862434</v>
      </c>
      <c r="K186" s="4">
        <v>0.0</v>
      </c>
      <c r="M186" s="4" t="s">
        <v>32</v>
      </c>
    </row>
    <row r="187" ht="18.0" customHeight="1">
      <c r="A187" s="4" t="s">
        <v>61</v>
      </c>
      <c r="B187" s="4">
        <v>18.0</v>
      </c>
      <c r="C187" s="4" t="s">
        <v>427</v>
      </c>
      <c r="D187" s="4" t="s">
        <v>181</v>
      </c>
      <c r="E187" s="16">
        <v>4.1551629692548886E-5</v>
      </c>
      <c r="F187" s="16">
        <v>0.9999942366648611</v>
      </c>
      <c r="G187" s="16"/>
      <c r="H187" s="16">
        <v>0.09090909090909091</v>
      </c>
      <c r="I187" s="16">
        <v>0.16666666666666666</v>
      </c>
      <c r="J187" s="16">
        <v>0.5</v>
      </c>
      <c r="K187" s="4">
        <v>0.0</v>
      </c>
      <c r="M187" s="4" t="s">
        <v>32</v>
      </c>
    </row>
    <row r="188" ht="18.0" customHeight="1">
      <c r="A188" s="4" t="s">
        <v>61</v>
      </c>
      <c r="B188" s="4">
        <v>19.0</v>
      </c>
      <c r="C188" s="4" t="s">
        <v>193</v>
      </c>
      <c r="D188" s="4" t="s">
        <v>194</v>
      </c>
      <c r="E188" s="16">
        <v>3.861058576148935E-5</v>
      </c>
      <c r="F188" s="16">
        <v>0.9999952205805585</v>
      </c>
      <c r="G188" s="16"/>
      <c r="H188" s="16">
        <v>1.0</v>
      </c>
      <c r="I188" s="16">
        <v>0.625</v>
      </c>
      <c r="J188" s="16">
        <v>0.8</v>
      </c>
      <c r="K188" s="4">
        <v>1.0</v>
      </c>
      <c r="L188" s="4">
        <v>0.0</v>
      </c>
      <c r="M188" s="4" t="s">
        <v>239</v>
      </c>
    </row>
    <row r="189" ht="18.0" customHeight="1">
      <c r="A189" s="4" t="s">
        <v>61</v>
      </c>
      <c r="B189" s="4">
        <v>20.0</v>
      </c>
      <c r="C189" s="4" t="s">
        <v>716</v>
      </c>
      <c r="D189" s="4" t="s">
        <v>706</v>
      </c>
      <c r="E189" s="16">
        <v>3.177338294335641E-5</v>
      </c>
      <c r="F189" s="16">
        <v>0.9999971674984067</v>
      </c>
      <c r="G189" s="16"/>
      <c r="H189" s="16">
        <v>0.09090909090909091</v>
      </c>
      <c r="I189" s="16">
        <v>0.041666666666666664</v>
      </c>
      <c r="J189" s="16">
        <v>0.0</v>
      </c>
      <c r="K189" s="4">
        <v>0.0</v>
      </c>
      <c r="M189" s="4" t="s">
        <v>32</v>
      </c>
    </row>
    <row r="190" ht="18.0" customHeight="1">
      <c r="A190" s="4" t="s">
        <v>61</v>
      </c>
      <c r="B190" s="4">
        <v>21.0</v>
      </c>
      <c r="C190" s="4" t="s">
        <v>160</v>
      </c>
      <c r="D190" s="4" t="s">
        <v>217</v>
      </c>
      <c r="E190" s="16">
        <v>6.524602440549643E-7</v>
      </c>
      <c r="F190" s="16">
        <v>0.9999999871750704</v>
      </c>
      <c r="G190" s="16"/>
      <c r="H190" s="16">
        <v>1.0</v>
      </c>
      <c r="I190" s="16">
        <v>0.75</v>
      </c>
      <c r="J190" s="16">
        <v>0.1611650485436893</v>
      </c>
      <c r="K190" s="4">
        <v>0.0</v>
      </c>
      <c r="M190" s="4" t="s">
        <v>32</v>
      </c>
    </row>
    <row r="191" ht="18.0" customHeight="1">
      <c r="A191" s="4" t="s">
        <v>61</v>
      </c>
      <c r="B191" s="4">
        <v>22.0</v>
      </c>
      <c r="C191" s="4" t="s">
        <v>217</v>
      </c>
      <c r="D191" s="4" t="s">
        <v>743</v>
      </c>
      <c r="E191" s="16">
        <v>1.1975101870120852E-6</v>
      </c>
      <c r="F191" s="16">
        <v>0.9999999719877799</v>
      </c>
      <c r="G191" s="16"/>
      <c r="H191" s="16">
        <v>0.0</v>
      </c>
      <c r="I191" s="16">
        <v>0.041666666666666664</v>
      </c>
      <c r="J191" s="16">
        <v>0.0</v>
      </c>
      <c r="K191" s="4">
        <v>0.0</v>
      </c>
      <c r="M191" s="4" t="s">
        <v>32</v>
      </c>
    </row>
    <row r="192" ht="18.0" customHeight="1">
      <c r="A192" s="4" t="s">
        <v>61</v>
      </c>
      <c r="B192" s="4">
        <v>23.0</v>
      </c>
      <c r="C192" s="4" t="s">
        <v>427</v>
      </c>
      <c r="D192" s="4" t="s">
        <v>181</v>
      </c>
      <c r="E192" s="16">
        <v>6.1096184253983665E-6</v>
      </c>
      <c r="F192" s="16">
        <v>0.999999279104145</v>
      </c>
      <c r="G192" s="16"/>
      <c r="H192" s="16">
        <v>0.0</v>
      </c>
      <c r="I192" s="16">
        <v>0.08333333333333333</v>
      </c>
      <c r="J192" s="16">
        <v>0.25</v>
      </c>
      <c r="K192" s="4">
        <v>0.0</v>
      </c>
      <c r="M192" s="4" t="s">
        <v>32</v>
      </c>
    </row>
    <row r="193" ht="18.0" customHeight="1">
      <c r="A193" s="4" t="s">
        <v>61</v>
      </c>
      <c r="B193" s="4">
        <v>24.0</v>
      </c>
      <c r="C193" s="4" t="s">
        <v>748</v>
      </c>
      <c r="D193" s="4" t="s">
        <v>749</v>
      </c>
      <c r="E193" s="16">
        <v>2.772694278974086E-4</v>
      </c>
      <c r="F193" s="16">
        <v>0.9999584251399938</v>
      </c>
      <c r="G193" s="16"/>
      <c r="H193" s="16">
        <v>1.0</v>
      </c>
      <c r="I193" s="16">
        <v>0.7083333333333334</v>
      </c>
      <c r="J193" s="16">
        <v>0.0</v>
      </c>
      <c r="K193" s="4">
        <v>0.0</v>
      </c>
      <c r="M193" s="4" t="s">
        <v>32</v>
      </c>
    </row>
    <row r="194" ht="18.0" customHeight="1">
      <c r="A194" s="4" t="s">
        <v>61</v>
      </c>
      <c r="B194" s="4">
        <v>25.0</v>
      </c>
      <c r="C194" s="4" t="s">
        <v>232</v>
      </c>
      <c r="D194" s="4" t="s">
        <v>754</v>
      </c>
      <c r="E194" s="16">
        <v>3.523411578498781E-5</v>
      </c>
      <c r="F194" s="16">
        <v>0.9999971964406882</v>
      </c>
      <c r="G194" s="16"/>
      <c r="H194" s="16">
        <v>1.0</v>
      </c>
      <c r="I194" s="16">
        <v>0.8541666666666666</v>
      </c>
      <c r="J194" s="16">
        <v>0.0</v>
      </c>
      <c r="K194" s="4">
        <v>0.0</v>
      </c>
      <c r="M194" s="4" t="s">
        <v>32</v>
      </c>
    </row>
    <row r="195" ht="18.0" customHeight="1">
      <c r="A195" s="4" t="s">
        <v>61</v>
      </c>
      <c r="B195" s="4">
        <v>26.0</v>
      </c>
      <c r="C195" s="4" t="s">
        <v>256</v>
      </c>
      <c r="D195" s="4" t="s">
        <v>758</v>
      </c>
      <c r="E195" s="16">
        <v>6.895128171890974E-5</v>
      </c>
      <c r="F195" s="16">
        <v>0.9999946654988889</v>
      </c>
      <c r="G195" s="16"/>
      <c r="H195" s="16">
        <v>0.0</v>
      </c>
      <c r="I195" s="16">
        <v>0.016666666666666666</v>
      </c>
      <c r="J195" s="16">
        <v>0.0</v>
      </c>
      <c r="K195" s="4">
        <v>0.0</v>
      </c>
      <c r="M195" s="4" t="s">
        <v>32</v>
      </c>
    </row>
    <row r="196" ht="18.0" customHeight="1">
      <c r="A196" s="4" t="s">
        <v>61</v>
      </c>
      <c r="B196" s="4">
        <v>27.0</v>
      </c>
      <c r="C196" s="4" t="s">
        <v>180</v>
      </c>
      <c r="D196" s="4" t="s">
        <v>763</v>
      </c>
      <c r="E196" s="16">
        <v>2.5269777324865572E-5</v>
      </c>
      <c r="F196" s="16">
        <v>0.9999969734698197</v>
      </c>
      <c r="G196" s="16"/>
      <c r="H196" s="16">
        <v>1.0</v>
      </c>
      <c r="I196" s="16">
        <v>0.7916666666666666</v>
      </c>
      <c r="J196" s="16">
        <v>0.0</v>
      </c>
      <c r="K196" s="4">
        <v>0.0</v>
      </c>
      <c r="M196" s="4" t="s">
        <v>32</v>
      </c>
    </row>
    <row r="197" ht="18.0" customHeight="1">
      <c r="A197" s="4" t="s">
        <v>61</v>
      </c>
      <c r="B197" s="4">
        <v>28.0</v>
      </c>
      <c r="C197" s="4" t="s">
        <v>766</v>
      </c>
      <c r="D197" s="4" t="s">
        <v>726</v>
      </c>
      <c r="E197" s="16">
        <v>8.815065666567534E-5</v>
      </c>
      <c r="F197" s="16">
        <v>0.9999878802691455</v>
      </c>
      <c r="G197" s="16"/>
      <c r="H197" s="16">
        <v>0.0</v>
      </c>
      <c r="I197" s="16">
        <v>0.016666666666666666</v>
      </c>
      <c r="J197" s="16">
        <v>0.6666666666666667</v>
      </c>
      <c r="K197" s="4">
        <v>0.0</v>
      </c>
      <c r="M197" s="4" t="s">
        <v>32</v>
      </c>
    </row>
    <row r="198" ht="18.0" customHeight="1">
      <c r="A198" s="4" t="s">
        <v>61</v>
      </c>
      <c r="B198" s="4">
        <v>29.0</v>
      </c>
      <c r="C198" s="4" t="s">
        <v>706</v>
      </c>
      <c r="D198" s="4" t="s">
        <v>771</v>
      </c>
      <c r="E198" s="16">
        <v>1.2702001549769193E-4</v>
      </c>
      <c r="F198" s="16">
        <v>0.999984639579452</v>
      </c>
      <c r="G198" s="16"/>
      <c r="H198" s="16">
        <v>1.0</v>
      </c>
      <c r="I198" s="16">
        <v>0.7083333333333334</v>
      </c>
      <c r="J198" s="16">
        <v>0.5</v>
      </c>
      <c r="K198" s="4">
        <v>0.0</v>
      </c>
      <c r="M198" s="4" t="s">
        <v>32</v>
      </c>
    </row>
    <row r="199" ht="18.0" customHeight="1">
      <c r="A199" s="4" t="s">
        <v>61</v>
      </c>
      <c r="B199" s="4">
        <v>30.0</v>
      </c>
      <c r="C199" s="4" t="s">
        <v>181</v>
      </c>
      <c r="D199" s="4" t="s">
        <v>160</v>
      </c>
      <c r="E199" s="16">
        <v>5.454307938634884E-6</v>
      </c>
      <c r="F199" s="16">
        <v>0.9999993116128678</v>
      </c>
      <c r="G199" s="16"/>
      <c r="H199" s="16">
        <v>0.09090909090909091</v>
      </c>
      <c r="I199" s="16">
        <v>0.16666666666666666</v>
      </c>
      <c r="J199" s="16">
        <v>0.33333333333333337</v>
      </c>
      <c r="K199" s="4">
        <v>0.0</v>
      </c>
      <c r="M199" s="4" t="s">
        <v>32</v>
      </c>
    </row>
    <row r="200" ht="18.0" customHeight="1">
      <c r="A200" s="4" t="s">
        <v>61</v>
      </c>
      <c r="B200" s="4">
        <v>31.0</v>
      </c>
      <c r="C200" s="4" t="s">
        <v>217</v>
      </c>
      <c r="D200" s="4" t="s">
        <v>218</v>
      </c>
      <c r="E200" s="16">
        <v>2.2216278011910617E-5</v>
      </c>
      <c r="F200" s="16">
        <v>0.9999972407107407</v>
      </c>
      <c r="G200" s="16"/>
      <c r="H200" s="16">
        <v>0.09090909090909091</v>
      </c>
      <c r="I200" s="16">
        <v>0.08333333333333333</v>
      </c>
      <c r="J200" s="16">
        <v>0.25</v>
      </c>
      <c r="K200" s="4">
        <v>1.0</v>
      </c>
      <c r="L200" s="4">
        <v>0.0</v>
      </c>
      <c r="M200" s="4" t="s">
        <v>239</v>
      </c>
    </row>
    <row r="201" ht="18.0" customHeight="1">
      <c r="A201" s="4" t="s">
        <v>61</v>
      </c>
      <c r="B201" s="4">
        <v>32.0</v>
      </c>
      <c r="C201" s="4" t="s">
        <v>181</v>
      </c>
      <c r="D201" s="4" t="s">
        <v>427</v>
      </c>
      <c r="E201" s="16">
        <v>6.075473720557056E-6</v>
      </c>
      <c r="F201" s="16">
        <v>0.9999992847361057</v>
      </c>
      <c r="G201" s="16"/>
      <c r="H201" s="16">
        <v>0.45454545454545453</v>
      </c>
      <c r="I201" s="16">
        <v>0.5</v>
      </c>
      <c r="J201" s="16">
        <v>1.0</v>
      </c>
      <c r="K201" s="4">
        <v>0.0</v>
      </c>
      <c r="M201" s="4" t="s">
        <v>32</v>
      </c>
    </row>
    <row r="202" ht="18.0" customHeight="1">
      <c r="A202" s="4" t="s">
        <v>61</v>
      </c>
      <c r="B202" s="4">
        <v>33.0</v>
      </c>
      <c r="C202" s="4" t="s">
        <v>193</v>
      </c>
      <c r="D202" s="4" t="s">
        <v>194</v>
      </c>
      <c r="E202" s="16">
        <v>1.0297248991264496E-5</v>
      </c>
      <c r="F202" s="16">
        <v>0.9999990658219531</v>
      </c>
      <c r="G202" s="16"/>
      <c r="H202" s="16">
        <v>1.0</v>
      </c>
      <c r="I202" s="16">
        <v>0.6875</v>
      </c>
      <c r="J202" s="16">
        <v>0.75</v>
      </c>
      <c r="K202" s="4">
        <v>1.0</v>
      </c>
      <c r="L202" s="4">
        <v>0.0</v>
      </c>
      <c r="M202" s="4" t="s">
        <v>239</v>
      </c>
    </row>
    <row r="203" ht="18.0" customHeight="1">
      <c r="A203" s="4" t="s">
        <v>61</v>
      </c>
      <c r="B203" s="4">
        <v>34.0</v>
      </c>
      <c r="C203" s="4" t="s">
        <v>716</v>
      </c>
      <c r="D203" s="4" t="s">
        <v>786</v>
      </c>
      <c r="E203" s="16">
        <v>1.1283766070846468E-5</v>
      </c>
      <c r="F203" s="16">
        <v>0.999999098549722</v>
      </c>
      <c r="G203" s="16"/>
      <c r="H203" s="16">
        <v>0.0</v>
      </c>
      <c r="I203" s="16">
        <v>0.016666666666666666</v>
      </c>
      <c r="J203" s="16">
        <v>0.0</v>
      </c>
      <c r="K203" s="4">
        <v>0.0</v>
      </c>
      <c r="M203" s="4" t="s">
        <v>32</v>
      </c>
    </row>
    <row r="204" ht="18.0" customHeight="1">
      <c r="A204" s="4" t="s">
        <v>61</v>
      </c>
      <c r="B204" s="4">
        <v>35.0</v>
      </c>
      <c r="C204" s="4" t="s">
        <v>160</v>
      </c>
      <c r="D204" s="4" t="s">
        <v>217</v>
      </c>
      <c r="E204" s="16">
        <v>9.713013423606753E-5</v>
      </c>
      <c r="F204" s="16">
        <v>0.999989866904798</v>
      </c>
      <c r="G204" s="16"/>
      <c r="H204" s="16">
        <v>1.0</v>
      </c>
      <c r="I204" s="16">
        <v>0.5833333333333334</v>
      </c>
      <c r="J204" s="16">
        <v>0.16153846153846152</v>
      </c>
      <c r="K204" s="4">
        <v>0.0</v>
      </c>
      <c r="M204" s="4" t="s">
        <v>32</v>
      </c>
    </row>
    <row r="205" ht="18.0" customHeight="1">
      <c r="A205" s="4" t="s">
        <v>61</v>
      </c>
      <c r="B205" s="4">
        <v>36.0</v>
      </c>
      <c r="C205" s="4" t="s">
        <v>217</v>
      </c>
      <c r="D205" s="4" t="s">
        <v>743</v>
      </c>
      <c r="E205" s="16">
        <v>2.8238666800461942E-6</v>
      </c>
      <c r="F205" s="16">
        <v>0.9999998406650583</v>
      </c>
      <c r="G205" s="16"/>
      <c r="H205" s="16">
        <v>0.0</v>
      </c>
      <c r="I205" s="16">
        <v>0.041666666666666664</v>
      </c>
      <c r="J205" s="16">
        <v>0.0</v>
      </c>
      <c r="K205" s="4">
        <v>0.0</v>
      </c>
      <c r="M205" s="4" t="s">
        <v>32</v>
      </c>
    </row>
    <row r="206" ht="18.0" customHeight="1">
      <c r="A206" s="4" t="s">
        <v>61</v>
      </c>
      <c r="B206" s="4">
        <v>37.0</v>
      </c>
      <c r="C206" s="4" t="s">
        <v>181</v>
      </c>
      <c r="D206" s="4" t="s">
        <v>427</v>
      </c>
      <c r="E206" s="16">
        <v>1.3803768524667248E-5</v>
      </c>
      <c r="F206" s="16">
        <v>0.9999982207735343</v>
      </c>
      <c r="G206" s="16"/>
      <c r="H206" s="16">
        <v>0.8181818181818182</v>
      </c>
      <c r="I206" s="16">
        <v>0.5583333333333333</v>
      </c>
      <c r="J206" s="16">
        <v>0.8571428571428572</v>
      </c>
      <c r="K206" s="4">
        <v>0.0</v>
      </c>
      <c r="M206" s="4" t="s">
        <v>32</v>
      </c>
    </row>
    <row r="207" ht="18.0" customHeight="1">
      <c r="A207" s="4" t="s">
        <v>61</v>
      </c>
      <c r="B207" s="4">
        <v>38.0</v>
      </c>
      <c r="C207" s="4" t="s">
        <v>748</v>
      </c>
      <c r="D207" s="4" t="s">
        <v>797</v>
      </c>
      <c r="E207" s="16">
        <v>0.02486824430525303</v>
      </c>
      <c r="F207" s="16">
        <v>0.9926409150939435</v>
      </c>
      <c r="G207" s="16"/>
      <c r="H207" s="16">
        <v>0.09090909090909091</v>
      </c>
      <c r="I207" s="16">
        <v>0.0</v>
      </c>
      <c r="J207" s="16">
        <v>0.0</v>
      </c>
      <c r="K207" s="4">
        <v>0.0</v>
      </c>
      <c r="M207" s="4" t="s">
        <v>32</v>
      </c>
    </row>
    <row r="208" ht="18.0" customHeight="1">
      <c r="A208" s="4" t="s">
        <v>61</v>
      </c>
      <c r="B208" s="4">
        <v>39.0</v>
      </c>
      <c r="C208" s="4" t="s">
        <v>232</v>
      </c>
      <c r="D208" s="4" t="s">
        <v>289</v>
      </c>
      <c r="E208" s="16">
        <v>0.16339051723480225</v>
      </c>
      <c r="F208" s="16">
        <v>0.9230436198413372</v>
      </c>
      <c r="G208" s="16"/>
      <c r="H208" s="16">
        <v>1.0</v>
      </c>
      <c r="I208" s="16">
        <v>0.4583333333333333</v>
      </c>
      <c r="J208" s="16">
        <v>0.0</v>
      </c>
      <c r="K208" s="4">
        <v>0.0</v>
      </c>
      <c r="M208" s="4" t="s">
        <v>32</v>
      </c>
    </row>
    <row r="209" ht="18.0" customHeight="1">
      <c r="A209" s="4" t="s">
        <v>61</v>
      </c>
      <c r="B209" s="4">
        <v>40.0</v>
      </c>
      <c r="C209" s="4" t="s">
        <v>94</v>
      </c>
      <c r="D209" s="4" t="s">
        <v>187</v>
      </c>
      <c r="E209" s="16">
        <v>0.4397544860839844</v>
      </c>
      <c r="F209" s="16">
        <v>0.68729168176651</v>
      </c>
      <c r="G209" s="16"/>
      <c r="H209" s="16">
        <v>1.0</v>
      </c>
      <c r="I209" s="16">
        <v>0.5791666666666667</v>
      </c>
      <c r="J209" s="16">
        <v>0.8571428571428572</v>
      </c>
      <c r="K209" s="4">
        <v>1.0</v>
      </c>
      <c r="L209" s="4">
        <v>0.0</v>
      </c>
      <c r="M209" s="4" t="s">
        <v>239</v>
      </c>
    </row>
    <row r="210" ht="18.0" customHeight="1">
      <c r="A210" s="4" t="s">
        <v>61</v>
      </c>
      <c r="B210" s="4">
        <v>41.0</v>
      </c>
      <c r="C210" s="4" t="s">
        <v>200</v>
      </c>
      <c r="D210" s="4" t="s">
        <v>256</v>
      </c>
      <c r="E210" s="16">
        <v>0.012702208943665028</v>
      </c>
      <c r="F210" s="16">
        <v>0.9965881059179083</v>
      </c>
      <c r="G210" s="16"/>
      <c r="H210" s="16">
        <v>0.18181818181818182</v>
      </c>
      <c r="I210" s="16">
        <v>0.11666666666666665</v>
      </c>
      <c r="J210" s="16">
        <v>0.5</v>
      </c>
      <c r="K210" s="4">
        <v>0.0</v>
      </c>
      <c r="M210" s="4" t="s">
        <v>32</v>
      </c>
    </row>
    <row r="211" ht="18.0" customHeight="1">
      <c r="A211" s="4" t="s">
        <v>61</v>
      </c>
      <c r="B211" s="4">
        <v>42.0</v>
      </c>
      <c r="C211" s="4" t="s">
        <v>327</v>
      </c>
      <c r="D211" s="4" t="s">
        <v>238</v>
      </c>
      <c r="E211" s="16">
        <v>0.18941953778266907</v>
      </c>
      <c r="F211" s="16">
        <v>0.9269050136208534</v>
      </c>
      <c r="G211" s="16"/>
      <c r="H211" s="16">
        <v>0.7272727272727273</v>
      </c>
      <c r="I211" s="16">
        <v>0.49583333333333335</v>
      </c>
      <c r="J211" s="16">
        <v>0.8571428571428572</v>
      </c>
      <c r="K211" s="4">
        <v>0.0</v>
      </c>
      <c r="M211" s="4" t="s">
        <v>32</v>
      </c>
    </row>
    <row r="212" ht="18.0" customHeight="1">
      <c r="A212" s="4" t="s">
        <v>61</v>
      </c>
      <c r="B212" s="4">
        <v>43.0</v>
      </c>
      <c r="C212" s="4" t="s">
        <v>256</v>
      </c>
      <c r="D212" s="4" t="s">
        <v>257</v>
      </c>
      <c r="E212" s="16">
        <v>6.519434009533143E-6</v>
      </c>
      <c r="F212" s="16">
        <v>0.9999995206925831</v>
      </c>
      <c r="G212" s="16"/>
      <c r="H212" s="16">
        <v>0.0</v>
      </c>
      <c r="I212" s="16">
        <v>0.041666666666666664</v>
      </c>
      <c r="J212" s="16">
        <v>0.25</v>
      </c>
      <c r="K212" s="4">
        <v>1.0</v>
      </c>
      <c r="L212" s="4">
        <v>0.0</v>
      </c>
      <c r="M212" s="4" t="s">
        <v>239</v>
      </c>
    </row>
    <row r="213" ht="18.0" customHeight="1">
      <c r="A213" s="4" t="s">
        <v>61</v>
      </c>
      <c r="B213" s="4">
        <v>44.0</v>
      </c>
      <c r="C213" s="4" t="s">
        <v>225</v>
      </c>
      <c r="D213" s="4" t="s">
        <v>258</v>
      </c>
      <c r="E213" s="16">
        <v>0.0036048239562660456</v>
      </c>
      <c r="F213" s="16">
        <v>0.999372318823589</v>
      </c>
      <c r="G213" s="16"/>
      <c r="H213" s="16">
        <v>1.0</v>
      </c>
      <c r="I213" s="16">
        <v>0.625</v>
      </c>
      <c r="J213" s="16">
        <v>0.25</v>
      </c>
      <c r="K213" s="4">
        <v>0.0</v>
      </c>
      <c r="M213" s="4" t="s">
        <v>32</v>
      </c>
    </row>
    <row r="214" ht="18.0" customHeight="1">
      <c r="A214" s="4" t="s">
        <v>61</v>
      </c>
      <c r="B214" s="4">
        <v>45.0</v>
      </c>
      <c r="C214" s="4" t="s">
        <v>326</v>
      </c>
      <c r="D214" s="4" t="s">
        <v>811</v>
      </c>
      <c r="E214" s="16">
        <v>6.404951363947475E-6</v>
      </c>
      <c r="F214" s="16">
        <v>0.9999995613160806</v>
      </c>
      <c r="G214" s="16"/>
      <c r="H214" s="16">
        <v>0.0</v>
      </c>
      <c r="I214" s="16">
        <v>0.0</v>
      </c>
      <c r="J214" s="16">
        <v>0.0</v>
      </c>
      <c r="K214" s="4">
        <v>0.0</v>
      </c>
      <c r="M214" s="4" t="s">
        <v>32</v>
      </c>
    </row>
    <row r="215" ht="18.0" customHeight="1">
      <c r="A215" s="4" t="s">
        <v>61</v>
      </c>
      <c r="B215" s="4">
        <v>46.0</v>
      </c>
      <c r="C215" s="4" t="s">
        <v>163</v>
      </c>
      <c r="D215" s="4" t="s">
        <v>187</v>
      </c>
      <c r="E215" s="16">
        <v>1.0444914369145408E-4</v>
      </c>
      <c r="F215" s="16">
        <v>0.999986129683748</v>
      </c>
      <c r="G215" s="16"/>
      <c r="H215" s="16">
        <v>1.0</v>
      </c>
      <c r="I215" s="16">
        <v>0.47500000000000003</v>
      </c>
      <c r="J215" s="16">
        <v>0.8333333333333334</v>
      </c>
      <c r="K215" s="4">
        <v>0.0</v>
      </c>
      <c r="M215" s="4" t="s">
        <v>32</v>
      </c>
    </row>
    <row r="216" ht="18.0" customHeight="1">
      <c r="A216" s="4" t="s">
        <v>61</v>
      </c>
      <c r="B216" s="4">
        <v>47.0</v>
      </c>
      <c r="C216" s="4" t="s">
        <v>510</v>
      </c>
      <c r="D216" s="4" t="s">
        <v>509</v>
      </c>
      <c r="E216" s="16">
        <v>0.0017945992294698954</v>
      </c>
      <c r="F216" s="16">
        <v>0.9996285694796825</v>
      </c>
      <c r="G216" s="16"/>
      <c r="H216" s="16">
        <v>0.09090909090909091</v>
      </c>
      <c r="I216" s="16">
        <v>0.041666666666666664</v>
      </c>
      <c r="J216" s="16">
        <v>0.0</v>
      </c>
      <c r="K216" s="4">
        <v>0.0</v>
      </c>
      <c r="M216" s="4" t="s">
        <v>32</v>
      </c>
    </row>
    <row r="217" ht="18.0" customHeight="1">
      <c r="A217" s="4" t="s">
        <v>61</v>
      </c>
      <c r="B217" s="4">
        <v>48.0</v>
      </c>
      <c r="C217" s="4" t="s">
        <v>820</v>
      </c>
      <c r="D217" s="4" t="s">
        <v>821</v>
      </c>
      <c r="E217" s="16">
        <v>8.790207175479736E-6</v>
      </c>
      <c r="F217" s="16">
        <v>0.9999989867131944</v>
      </c>
      <c r="G217" s="16"/>
      <c r="H217" s="16">
        <v>0.0</v>
      </c>
      <c r="I217" s="16">
        <v>0.016666666666666666</v>
      </c>
      <c r="J217" s="16">
        <v>0.0</v>
      </c>
      <c r="K217" s="4">
        <v>0.0</v>
      </c>
      <c r="M217" s="4" t="s">
        <v>32</v>
      </c>
    </row>
    <row r="218" ht="18.0" customHeight="1">
      <c r="A218" s="4" t="s">
        <v>61</v>
      </c>
      <c r="B218" s="4">
        <v>49.0</v>
      </c>
      <c r="C218" s="4" t="s">
        <v>825</v>
      </c>
      <c r="D218" s="4" t="s">
        <v>826</v>
      </c>
      <c r="E218" s="16">
        <v>5.378187634050846E-4</v>
      </c>
      <c r="F218" s="16">
        <v>0.9999112242439878</v>
      </c>
      <c r="G218" s="16"/>
      <c r="H218" s="16">
        <v>0.0</v>
      </c>
      <c r="I218" s="16">
        <v>0.0</v>
      </c>
      <c r="J218" s="16">
        <v>0.0</v>
      </c>
      <c r="K218" s="4">
        <v>0.0</v>
      </c>
      <c r="M218" s="4" t="s">
        <v>32</v>
      </c>
    </row>
    <row r="219" ht="18.0" customHeight="1">
      <c r="A219" s="4" t="s">
        <v>61</v>
      </c>
      <c r="B219" s="4">
        <v>50.0</v>
      </c>
      <c r="C219" s="4" t="s">
        <v>232</v>
      </c>
      <c r="D219" s="4" t="s">
        <v>289</v>
      </c>
      <c r="E219" s="16">
        <v>0.004433555994182825</v>
      </c>
      <c r="F219" s="16">
        <v>0.9989746533683501</v>
      </c>
      <c r="G219" s="16"/>
      <c r="H219" s="16">
        <v>1.0</v>
      </c>
      <c r="I219" s="16">
        <v>0.5208333333333334</v>
      </c>
      <c r="J219" s="16">
        <v>0.19999999999999996</v>
      </c>
      <c r="K219" s="4">
        <v>0.0</v>
      </c>
      <c r="M219" s="4" t="s">
        <v>32</v>
      </c>
    </row>
    <row r="220" ht="18.0" customHeight="1">
      <c r="A220" s="4" t="s">
        <v>61</v>
      </c>
      <c r="B220" s="4">
        <v>51.0</v>
      </c>
      <c r="C220" s="4" t="s">
        <v>187</v>
      </c>
      <c r="D220" s="4" t="s">
        <v>197</v>
      </c>
      <c r="E220" s="16">
        <v>0.008143128827214241</v>
      </c>
      <c r="F220" s="16">
        <v>0.9985563622321934</v>
      </c>
      <c r="G220" s="16"/>
      <c r="H220" s="16">
        <v>1.0</v>
      </c>
      <c r="I220" s="16">
        <v>0.6</v>
      </c>
      <c r="J220" s="16">
        <v>0.0</v>
      </c>
      <c r="K220" s="4">
        <v>0.0</v>
      </c>
      <c r="M220" s="4" t="s">
        <v>32</v>
      </c>
    </row>
    <row r="221" ht="18.0" customHeight="1">
      <c r="A221" s="4" t="s">
        <v>61</v>
      </c>
      <c r="B221" s="4">
        <v>52.0</v>
      </c>
      <c r="C221" s="4" t="s">
        <v>180</v>
      </c>
      <c r="D221" s="4" t="s">
        <v>831</v>
      </c>
      <c r="E221" s="16">
        <v>7.022111676633358E-4</v>
      </c>
      <c r="F221" s="16">
        <v>0.9998827470881224</v>
      </c>
      <c r="G221" s="16"/>
      <c r="H221" s="16">
        <v>1.0</v>
      </c>
      <c r="I221" s="16">
        <v>0.5333333333333333</v>
      </c>
      <c r="J221" s="16">
        <v>0.13978494623655913</v>
      </c>
      <c r="K221" s="4">
        <v>0.0</v>
      </c>
      <c r="M221" s="4" t="s">
        <v>32</v>
      </c>
    </row>
    <row r="222" ht="18.0" customHeight="1">
      <c r="A222" s="4" t="s">
        <v>61</v>
      </c>
      <c r="B222" s="4">
        <v>53.0</v>
      </c>
      <c r="C222" s="4" t="s">
        <v>256</v>
      </c>
      <c r="D222" s="4" t="s">
        <v>456</v>
      </c>
      <c r="E222" s="16">
        <v>2.260417677462101E-4</v>
      </c>
      <c r="F222" s="16">
        <v>0.9999720659498053</v>
      </c>
      <c r="G222" s="16"/>
      <c r="H222" s="16">
        <v>1.0</v>
      </c>
      <c r="I222" s="16">
        <v>0.5625</v>
      </c>
      <c r="J222" s="16">
        <v>0.16153846153846152</v>
      </c>
      <c r="K222" s="4">
        <v>0.0</v>
      </c>
      <c r="M222" s="4" t="s">
        <v>32</v>
      </c>
    </row>
    <row r="223" ht="18.0" customHeight="1">
      <c r="A223" s="4" t="s">
        <v>61</v>
      </c>
      <c r="B223" s="4">
        <v>54.0</v>
      </c>
      <c r="C223" s="4" t="s">
        <v>86</v>
      </c>
      <c r="D223" s="4" t="s">
        <v>630</v>
      </c>
      <c r="E223" s="16">
        <v>2.754352317424491E-5</v>
      </c>
      <c r="F223" s="16">
        <v>0.9999964515176316</v>
      </c>
      <c r="G223" s="16"/>
      <c r="H223" s="16">
        <v>0.36363636363636365</v>
      </c>
      <c r="I223" s="16">
        <v>0.2916666666666667</v>
      </c>
      <c r="J223" s="16">
        <v>0.0</v>
      </c>
      <c r="K223" s="4">
        <v>0.0</v>
      </c>
      <c r="M223" s="4" t="s">
        <v>32</v>
      </c>
    </row>
    <row r="224" ht="18.0" customHeight="1">
      <c r="A224" s="4" t="s">
        <v>61</v>
      </c>
      <c r="B224" s="4">
        <v>55.0</v>
      </c>
      <c r="C224" s="4" t="s">
        <v>200</v>
      </c>
      <c r="D224" s="4" t="s">
        <v>250</v>
      </c>
      <c r="E224" s="16">
        <v>1.3993867469253018E-5</v>
      </c>
      <c r="F224" s="16">
        <v>0.9999990992052972</v>
      </c>
      <c r="G224" s="16"/>
      <c r="H224" s="16">
        <v>0.0</v>
      </c>
      <c r="I224" s="16">
        <v>0.016666666666666666</v>
      </c>
      <c r="J224" s="16">
        <v>0.0</v>
      </c>
      <c r="K224" s="4">
        <v>1.0</v>
      </c>
      <c r="L224" s="4">
        <v>0.0</v>
      </c>
      <c r="M224" s="4" t="s">
        <v>239</v>
      </c>
    </row>
    <row r="225" ht="18.0" customHeight="1">
      <c r="A225" s="4" t="s">
        <v>61</v>
      </c>
      <c r="B225" s="4">
        <v>56.0</v>
      </c>
      <c r="C225" s="4" t="s">
        <v>630</v>
      </c>
      <c r="D225" s="4" t="s">
        <v>122</v>
      </c>
      <c r="E225" s="16">
        <v>0.1359790861606598</v>
      </c>
      <c r="F225" s="16">
        <v>0.9395366739481688</v>
      </c>
      <c r="G225" s="16"/>
      <c r="H225" s="16">
        <v>1.0</v>
      </c>
      <c r="I225" s="16">
        <v>0.3958333333333333</v>
      </c>
      <c r="J225" s="16">
        <v>0.2058823529411765</v>
      </c>
      <c r="K225" s="4">
        <v>0.0</v>
      </c>
      <c r="M225" s="4" t="s">
        <v>32</v>
      </c>
    </row>
    <row r="226" ht="18.0" customHeight="1">
      <c r="A226" s="4" t="s">
        <v>61</v>
      </c>
      <c r="B226" s="4">
        <v>57.0</v>
      </c>
      <c r="C226" s="4" t="s">
        <v>159</v>
      </c>
      <c r="D226" s="4" t="s">
        <v>181</v>
      </c>
      <c r="E226" s="16">
        <v>1.0415014003228862E-5</v>
      </c>
      <c r="F226" s="16">
        <v>0.9999988239920299</v>
      </c>
      <c r="G226" s="16"/>
      <c r="H226" s="16">
        <v>1.0</v>
      </c>
      <c r="I226" s="16">
        <v>0.3958333333333333</v>
      </c>
      <c r="J226" s="16">
        <v>0.0</v>
      </c>
      <c r="K226" s="4">
        <v>0.0</v>
      </c>
      <c r="M226" s="4" t="s">
        <v>32</v>
      </c>
    </row>
    <row r="227" ht="18.0" customHeight="1">
      <c r="A227" s="4" t="s">
        <v>61</v>
      </c>
      <c r="B227" s="4">
        <v>58.0</v>
      </c>
      <c r="C227" s="4" t="s">
        <v>181</v>
      </c>
      <c r="D227" s="4" t="s">
        <v>160</v>
      </c>
      <c r="E227" s="16">
        <v>1.321366653428413E-5</v>
      </c>
      <c r="F227" s="16">
        <v>0.9999983124808409</v>
      </c>
      <c r="G227" s="16"/>
      <c r="H227" s="16">
        <v>0.18181818181818182</v>
      </c>
      <c r="I227" s="16">
        <v>0.25</v>
      </c>
      <c r="J227" s="16">
        <v>0.33333333333333337</v>
      </c>
      <c r="K227" s="4">
        <v>0.0</v>
      </c>
      <c r="M227" s="4" t="s">
        <v>32</v>
      </c>
    </row>
    <row r="228" ht="18.0" customHeight="1">
      <c r="A228" s="4" t="s">
        <v>61</v>
      </c>
      <c r="B228" s="4">
        <v>59.0</v>
      </c>
      <c r="C228" s="4" t="s">
        <v>122</v>
      </c>
      <c r="D228" s="4" t="s">
        <v>123</v>
      </c>
      <c r="E228" s="16">
        <v>0.008183363825082779</v>
      </c>
      <c r="F228" s="16">
        <v>0.9983713440597057</v>
      </c>
      <c r="G228" s="16"/>
      <c r="H228" s="16">
        <v>0.9090909090909091</v>
      </c>
      <c r="I228" s="16">
        <v>0.5</v>
      </c>
      <c r="J228" s="16">
        <v>0.6938775510204083</v>
      </c>
      <c r="K228" s="4">
        <v>0.0</v>
      </c>
      <c r="M228" s="4" t="s">
        <v>32</v>
      </c>
    </row>
    <row r="229" ht="18.0" customHeight="1">
      <c r="A229" s="4" t="s">
        <v>61</v>
      </c>
      <c r="B229" s="4">
        <v>60.0</v>
      </c>
      <c r="C229" s="4" t="s">
        <v>232</v>
      </c>
      <c r="D229" s="4" t="s">
        <v>231</v>
      </c>
      <c r="E229" s="16">
        <v>5.87394752074033E-5</v>
      </c>
      <c r="F229" s="16">
        <v>0.9999950755969849</v>
      </c>
      <c r="G229" s="16"/>
      <c r="H229" s="16">
        <v>1.0</v>
      </c>
      <c r="I229" s="16">
        <v>0.45416666666666666</v>
      </c>
      <c r="J229" s="16">
        <v>0.875</v>
      </c>
      <c r="K229" s="4">
        <v>0.0</v>
      </c>
      <c r="M229" s="4" t="s">
        <v>32</v>
      </c>
    </row>
    <row r="230" ht="18.0" customHeight="1">
      <c r="A230" s="4" t="s">
        <v>61</v>
      </c>
      <c r="B230" s="4">
        <v>61.0</v>
      </c>
      <c r="C230" s="4" t="s">
        <v>94</v>
      </c>
      <c r="D230" s="4" t="s">
        <v>453</v>
      </c>
      <c r="E230" s="16">
        <v>0.16604366898536682</v>
      </c>
      <c r="F230" s="16">
        <v>0.9556176848709583</v>
      </c>
      <c r="G230" s="16"/>
      <c r="H230" s="16">
        <v>1.0</v>
      </c>
      <c r="I230" s="16">
        <v>0.5791666666666667</v>
      </c>
      <c r="J230" s="16">
        <v>0.8888888888888888</v>
      </c>
      <c r="K230" s="4">
        <v>0.0</v>
      </c>
      <c r="M230" s="4" t="s">
        <v>32</v>
      </c>
    </row>
    <row r="231" ht="18.0" customHeight="1">
      <c r="A231" s="4" t="s">
        <v>61</v>
      </c>
      <c r="B231" s="4">
        <v>62.0</v>
      </c>
      <c r="C231" s="4" t="s">
        <v>187</v>
      </c>
      <c r="D231" s="4" t="s">
        <v>83</v>
      </c>
      <c r="E231" s="16">
        <v>0.04104510694742203</v>
      </c>
      <c r="F231" s="16">
        <v>0.9881457746960223</v>
      </c>
      <c r="G231" s="16"/>
      <c r="H231" s="16">
        <v>1.0</v>
      </c>
      <c r="I231" s="16">
        <v>0.4166666666666667</v>
      </c>
      <c r="J231" s="16">
        <v>0.5158730158730159</v>
      </c>
      <c r="K231" s="4">
        <v>0.0</v>
      </c>
      <c r="M231" s="4" t="s">
        <v>32</v>
      </c>
    </row>
    <row r="232" ht="18.0" customHeight="1">
      <c r="A232" s="4" t="s">
        <v>61</v>
      </c>
      <c r="B232" s="4">
        <v>63.0</v>
      </c>
      <c r="C232" s="4" t="s">
        <v>237</v>
      </c>
      <c r="D232" s="4" t="s">
        <v>238</v>
      </c>
      <c r="E232" s="16">
        <v>0.5445423722267151</v>
      </c>
      <c r="F232" s="16">
        <v>0.6357032209634781</v>
      </c>
      <c r="G232" s="16"/>
      <c r="H232" s="16">
        <v>0.09090909090909091</v>
      </c>
      <c r="I232" s="16">
        <v>0.16666666666666666</v>
      </c>
      <c r="J232" s="16">
        <v>0.6666666666666667</v>
      </c>
      <c r="K232" s="4">
        <v>1.0</v>
      </c>
      <c r="L232" s="4">
        <v>0.0</v>
      </c>
      <c r="M232" s="4" t="s">
        <v>239</v>
      </c>
    </row>
    <row r="233" ht="18.0" customHeight="1">
      <c r="A233" s="4" t="s">
        <v>61</v>
      </c>
      <c r="B233" s="4">
        <v>64.0</v>
      </c>
      <c r="C233" s="4" t="s">
        <v>159</v>
      </c>
      <c r="D233" s="4" t="s">
        <v>160</v>
      </c>
      <c r="E233" s="16">
        <v>9.820876584853977E-6</v>
      </c>
      <c r="F233" s="16">
        <v>0.9999989061644783</v>
      </c>
      <c r="G233" s="16"/>
      <c r="H233" s="16">
        <v>1.0</v>
      </c>
      <c r="I233" s="16">
        <v>0.4791666666666667</v>
      </c>
      <c r="J233" s="16">
        <v>0.0</v>
      </c>
      <c r="K233" s="4">
        <v>0.0</v>
      </c>
      <c r="M233" s="4" t="s">
        <v>32</v>
      </c>
    </row>
    <row r="234" ht="18.0" customHeight="1">
      <c r="A234" s="4" t="s">
        <v>61</v>
      </c>
      <c r="B234" s="4">
        <v>65.0</v>
      </c>
      <c r="C234" s="4" t="s">
        <v>160</v>
      </c>
      <c r="D234" s="4" t="s">
        <v>181</v>
      </c>
      <c r="E234" s="16">
        <v>2.98881292110309E-4</v>
      </c>
      <c r="F234" s="16">
        <v>0.999967357272908</v>
      </c>
      <c r="G234" s="16"/>
      <c r="H234" s="16">
        <v>0.0</v>
      </c>
      <c r="I234" s="16">
        <v>0.08333333333333333</v>
      </c>
      <c r="J234" s="16">
        <v>0.4</v>
      </c>
      <c r="K234" s="4">
        <v>0.0</v>
      </c>
      <c r="M234" s="4" t="s">
        <v>32</v>
      </c>
    </row>
    <row r="235" ht="18.0" customHeight="1">
      <c r="A235" s="4" t="s">
        <v>61</v>
      </c>
      <c r="B235" s="4">
        <v>66.0</v>
      </c>
      <c r="C235" s="4" t="s">
        <v>225</v>
      </c>
      <c r="D235" s="4" t="s">
        <v>226</v>
      </c>
      <c r="E235" s="16">
        <v>0.0013835766585543752</v>
      </c>
      <c r="F235" s="16">
        <v>0.9997900094895158</v>
      </c>
      <c r="G235" s="16"/>
      <c r="H235" s="16">
        <v>1.0</v>
      </c>
      <c r="I235" s="16">
        <v>0.6208333333333333</v>
      </c>
      <c r="J235" s="16">
        <v>0.7777777777777778</v>
      </c>
      <c r="K235" s="4">
        <v>1.0</v>
      </c>
      <c r="L235" s="4">
        <v>0.0</v>
      </c>
      <c r="M235" s="4" t="s">
        <v>239</v>
      </c>
    </row>
    <row r="236" ht="18.0" customHeight="1">
      <c r="A236" s="4" t="s">
        <v>61</v>
      </c>
      <c r="B236" s="4">
        <v>67.0</v>
      </c>
      <c r="C236" s="4" t="s">
        <v>326</v>
      </c>
      <c r="D236" s="4" t="s">
        <v>627</v>
      </c>
      <c r="E236" s="16">
        <v>1.8757107682176866E-5</v>
      </c>
      <c r="F236" s="16">
        <v>0.9999983486937651</v>
      </c>
      <c r="G236" s="16"/>
      <c r="H236" s="16">
        <v>0.0</v>
      </c>
      <c r="I236" s="16">
        <v>0.0</v>
      </c>
      <c r="J236" s="16">
        <v>0.0</v>
      </c>
      <c r="K236" s="4">
        <v>0.0</v>
      </c>
      <c r="M236" s="4" t="s">
        <v>32</v>
      </c>
    </row>
    <row r="237" ht="18.0" customHeight="1">
      <c r="A237" s="4" t="s">
        <v>61</v>
      </c>
      <c r="B237" s="4">
        <v>68.0</v>
      </c>
      <c r="C237" s="4" t="s">
        <v>163</v>
      </c>
      <c r="D237" s="4" t="s">
        <v>323</v>
      </c>
      <c r="E237" s="16">
        <v>1.9108745618723333E-5</v>
      </c>
      <c r="F237" s="16">
        <v>0.9999984266940487</v>
      </c>
      <c r="G237" s="16"/>
      <c r="H237" s="16">
        <v>0.0</v>
      </c>
      <c r="I237" s="16">
        <v>0.08333333333333333</v>
      </c>
      <c r="J237" s="16">
        <v>0.0</v>
      </c>
      <c r="K237" s="4">
        <v>0.0</v>
      </c>
      <c r="M237" s="4" t="s">
        <v>32</v>
      </c>
    </row>
    <row r="238" ht="18.0" customHeight="1">
      <c r="A238" s="4" t="s">
        <v>61</v>
      </c>
      <c r="B238" s="4">
        <v>69.0</v>
      </c>
      <c r="C238" s="4" t="s">
        <v>510</v>
      </c>
      <c r="D238" s="4" t="s">
        <v>509</v>
      </c>
      <c r="E238" s="16">
        <v>4.743525278172456E-5</v>
      </c>
      <c r="F238" s="16">
        <v>0.9999936676983907</v>
      </c>
      <c r="G238" s="16"/>
      <c r="H238" s="16">
        <v>0.09090909090909091</v>
      </c>
      <c r="I238" s="16">
        <v>0.041666666666666664</v>
      </c>
      <c r="J238" s="16">
        <v>0.0</v>
      </c>
      <c r="K238" s="4">
        <v>0.0</v>
      </c>
      <c r="M238" s="4" t="s">
        <v>32</v>
      </c>
    </row>
    <row r="239" ht="18.0" customHeight="1">
      <c r="A239" s="4" t="s">
        <v>61</v>
      </c>
      <c r="B239" s="4">
        <v>70.0</v>
      </c>
      <c r="C239" s="4" t="s">
        <v>820</v>
      </c>
      <c r="D239" s="4" t="s">
        <v>821</v>
      </c>
      <c r="E239" s="16">
        <v>2.1928013302385807E-4</v>
      </c>
      <c r="F239" s="16">
        <v>0.9999703461835452</v>
      </c>
      <c r="G239" s="16"/>
      <c r="H239" s="16">
        <v>0.0</v>
      </c>
      <c r="I239" s="16">
        <v>0.016666666666666666</v>
      </c>
      <c r="J239" s="16">
        <v>0.0</v>
      </c>
      <c r="K239" s="4">
        <v>0.0</v>
      </c>
      <c r="M239" s="4" t="s">
        <v>32</v>
      </c>
    </row>
    <row r="240" ht="18.0" customHeight="1">
      <c r="A240" s="4" t="s">
        <v>61</v>
      </c>
      <c r="B240" s="4">
        <v>71.0</v>
      </c>
      <c r="C240" s="4" t="s">
        <v>825</v>
      </c>
      <c r="D240" s="4" t="s">
        <v>826</v>
      </c>
      <c r="E240" s="16">
        <v>2.1390993788372725E-4</v>
      </c>
      <c r="F240" s="16">
        <v>0.9999719492461736</v>
      </c>
      <c r="G240" s="16"/>
      <c r="H240" s="16">
        <v>0.0</v>
      </c>
      <c r="I240" s="16">
        <v>0.0</v>
      </c>
      <c r="J240" s="16">
        <v>0.0</v>
      </c>
      <c r="K240" s="4">
        <v>0.0</v>
      </c>
      <c r="M240" s="4" t="s">
        <v>32</v>
      </c>
    </row>
    <row r="241" ht="18.0" customHeight="1">
      <c r="A241" s="4" t="s">
        <v>61</v>
      </c>
      <c r="B241" s="4">
        <v>72.0</v>
      </c>
      <c r="C241" s="4" t="s">
        <v>232</v>
      </c>
      <c r="D241" s="4" t="s">
        <v>289</v>
      </c>
      <c r="E241" s="16">
        <v>2.1458369155880064E-4</v>
      </c>
      <c r="F241" s="16">
        <v>0.9999651254511264</v>
      </c>
      <c r="G241" s="16"/>
      <c r="H241" s="16">
        <v>1.0</v>
      </c>
      <c r="I241" s="16">
        <v>0.7291666666666666</v>
      </c>
      <c r="J241" s="16">
        <v>0.12328767123287676</v>
      </c>
      <c r="K241" s="4">
        <v>0.0</v>
      </c>
      <c r="M241" s="4" t="s">
        <v>32</v>
      </c>
    </row>
    <row r="242" ht="18.0" customHeight="1">
      <c r="A242" s="4" t="s">
        <v>61</v>
      </c>
      <c r="B242" s="4">
        <v>73.0</v>
      </c>
      <c r="C242" s="4" t="s">
        <v>453</v>
      </c>
      <c r="D242" s="4" t="s">
        <v>94</v>
      </c>
      <c r="E242" s="16">
        <v>0.025174617767333984</v>
      </c>
      <c r="F242" s="16">
        <v>0.993289872771129</v>
      </c>
      <c r="G242" s="16"/>
      <c r="H242" s="16">
        <v>1.0</v>
      </c>
      <c r="I242" s="16">
        <v>0.5791666666666667</v>
      </c>
      <c r="J242" s="16">
        <v>0.8888888888888888</v>
      </c>
      <c r="K242" s="4">
        <v>0.0</v>
      </c>
      <c r="M242" s="4" t="s">
        <v>32</v>
      </c>
    </row>
    <row r="243" ht="18.0" customHeight="1">
      <c r="A243" s="4" t="s">
        <v>61</v>
      </c>
      <c r="B243" s="4">
        <v>74.0</v>
      </c>
      <c r="C243" s="4" t="s">
        <v>147</v>
      </c>
      <c r="D243" s="4" t="s">
        <v>460</v>
      </c>
      <c r="E243" s="16">
        <v>0.0049856980331242085</v>
      </c>
      <c r="F243" s="16">
        <v>0.9993227988452418</v>
      </c>
      <c r="G243" s="16"/>
      <c r="H243" s="16">
        <v>0.0</v>
      </c>
      <c r="I243" s="16">
        <v>0.016666666666666666</v>
      </c>
      <c r="J243" s="16">
        <v>0.0</v>
      </c>
      <c r="K243" s="4">
        <v>0.0</v>
      </c>
      <c r="M243" s="4" t="s">
        <v>32</v>
      </c>
    </row>
    <row r="244" ht="18.0" customHeight="1">
      <c r="A244" s="4" t="s">
        <v>61</v>
      </c>
      <c r="B244" s="4">
        <v>75.0</v>
      </c>
      <c r="C244" s="4" t="s">
        <v>172</v>
      </c>
      <c r="D244" s="4" t="s">
        <v>862</v>
      </c>
      <c r="E244" s="16">
        <v>7.190540145529667E-6</v>
      </c>
      <c r="F244" s="16">
        <v>0.9999995271682565</v>
      </c>
      <c r="G244" s="16"/>
      <c r="H244" s="16">
        <v>1.0</v>
      </c>
      <c r="I244" s="16">
        <v>0.875</v>
      </c>
      <c r="J244" s="16">
        <v>0.0</v>
      </c>
      <c r="K244" s="4">
        <v>0.0</v>
      </c>
      <c r="M244" s="4" t="s">
        <v>32</v>
      </c>
    </row>
    <row r="245" ht="18.0" customHeight="1">
      <c r="A245" s="4" t="s">
        <v>61</v>
      </c>
      <c r="B245" s="4">
        <v>76.0</v>
      </c>
      <c r="C245" s="4" t="s">
        <v>599</v>
      </c>
      <c r="D245" s="4" t="s">
        <v>864</v>
      </c>
      <c r="E245" s="16">
        <v>7.149171869968995E-5</v>
      </c>
      <c r="F245" s="16">
        <v>0.9999932678297228</v>
      </c>
      <c r="G245" s="16"/>
      <c r="H245" s="16">
        <v>0.0</v>
      </c>
      <c r="I245" s="16">
        <v>0.016666666666666666</v>
      </c>
      <c r="J245" s="16">
        <v>0.0</v>
      </c>
      <c r="K245" s="4">
        <v>0.0</v>
      </c>
      <c r="M245" s="4" t="s">
        <v>32</v>
      </c>
    </row>
    <row r="246" ht="18.0" customHeight="1">
      <c r="A246" s="4" t="s">
        <v>61</v>
      </c>
      <c r="B246" s="4">
        <v>77.0</v>
      </c>
      <c r="C246" s="4" t="s">
        <v>311</v>
      </c>
      <c r="D246" s="4" t="s">
        <v>456</v>
      </c>
      <c r="E246" s="16">
        <v>4.559014269034378E-5</v>
      </c>
      <c r="F246" s="16">
        <v>0.9999939683318644</v>
      </c>
      <c r="G246" s="16"/>
      <c r="H246" s="16">
        <v>0.6363636363636364</v>
      </c>
      <c r="I246" s="16">
        <v>0.5</v>
      </c>
      <c r="J246" s="16">
        <v>0.0</v>
      </c>
      <c r="K246" s="4">
        <v>0.0</v>
      </c>
      <c r="M246" s="4" t="s">
        <v>32</v>
      </c>
    </row>
    <row r="247" ht="18.0" customHeight="1">
      <c r="A247" s="4" t="s">
        <v>61</v>
      </c>
      <c r="B247" s="4">
        <v>78.0</v>
      </c>
      <c r="C247" s="4" t="s">
        <v>160</v>
      </c>
      <c r="D247" s="4" t="s">
        <v>270</v>
      </c>
      <c r="E247" s="16">
        <v>3.103093831668957E-6</v>
      </c>
      <c r="F247" s="16">
        <v>0.9999997293580805</v>
      </c>
      <c r="G247" s="16"/>
      <c r="H247" s="16">
        <v>0.0</v>
      </c>
      <c r="I247" s="16">
        <v>0.08333333333333333</v>
      </c>
      <c r="J247" s="16">
        <v>0.2857142857142857</v>
      </c>
      <c r="K247" s="4">
        <v>0.0</v>
      </c>
      <c r="M247" s="4" t="s">
        <v>32</v>
      </c>
    </row>
    <row r="248" ht="18.0" customHeight="1">
      <c r="A248" s="4" t="s">
        <v>61</v>
      </c>
      <c r="B248" s="4">
        <v>79.0</v>
      </c>
      <c r="C248" s="4" t="s">
        <v>151</v>
      </c>
      <c r="D248" s="4" t="s">
        <v>819</v>
      </c>
      <c r="E248" s="16">
        <v>3.6243823706172407E-4</v>
      </c>
      <c r="F248" s="16">
        <v>0.9999518687764066</v>
      </c>
      <c r="G248" s="16"/>
      <c r="H248" s="16">
        <v>0.2727272727272727</v>
      </c>
      <c r="I248" s="16">
        <v>0.1875</v>
      </c>
      <c r="J248" s="16">
        <v>0.0</v>
      </c>
      <c r="K248" s="4">
        <v>0.0</v>
      </c>
      <c r="M248" s="4" t="s">
        <v>32</v>
      </c>
    </row>
    <row r="249" ht="18.0" customHeight="1">
      <c r="A249" s="4" t="s">
        <v>61</v>
      </c>
      <c r="B249" s="4">
        <v>80.0</v>
      </c>
      <c r="C249" s="4" t="s">
        <v>819</v>
      </c>
      <c r="D249" s="4" t="s">
        <v>187</v>
      </c>
      <c r="E249" s="16">
        <v>0.0270251352339983</v>
      </c>
      <c r="F249" s="16">
        <v>0.9918166622519493</v>
      </c>
      <c r="G249" s="16"/>
      <c r="H249" s="16">
        <v>0.9090909090909091</v>
      </c>
      <c r="I249" s="16">
        <v>0.47500000000000003</v>
      </c>
      <c r="J249" s="16">
        <v>0.411764705882353</v>
      </c>
      <c r="K249" s="4">
        <v>0.0</v>
      </c>
      <c r="M249" s="4" t="s">
        <v>32</v>
      </c>
    </row>
    <row r="250" ht="18.0" customHeight="1">
      <c r="A250" s="4" t="s">
        <v>61</v>
      </c>
      <c r="B250" s="4">
        <v>81.0</v>
      </c>
      <c r="C250" s="4" t="s">
        <v>188</v>
      </c>
      <c r="D250" s="4" t="s">
        <v>873</v>
      </c>
      <c r="E250" s="16">
        <v>0.012050064280629158</v>
      </c>
      <c r="F250" s="16">
        <v>0.9981928710476495</v>
      </c>
      <c r="G250" s="16"/>
      <c r="H250" s="16">
        <v>0.09090909090909091</v>
      </c>
      <c r="I250" s="16">
        <v>0.08333333333333333</v>
      </c>
      <c r="J250" s="16">
        <v>0.0</v>
      </c>
      <c r="K250" s="4">
        <v>0.0</v>
      </c>
      <c r="M250" s="4" t="s">
        <v>32</v>
      </c>
    </row>
    <row r="251" ht="18.0" customHeight="1">
      <c r="A251" s="4" t="s">
        <v>61</v>
      </c>
      <c r="B251" s="4">
        <v>82.0</v>
      </c>
      <c r="C251" s="4" t="s">
        <v>244</v>
      </c>
      <c r="D251" s="4" t="s">
        <v>245</v>
      </c>
      <c r="E251" s="16">
        <v>0.45764559507369995</v>
      </c>
      <c r="F251" s="16">
        <v>0.6578737944364548</v>
      </c>
      <c r="G251" s="16"/>
      <c r="H251" s="16">
        <v>1.0</v>
      </c>
      <c r="I251" s="16">
        <v>0.6041666666666666</v>
      </c>
      <c r="J251" s="16">
        <v>0.0</v>
      </c>
      <c r="K251" s="4">
        <v>1.0</v>
      </c>
      <c r="L251" s="4">
        <v>0.0</v>
      </c>
      <c r="M251" s="4" t="s">
        <v>239</v>
      </c>
    </row>
    <row r="252" ht="18.0" customHeight="1">
      <c r="A252" s="4" t="s">
        <v>61</v>
      </c>
      <c r="B252" s="4">
        <v>83.0</v>
      </c>
      <c r="C252" s="4" t="s">
        <v>427</v>
      </c>
      <c r="D252" s="4" t="s">
        <v>181</v>
      </c>
      <c r="E252" s="16">
        <v>2.12277373066172E-5</v>
      </c>
      <c r="F252" s="16">
        <v>0.9999977508522306</v>
      </c>
      <c r="G252" s="16"/>
      <c r="H252" s="16">
        <v>0.9090909090909091</v>
      </c>
      <c r="I252" s="16">
        <v>0.5833333333333334</v>
      </c>
      <c r="J252" s="16">
        <v>0.4019607843137255</v>
      </c>
      <c r="K252" s="4">
        <v>0.0</v>
      </c>
      <c r="M252" s="4" t="s">
        <v>32</v>
      </c>
    </row>
    <row r="253" ht="18.0" customHeight="1">
      <c r="A253" s="4" t="s">
        <v>61</v>
      </c>
      <c r="B253" s="4">
        <v>84.0</v>
      </c>
      <c r="C253" s="4" t="s">
        <v>115</v>
      </c>
      <c r="D253" s="4" t="s">
        <v>151</v>
      </c>
      <c r="E253" s="16">
        <v>1.2021459951938596E-6</v>
      </c>
      <c r="F253" s="16">
        <v>0.9999999604964387</v>
      </c>
      <c r="G253" s="16"/>
      <c r="H253" s="16">
        <v>0.0</v>
      </c>
      <c r="I253" s="16">
        <v>0.041666666666666664</v>
      </c>
      <c r="J253" s="16">
        <v>0.19999999999999996</v>
      </c>
      <c r="K253" s="4">
        <v>0.0</v>
      </c>
      <c r="M253" s="4" t="s">
        <v>32</v>
      </c>
    </row>
    <row r="254" ht="18.0" customHeight="1">
      <c r="A254" s="4" t="s">
        <v>61</v>
      </c>
      <c r="B254" s="4">
        <v>85.0</v>
      </c>
      <c r="C254" s="4" t="s">
        <v>761</v>
      </c>
      <c r="D254" s="4" t="s">
        <v>427</v>
      </c>
      <c r="E254" s="16">
        <v>2.9996718353686447E-7</v>
      </c>
      <c r="F254" s="16">
        <v>0.9999999950940275</v>
      </c>
      <c r="G254" s="16"/>
      <c r="H254" s="16">
        <v>1.0</v>
      </c>
      <c r="I254" s="16">
        <v>0.6666666666666666</v>
      </c>
      <c r="J254" s="16">
        <v>0.35888501742160284</v>
      </c>
      <c r="K254" s="4">
        <v>0.0</v>
      </c>
      <c r="M254" s="4" t="s">
        <v>32</v>
      </c>
    </row>
    <row r="255" ht="18.0" customHeight="1">
      <c r="A255" s="4" t="s">
        <v>61</v>
      </c>
      <c r="B255" s="4">
        <v>86.0</v>
      </c>
      <c r="C255" s="4" t="s">
        <v>169</v>
      </c>
      <c r="D255" s="4" t="s">
        <v>883</v>
      </c>
      <c r="E255" s="16">
        <v>5.482409615069628E-4</v>
      </c>
      <c r="F255" s="16">
        <v>0.9999230284975056</v>
      </c>
      <c r="G255" s="16"/>
      <c r="H255" s="16">
        <v>1.0</v>
      </c>
      <c r="I255" s="16">
        <v>0.47500000000000003</v>
      </c>
      <c r="J255" s="16">
        <v>0.16666666666666663</v>
      </c>
      <c r="K255" s="4">
        <v>0.0</v>
      </c>
      <c r="M255" s="4" t="s">
        <v>32</v>
      </c>
    </row>
    <row r="256" ht="18.0" customHeight="1">
      <c r="A256" s="4" t="s">
        <v>61</v>
      </c>
      <c r="B256" s="4">
        <v>87.0</v>
      </c>
      <c r="C256" s="4" t="s">
        <v>630</v>
      </c>
      <c r="D256" s="4" t="s">
        <v>86</v>
      </c>
      <c r="E256" s="16">
        <v>1.6925589534366736E-6</v>
      </c>
      <c r="F256" s="16">
        <v>0.9999999659458005</v>
      </c>
      <c r="G256" s="16"/>
      <c r="H256" s="16">
        <v>0.0</v>
      </c>
      <c r="I256" s="16">
        <v>0.08333333333333333</v>
      </c>
      <c r="J256" s="16">
        <v>0.2857142857142857</v>
      </c>
      <c r="K256" s="4">
        <v>0.0</v>
      </c>
      <c r="M256" s="4" t="s">
        <v>32</v>
      </c>
    </row>
    <row r="257" ht="18.0" customHeight="1">
      <c r="A257" s="4" t="s">
        <v>61</v>
      </c>
      <c r="B257" s="4">
        <v>88.0</v>
      </c>
      <c r="C257" s="4" t="s">
        <v>159</v>
      </c>
      <c r="D257" s="4" t="s">
        <v>181</v>
      </c>
      <c r="E257" s="16">
        <v>4.5765068534819875E-6</v>
      </c>
      <c r="F257" s="16">
        <v>0.9999994873723494</v>
      </c>
      <c r="G257" s="16"/>
      <c r="H257" s="16">
        <v>1.0</v>
      </c>
      <c r="I257" s="16">
        <v>0.4583333333333333</v>
      </c>
      <c r="J257" s="16">
        <v>0.0</v>
      </c>
      <c r="K257" s="4">
        <v>0.0</v>
      </c>
      <c r="M257" s="4" t="s">
        <v>32</v>
      </c>
    </row>
    <row r="258" ht="18.0" customHeight="1">
      <c r="A258" s="4" t="s">
        <v>61</v>
      </c>
      <c r="B258" s="4">
        <v>89.0</v>
      </c>
      <c r="C258" s="4" t="s">
        <v>181</v>
      </c>
      <c r="D258" s="4" t="s">
        <v>160</v>
      </c>
      <c r="E258" s="16">
        <v>4.446386083145626E-5</v>
      </c>
      <c r="F258" s="16">
        <v>0.9999935435860152</v>
      </c>
      <c r="G258" s="16"/>
      <c r="H258" s="16">
        <v>0.0</v>
      </c>
      <c r="I258" s="16">
        <v>0.08333333333333333</v>
      </c>
      <c r="J258" s="16">
        <v>0.33333333333333337</v>
      </c>
      <c r="K258" s="4">
        <v>0.0</v>
      </c>
      <c r="M258" s="4" t="s">
        <v>32</v>
      </c>
    </row>
    <row r="259" ht="18.0" customHeight="1">
      <c r="A259" s="4" t="s">
        <v>61</v>
      </c>
      <c r="B259" s="4">
        <v>90.0</v>
      </c>
      <c r="C259" s="4" t="s">
        <v>139</v>
      </c>
      <c r="D259" s="4" t="s">
        <v>139</v>
      </c>
      <c r="E259" s="16">
        <v>1.8349186575505883E-4</v>
      </c>
      <c r="F259" s="16">
        <v>0.9999830872757229</v>
      </c>
      <c r="G259" s="16"/>
      <c r="H259" s="16">
        <v>0.09090909090909091</v>
      </c>
      <c r="I259" s="16">
        <v>0.0</v>
      </c>
      <c r="J259" s="16">
        <v>0.0</v>
      </c>
      <c r="K259" s="4">
        <v>0.0</v>
      </c>
      <c r="M259" s="4" t="s">
        <v>32</v>
      </c>
    </row>
    <row r="260" ht="18.0" customHeight="1">
      <c r="A260" s="4" t="s">
        <v>61</v>
      </c>
      <c r="B260" s="4">
        <v>91.0</v>
      </c>
      <c r="C260" s="4" t="s">
        <v>326</v>
      </c>
      <c r="D260" s="4" t="s">
        <v>582</v>
      </c>
      <c r="E260" s="16">
        <v>1.5305295164580457E-5</v>
      </c>
      <c r="F260" s="16">
        <v>0.9999987721168679</v>
      </c>
      <c r="G260" s="16"/>
      <c r="H260" s="16">
        <v>0.09090909090909091</v>
      </c>
      <c r="I260" s="16">
        <v>0.0</v>
      </c>
      <c r="J260" s="16">
        <v>0.0</v>
      </c>
      <c r="K260" s="4">
        <v>0.0</v>
      </c>
      <c r="M260" s="4" t="s">
        <v>32</v>
      </c>
    </row>
    <row r="261" ht="18.0" customHeight="1">
      <c r="A261" s="4" t="s">
        <v>61</v>
      </c>
      <c r="B261" s="4">
        <v>92.0</v>
      </c>
      <c r="C261" s="4" t="s">
        <v>94</v>
      </c>
      <c r="D261" s="4" t="s">
        <v>166</v>
      </c>
      <c r="E261" s="16">
        <v>5.171347311261343E-6</v>
      </c>
      <c r="F261" s="16">
        <v>0.9999994916235835</v>
      </c>
      <c r="G261" s="16"/>
      <c r="H261" s="16">
        <v>0.0</v>
      </c>
      <c r="I261" s="16">
        <v>0.08333333333333333</v>
      </c>
      <c r="J261" s="16">
        <v>0.0</v>
      </c>
      <c r="K261" s="4">
        <v>0.0</v>
      </c>
      <c r="M261" s="4" t="s">
        <v>32</v>
      </c>
    </row>
    <row r="262" ht="18.0" customHeight="1">
      <c r="A262" s="4" t="s">
        <v>61</v>
      </c>
      <c r="B262" s="4">
        <v>93.0</v>
      </c>
      <c r="C262" s="4" t="s">
        <v>187</v>
      </c>
      <c r="D262" s="4" t="s">
        <v>188</v>
      </c>
      <c r="E262" s="16">
        <v>1.9773520762100816E-4</v>
      </c>
      <c r="F262" s="16">
        <v>0.9999791982468196</v>
      </c>
      <c r="G262" s="16"/>
      <c r="H262" s="16">
        <v>0.09090909090909091</v>
      </c>
      <c r="I262" s="16">
        <v>0.041666666666666664</v>
      </c>
      <c r="J262" s="16">
        <v>0.0</v>
      </c>
      <c r="K262" s="4">
        <v>1.0</v>
      </c>
      <c r="L262" s="4">
        <v>0.0</v>
      </c>
      <c r="M262" s="4" t="s">
        <v>239</v>
      </c>
    </row>
    <row r="263" ht="18.0" customHeight="1">
      <c r="A263" s="4" t="s">
        <v>61</v>
      </c>
      <c r="B263" s="4">
        <v>94.0</v>
      </c>
      <c r="C263" s="4" t="s">
        <v>686</v>
      </c>
      <c r="D263" s="4" t="s">
        <v>898</v>
      </c>
      <c r="E263" s="16">
        <v>1.1599119716265704E-5</v>
      </c>
      <c r="F263" s="16">
        <v>0.9999990237663496</v>
      </c>
      <c r="G263" s="16"/>
      <c r="H263" s="16">
        <v>1.0</v>
      </c>
      <c r="I263" s="16">
        <v>0.4166666666666667</v>
      </c>
      <c r="J263" s="16">
        <v>0.0</v>
      </c>
      <c r="K263" s="4">
        <v>0.0</v>
      </c>
      <c r="M263" s="4" t="s">
        <v>32</v>
      </c>
    </row>
    <row r="264" ht="18.0" customHeight="1">
      <c r="A264" s="4" t="s">
        <v>61</v>
      </c>
      <c r="B264" s="4">
        <v>95.0</v>
      </c>
      <c r="C264" s="4" t="s">
        <v>147</v>
      </c>
      <c r="D264" s="4" t="s">
        <v>159</v>
      </c>
      <c r="E264" s="16">
        <v>1.2316206266405061E-5</v>
      </c>
      <c r="F264" s="16">
        <v>0.9999987959142231</v>
      </c>
      <c r="G264" s="16"/>
      <c r="H264" s="16">
        <v>1.0</v>
      </c>
      <c r="I264" s="16">
        <v>0.3541666666666667</v>
      </c>
      <c r="J264" s="16">
        <v>0.25</v>
      </c>
      <c r="K264" s="4">
        <v>1.0</v>
      </c>
      <c r="L264" s="4">
        <v>0.0</v>
      </c>
      <c r="M264" s="4" t="s">
        <v>239</v>
      </c>
    </row>
    <row r="265" ht="18.0" customHeight="1">
      <c r="A265" s="4" t="s">
        <v>61</v>
      </c>
      <c r="B265" s="4">
        <v>96.0</v>
      </c>
      <c r="C265" s="4" t="s">
        <v>143</v>
      </c>
      <c r="D265" s="4" t="s">
        <v>144</v>
      </c>
      <c r="E265" s="16">
        <v>4.274223101674579E-5</v>
      </c>
      <c r="F265" s="16">
        <v>0.9999959252463668</v>
      </c>
      <c r="G265" s="16"/>
      <c r="H265" s="16">
        <v>0.09090909090909091</v>
      </c>
      <c r="I265" s="16">
        <v>0.09999999999999999</v>
      </c>
      <c r="J265" s="16">
        <v>0.5</v>
      </c>
      <c r="K265" s="4">
        <v>0.0</v>
      </c>
      <c r="M265" s="4" t="s">
        <v>32</v>
      </c>
    </row>
    <row r="266" ht="18.0" customHeight="1">
      <c r="A266" s="4" t="s">
        <v>61</v>
      </c>
      <c r="B266" s="4">
        <v>97.0</v>
      </c>
      <c r="C266" s="4" t="s">
        <v>159</v>
      </c>
      <c r="D266" s="4" t="s">
        <v>427</v>
      </c>
      <c r="E266" s="16">
        <v>3.3954322589124786E-6</v>
      </c>
      <c r="F266" s="16">
        <v>0.9999997245511025</v>
      </c>
      <c r="G266" s="16"/>
      <c r="H266" s="16">
        <v>1.0</v>
      </c>
      <c r="I266" s="16">
        <v>0.375</v>
      </c>
      <c r="J266" s="16">
        <v>0.0</v>
      </c>
      <c r="K266" s="4">
        <v>0.0</v>
      </c>
      <c r="M266" s="4" t="s">
        <v>32</v>
      </c>
    </row>
    <row r="267" ht="18.0" customHeight="1">
      <c r="A267" s="4" t="s">
        <v>61</v>
      </c>
      <c r="B267" s="4">
        <v>98.0</v>
      </c>
      <c r="C267" s="4" t="s">
        <v>427</v>
      </c>
      <c r="D267" s="4" t="s">
        <v>181</v>
      </c>
      <c r="E267" s="16">
        <v>2.530287019908428E-6</v>
      </c>
      <c r="F267" s="16">
        <v>0.9999997799148304</v>
      </c>
      <c r="G267" s="16"/>
      <c r="H267" s="16">
        <v>0.18181818181818182</v>
      </c>
      <c r="I267" s="16">
        <v>0.11666666666666665</v>
      </c>
      <c r="J267" s="16">
        <v>0.6666666666666667</v>
      </c>
      <c r="K267" s="4">
        <v>0.0</v>
      </c>
      <c r="M267" s="4" t="s">
        <v>32</v>
      </c>
    </row>
    <row r="268" ht="18.0" customHeight="1">
      <c r="A268" s="4" t="s">
        <v>61</v>
      </c>
      <c r="B268" s="4">
        <v>99.0</v>
      </c>
      <c r="C268" s="4" t="s">
        <v>225</v>
      </c>
      <c r="D268" s="4" t="s">
        <v>225</v>
      </c>
      <c r="E268" s="16">
        <v>2.6905960112344474E-5</v>
      </c>
      <c r="F268" s="16">
        <v>0.9999977075139554</v>
      </c>
      <c r="G268" s="16"/>
      <c r="H268" s="16">
        <v>0.0</v>
      </c>
      <c r="I268" s="16">
        <v>0.0</v>
      </c>
      <c r="J268" s="16">
        <v>0.0</v>
      </c>
      <c r="K268" s="4">
        <v>0.0</v>
      </c>
      <c r="M268" s="4" t="s">
        <v>32</v>
      </c>
    </row>
    <row r="269" ht="18.0" customHeight="1">
      <c r="A269" s="4" t="s">
        <v>61</v>
      </c>
      <c r="B269" s="4">
        <v>100.0</v>
      </c>
      <c r="C269" s="4" t="s">
        <v>582</v>
      </c>
      <c r="D269" s="4" t="s">
        <v>907</v>
      </c>
      <c r="E269" s="16">
        <v>6.696800028294092E-6</v>
      </c>
      <c r="F269" s="16">
        <v>0.9999995315816577</v>
      </c>
      <c r="G269" s="16"/>
      <c r="H269" s="16">
        <v>0.0</v>
      </c>
      <c r="I269" s="16">
        <v>0.0</v>
      </c>
      <c r="J269" s="16">
        <v>0.0</v>
      </c>
      <c r="K269" s="4">
        <v>0.0</v>
      </c>
      <c r="M269" s="4" t="s">
        <v>32</v>
      </c>
    </row>
    <row r="270" ht="18.0" customHeight="1">
      <c r="A270" s="4" t="s">
        <v>58</v>
      </c>
      <c r="B270" s="4">
        <v>2.0</v>
      </c>
      <c r="C270" s="4" t="s">
        <v>122</v>
      </c>
      <c r="D270" s="4" t="s">
        <v>220</v>
      </c>
      <c r="E270" s="16">
        <v>0.0020694690756499767</v>
      </c>
      <c r="F270" s="16">
        <v>0.9996415452478686</v>
      </c>
      <c r="G270" s="16"/>
      <c r="H270" s="16">
        <v>1.0</v>
      </c>
      <c r="I270" s="16">
        <v>0.5416666666666666</v>
      </c>
      <c r="J270" s="16">
        <v>0.047619047619047616</v>
      </c>
      <c r="K270" s="4">
        <v>0.0</v>
      </c>
      <c r="M270" s="4" t="s">
        <v>32</v>
      </c>
    </row>
    <row r="271" ht="18.0" customHeight="1">
      <c r="A271" s="4" t="s">
        <v>58</v>
      </c>
      <c r="B271" s="4">
        <v>3.0</v>
      </c>
      <c r="C271" s="4" t="s">
        <v>231</v>
      </c>
      <c r="D271" s="4" t="s">
        <v>234</v>
      </c>
      <c r="E271" s="16">
        <v>0.009481300599873066</v>
      </c>
      <c r="F271" s="16">
        <v>0.9980398316984065</v>
      </c>
      <c r="G271" s="16"/>
      <c r="H271" s="16">
        <v>1.0</v>
      </c>
      <c r="I271" s="16">
        <v>0.5583333333333333</v>
      </c>
      <c r="J271" s="16">
        <v>0.6825396825396826</v>
      </c>
      <c r="K271" s="4">
        <v>0.0</v>
      </c>
      <c r="M271" s="4" t="s">
        <v>32</v>
      </c>
    </row>
    <row r="272" ht="18.0" customHeight="1">
      <c r="A272" s="4" t="s">
        <v>58</v>
      </c>
      <c r="B272" s="4">
        <v>4.0</v>
      </c>
      <c r="C272" s="4" t="s">
        <v>912</v>
      </c>
      <c r="D272" s="4" t="s">
        <v>913</v>
      </c>
      <c r="E272" s="16">
        <v>8.437642827630043E-4</v>
      </c>
      <c r="F272" s="16">
        <v>0.9999055889766169</v>
      </c>
      <c r="G272" s="16"/>
      <c r="H272" s="16">
        <v>1.0</v>
      </c>
      <c r="I272" s="16">
        <v>0.35000000000000003</v>
      </c>
      <c r="J272" s="16">
        <v>0.5</v>
      </c>
      <c r="K272" s="4">
        <v>0.0</v>
      </c>
      <c r="M272" s="4" t="s">
        <v>32</v>
      </c>
    </row>
    <row r="273" ht="18.0" customHeight="1">
      <c r="A273" s="4" t="s">
        <v>58</v>
      </c>
      <c r="B273" s="4">
        <v>5.0</v>
      </c>
      <c r="C273" s="4" t="s">
        <v>312</v>
      </c>
      <c r="D273" s="4" t="s">
        <v>916</v>
      </c>
      <c r="E273" s="16">
        <v>1.4438072685152292E-4</v>
      </c>
      <c r="F273" s="16">
        <v>0.9999886261823576</v>
      </c>
      <c r="G273" s="16"/>
      <c r="H273" s="16">
        <v>0.09090909090909091</v>
      </c>
      <c r="I273" s="16">
        <v>0.05833333333333333</v>
      </c>
      <c r="J273" s="16">
        <v>0.0</v>
      </c>
      <c r="K273" s="4">
        <v>0.0</v>
      </c>
      <c r="M273" s="4" t="s">
        <v>32</v>
      </c>
    </row>
    <row r="274" ht="18.0" customHeight="1">
      <c r="A274" s="4" t="s">
        <v>58</v>
      </c>
      <c r="B274" s="4">
        <v>6.0</v>
      </c>
      <c r="C274" s="4" t="s">
        <v>139</v>
      </c>
      <c r="D274" s="4" t="s">
        <v>139</v>
      </c>
      <c r="E274" s="16">
        <v>0.007672553416341543</v>
      </c>
      <c r="F274" s="16">
        <v>0.9985222355462611</v>
      </c>
      <c r="G274" s="16"/>
      <c r="H274" s="16">
        <v>0.09090909090909091</v>
      </c>
      <c r="I274" s="16">
        <v>0.0</v>
      </c>
      <c r="J274" s="16">
        <v>0.0</v>
      </c>
      <c r="K274" s="4">
        <v>0.0</v>
      </c>
      <c r="M274" s="4" t="s">
        <v>32</v>
      </c>
    </row>
    <row r="275" ht="18.0" customHeight="1">
      <c r="A275" s="4" t="s">
        <v>58</v>
      </c>
      <c r="B275" s="4">
        <v>7.0</v>
      </c>
      <c r="C275" s="4" t="s">
        <v>232</v>
      </c>
      <c r="D275" s="4" t="s">
        <v>159</v>
      </c>
      <c r="E275" s="16">
        <v>7.186174625530839E-4</v>
      </c>
      <c r="F275" s="16">
        <v>0.9998929014400346</v>
      </c>
      <c r="G275" s="16"/>
      <c r="H275" s="16">
        <v>0.09090909090909091</v>
      </c>
      <c r="I275" s="16">
        <v>0.0</v>
      </c>
      <c r="J275" s="16">
        <v>0.0</v>
      </c>
      <c r="K275" s="4">
        <v>0.0</v>
      </c>
      <c r="M275" s="4" t="s">
        <v>32</v>
      </c>
    </row>
    <row r="276" ht="18.0" customHeight="1">
      <c r="A276" s="4" t="s">
        <v>58</v>
      </c>
      <c r="B276" s="4">
        <v>8.0</v>
      </c>
      <c r="C276" s="4" t="s">
        <v>94</v>
      </c>
      <c r="D276" s="4" t="s">
        <v>201</v>
      </c>
      <c r="E276" s="16">
        <v>0.48735377192497253</v>
      </c>
      <c r="F276" s="16">
        <v>0.8490423858165741</v>
      </c>
      <c r="G276" s="16"/>
      <c r="H276" s="16">
        <v>0.9090909090909091</v>
      </c>
      <c r="I276" s="16">
        <v>0.35000000000000003</v>
      </c>
      <c r="J276" s="16">
        <v>0.3495145631067961</v>
      </c>
      <c r="K276" s="4">
        <v>0.0</v>
      </c>
      <c r="M276" s="4" t="s">
        <v>32</v>
      </c>
    </row>
    <row r="277" ht="18.0" customHeight="1">
      <c r="A277" s="4" t="s">
        <v>58</v>
      </c>
      <c r="B277" s="4">
        <v>9.0</v>
      </c>
      <c r="C277" s="4" t="s">
        <v>95</v>
      </c>
      <c r="D277" s="4" t="s">
        <v>923</v>
      </c>
      <c r="E277" s="16">
        <v>0.0020982942078262568</v>
      </c>
      <c r="F277" s="16">
        <v>0.999677637082641</v>
      </c>
      <c r="G277" s="16"/>
      <c r="H277" s="16">
        <v>1.0</v>
      </c>
      <c r="I277" s="16">
        <v>0.5625</v>
      </c>
      <c r="J277" s="16">
        <v>0.45738942826321466</v>
      </c>
      <c r="K277" s="4">
        <v>0.0</v>
      </c>
      <c r="M277" s="4" t="s">
        <v>32</v>
      </c>
    </row>
    <row r="278" ht="18.0" customHeight="1">
      <c r="A278" s="4" t="s">
        <v>58</v>
      </c>
      <c r="B278" s="4">
        <v>10.0</v>
      </c>
      <c r="C278" s="4" t="s">
        <v>143</v>
      </c>
      <c r="D278" s="4" t="s">
        <v>237</v>
      </c>
      <c r="E278" s="16">
        <v>0.24444687366485596</v>
      </c>
      <c r="F278" s="16">
        <v>0.8777667656540871</v>
      </c>
      <c r="G278" s="16"/>
      <c r="H278" s="16">
        <v>0.5454545454545454</v>
      </c>
      <c r="I278" s="16">
        <v>0.2708333333333333</v>
      </c>
      <c r="J278" s="16">
        <v>0.5714285714285714</v>
      </c>
      <c r="K278" s="4">
        <v>0.0</v>
      </c>
      <c r="M278" s="4" t="s">
        <v>32</v>
      </c>
    </row>
    <row r="279" ht="18.0" customHeight="1">
      <c r="A279" s="4" t="s">
        <v>58</v>
      </c>
      <c r="B279" s="4">
        <v>11.0</v>
      </c>
      <c r="C279" s="4" t="s">
        <v>159</v>
      </c>
      <c r="D279" s="4" t="s">
        <v>86</v>
      </c>
      <c r="E279" s="16">
        <v>5.319393239915371E-4</v>
      </c>
      <c r="F279" s="16">
        <v>0.9999403368110507</v>
      </c>
      <c r="G279" s="16"/>
      <c r="H279" s="16">
        <v>0.7272727272727273</v>
      </c>
      <c r="I279" s="16">
        <v>0.375</v>
      </c>
      <c r="J279" s="16">
        <v>0.16666666666666663</v>
      </c>
      <c r="K279" s="4">
        <v>0.0</v>
      </c>
      <c r="M279" s="4" t="s">
        <v>32</v>
      </c>
    </row>
    <row r="280" ht="18.0" customHeight="1">
      <c r="A280" s="4" t="s">
        <v>58</v>
      </c>
      <c r="B280" s="4">
        <v>12.0</v>
      </c>
      <c r="C280" s="4" t="s">
        <v>427</v>
      </c>
      <c r="D280" s="4" t="s">
        <v>181</v>
      </c>
      <c r="E280" s="16">
        <v>0.13778379559516907</v>
      </c>
      <c r="F280" s="16">
        <v>0.9385918639600277</v>
      </c>
      <c r="G280" s="16"/>
      <c r="H280" s="16">
        <v>0.09090909090909091</v>
      </c>
      <c r="I280" s="16">
        <v>0.16666666666666666</v>
      </c>
      <c r="J280" s="16">
        <v>0.33333333333333337</v>
      </c>
      <c r="K280" s="4">
        <v>0.0</v>
      </c>
      <c r="M280" s="4" t="s">
        <v>32</v>
      </c>
    </row>
    <row r="281" ht="18.0" customHeight="1">
      <c r="A281" s="4" t="s">
        <v>58</v>
      </c>
      <c r="B281" s="4">
        <v>13.0</v>
      </c>
      <c r="C281" s="4" t="s">
        <v>225</v>
      </c>
      <c r="D281" s="4" t="s">
        <v>258</v>
      </c>
      <c r="E281" s="16">
        <v>0.3009370267391205</v>
      </c>
      <c r="F281" s="16">
        <v>0.8222792223095894</v>
      </c>
      <c r="G281" s="16"/>
      <c r="H281" s="16">
        <v>1.0</v>
      </c>
      <c r="I281" s="16">
        <v>0.5416666666666666</v>
      </c>
      <c r="J281" s="16">
        <v>0.0</v>
      </c>
      <c r="K281" s="4">
        <v>0.0</v>
      </c>
      <c r="M281" s="4" t="s">
        <v>32</v>
      </c>
    </row>
    <row r="282" ht="18.0" customHeight="1">
      <c r="A282" s="4" t="s">
        <v>58</v>
      </c>
      <c r="B282" s="4">
        <v>14.0</v>
      </c>
      <c r="C282" s="4" t="s">
        <v>326</v>
      </c>
      <c r="D282" s="4" t="s">
        <v>811</v>
      </c>
      <c r="E282" s="16">
        <v>1.749772854964249E-5</v>
      </c>
      <c r="F282" s="16">
        <v>0.9999986830580383</v>
      </c>
      <c r="G282" s="16"/>
      <c r="H282" s="16">
        <v>0.0</v>
      </c>
      <c r="I282" s="16">
        <v>0.0</v>
      </c>
      <c r="J282" s="16">
        <v>0.0</v>
      </c>
      <c r="K282" s="4">
        <v>0.0</v>
      </c>
      <c r="M282" s="4" t="s">
        <v>32</v>
      </c>
    </row>
    <row r="283" ht="18.0" customHeight="1">
      <c r="A283" s="4" t="s">
        <v>58</v>
      </c>
      <c r="B283" s="4">
        <v>15.0</v>
      </c>
      <c r="C283" s="4" t="s">
        <v>163</v>
      </c>
      <c r="D283" s="4" t="s">
        <v>323</v>
      </c>
      <c r="E283" s="16">
        <v>6.131438567535952E-5</v>
      </c>
      <c r="F283" s="16">
        <v>0.999995324735437</v>
      </c>
      <c r="G283" s="16"/>
      <c r="H283" s="16">
        <v>0.0</v>
      </c>
      <c r="I283" s="16">
        <v>0.08333333333333333</v>
      </c>
      <c r="J283" s="16">
        <v>0.0</v>
      </c>
      <c r="K283" s="4">
        <v>0.0</v>
      </c>
      <c r="M283" s="4" t="s">
        <v>32</v>
      </c>
    </row>
    <row r="284" ht="18.0" customHeight="1">
      <c r="A284" s="4" t="s">
        <v>58</v>
      </c>
      <c r="B284" s="4">
        <v>16.0</v>
      </c>
      <c r="C284" s="4" t="s">
        <v>743</v>
      </c>
      <c r="D284" s="4" t="s">
        <v>893</v>
      </c>
      <c r="E284" s="16">
        <v>0.01451155636459589</v>
      </c>
      <c r="F284" s="16">
        <v>0.9962352531729266</v>
      </c>
      <c r="G284" s="16"/>
      <c r="H284" s="16">
        <v>1.0</v>
      </c>
      <c r="I284" s="16">
        <v>0.4166666666666667</v>
      </c>
      <c r="J284" s="16">
        <v>0.19999999999999996</v>
      </c>
      <c r="K284" s="4">
        <v>0.0</v>
      </c>
      <c r="M284" s="4" t="s">
        <v>32</v>
      </c>
    </row>
    <row r="285" ht="18.0" customHeight="1">
      <c r="A285" s="4" t="s">
        <v>58</v>
      </c>
      <c r="B285" s="4">
        <v>17.0</v>
      </c>
      <c r="C285" s="4" t="s">
        <v>181</v>
      </c>
      <c r="D285" s="4" t="s">
        <v>270</v>
      </c>
      <c r="E285" s="16">
        <v>0.6204717755317688</v>
      </c>
      <c r="F285" s="16">
        <v>0.46474093198776245</v>
      </c>
      <c r="G285" s="16"/>
      <c r="H285" s="16">
        <v>0.0</v>
      </c>
      <c r="I285" s="16">
        <v>0.08333333333333333</v>
      </c>
      <c r="J285" s="16">
        <v>0.19999999999999996</v>
      </c>
      <c r="K285" s="4">
        <v>1.0</v>
      </c>
      <c r="L285" s="4">
        <v>0.0</v>
      </c>
      <c r="M285" s="4" t="s">
        <v>239</v>
      </c>
    </row>
    <row r="286" ht="18.0" customHeight="1">
      <c r="A286" s="4" t="s">
        <v>58</v>
      </c>
      <c r="B286" s="4">
        <v>18.0</v>
      </c>
      <c r="C286" s="4" t="s">
        <v>779</v>
      </c>
      <c r="D286" s="4" t="s">
        <v>151</v>
      </c>
      <c r="E286" s="16">
        <v>0.1139468252658844</v>
      </c>
      <c r="F286" s="16">
        <v>0.9618531912565231</v>
      </c>
      <c r="G286" s="16"/>
      <c r="H286" s="16">
        <v>1.0</v>
      </c>
      <c r="I286" s="16">
        <v>0.3958333333333333</v>
      </c>
      <c r="J286" s="16">
        <v>0.4</v>
      </c>
      <c r="K286" s="4">
        <v>0.0</v>
      </c>
      <c r="M286" s="4" t="s">
        <v>32</v>
      </c>
    </row>
    <row r="287" ht="18.0" customHeight="1">
      <c r="A287" s="4" t="s">
        <v>58</v>
      </c>
      <c r="B287" s="4">
        <v>19.0</v>
      </c>
      <c r="C287" s="4" t="s">
        <v>232</v>
      </c>
      <c r="D287" s="4" t="s">
        <v>289</v>
      </c>
      <c r="E287" s="16">
        <v>0.06569449603557587</v>
      </c>
      <c r="F287" s="16">
        <v>0.9758598720654845</v>
      </c>
      <c r="G287" s="16"/>
      <c r="H287" s="16">
        <v>0.9090909090909091</v>
      </c>
      <c r="I287" s="16">
        <v>0.30833333333333335</v>
      </c>
      <c r="J287" s="16">
        <v>0.8333333333333334</v>
      </c>
      <c r="K287" s="4">
        <v>0.0</v>
      </c>
      <c r="M287" s="4" t="s">
        <v>32</v>
      </c>
    </row>
    <row r="288" ht="18.0" customHeight="1">
      <c r="A288" s="4" t="s">
        <v>58</v>
      </c>
      <c r="B288" s="4">
        <v>20.0</v>
      </c>
      <c r="C288" s="4" t="s">
        <v>262</v>
      </c>
      <c r="D288" s="4" t="s">
        <v>94</v>
      </c>
      <c r="E288" s="16">
        <v>0.3141423165798187</v>
      </c>
      <c r="F288" s="16">
        <v>0.886538915336132</v>
      </c>
      <c r="G288" s="16"/>
      <c r="H288" s="16">
        <v>0.0</v>
      </c>
      <c r="I288" s="16">
        <v>0.08333333333333333</v>
      </c>
      <c r="J288" s="16">
        <v>0.4</v>
      </c>
      <c r="K288" s="4">
        <v>0.0</v>
      </c>
      <c r="M288" s="4" t="s">
        <v>32</v>
      </c>
    </row>
    <row r="289" ht="18.0" customHeight="1">
      <c r="A289" s="4" t="s">
        <v>58</v>
      </c>
      <c r="B289" s="4">
        <v>21.0</v>
      </c>
      <c r="C289" s="4" t="s">
        <v>95</v>
      </c>
      <c r="D289" s="4" t="s">
        <v>710</v>
      </c>
      <c r="E289" s="16">
        <v>3.306167491246015E-5</v>
      </c>
      <c r="F289" s="16">
        <v>0.9999968457240129</v>
      </c>
      <c r="G289" s="16"/>
      <c r="H289" s="16">
        <v>1.0</v>
      </c>
      <c r="I289" s="16">
        <v>0.5375</v>
      </c>
      <c r="J289" s="16">
        <v>0.5742296918767508</v>
      </c>
      <c r="K289" s="4">
        <v>0.0</v>
      </c>
      <c r="M289" s="4" t="s">
        <v>32</v>
      </c>
    </row>
    <row r="290" ht="18.0" customHeight="1">
      <c r="A290" s="4" t="s">
        <v>58</v>
      </c>
      <c r="B290" s="4">
        <v>22.0</v>
      </c>
      <c r="C290" s="4" t="s">
        <v>143</v>
      </c>
      <c r="D290" s="4" t="s">
        <v>237</v>
      </c>
      <c r="E290" s="16">
        <v>1.6230225446633995E-4</v>
      </c>
      <c r="F290" s="16">
        <v>0.9999824263927621</v>
      </c>
      <c r="G290" s="16"/>
      <c r="H290" s="16">
        <v>0.6363636363636364</v>
      </c>
      <c r="I290" s="16">
        <v>0.375</v>
      </c>
      <c r="J290" s="16">
        <v>0.3606789250353607</v>
      </c>
      <c r="K290" s="4">
        <v>0.0</v>
      </c>
      <c r="M290" s="4" t="s">
        <v>32</v>
      </c>
    </row>
    <row r="291" ht="18.0" customHeight="1">
      <c r="A291" s="4" t="s">
        <v>58</v>
      </c>
      <c r="B291" s="4">
        <v>23.0</v>
      </c>
      <c r="C291" s="4" t="s">
        <v>159</v>
      </c>
      <c r="D291" s="4" t="s">
        <v>181</v>
      </c>
      <c r="E291" s="16">
        <v>7.907710096333176E-5</v>
      </c>
      <c r="F291" s="16">
        <v>0.9999893827202868</v>
      </c>
      <c r="G291" s="16"/>
      <c r="H291" s="16">
        <v>1.0</v>
      </c>
      <c r="I291" s="16">
        <v>0.3958333333333333</v>
      </c>
      <c r="J291" s="16">
        <v>0.1574074074074074</v>
      </c>
      <c r="K291" s="4">
        <v>1.0</v>
      </c>
      <c r="L291" s="4">
        <v>0.0</v>
      </c>
      <c r="M291" s="4" t="s">
        <v>239</v>
      </c>
    </row>
    <row r="292" ht="18.0" customHeight="1">
      <c r="A292" s="4" t="s">
        <v>58</v>
      </c>
      <c r="B292" s="4">
        <v>24.0</v>
      </c>
      <c r="C292" s="4" t="s">
        <v>181</v>
      </c>
      <c r="D292" s="4" t="s">
        <v>160</v>
      </c>
      <c r="E292" s="16">
        <v>3.291729954071343E-4</v>
      </c>
      <c r="F292" s="16">
        <v>0.999947391122987</v>
      </c>
      <c r="G292" s="16"/>
      <c r="H292" s="16">
        <v>0.2727272727272727</v>
      </c>
      <c r="I292" s="16">
        <v>0.1875</v>
      </c>
      <c r="J292" s="16">
        <v>0.4</v>
      </c>
      <c r="K292" s="4">
        <v>0.0</v>
      </c>
      <c r="M292" s="4" t="s">
        <v>32</v>
      </c>
    </row>
    <row r="293" ht="18.0" customHeight="1">
      <c r="A293" s="4" t="s">
        <v>58</v>
      </c>
      <c r="B293" s="4">
        <v>25.0</v>
      </c>
      <c r="C293" s="4" t="s">
        <v>225</v>
      </c>
      <c r="D293" s="4" t="s">
        <v>258</v>
      </c>
      <c r="E293" s="16">
        <v>2.4083816970232874E-4</v>
      </c>
      <c r="F293" s="16">
        <v>0.9999717881182733</v>
      </c>
      <c r="G293" s="16"/>
      <c r="H293" s="16">
        <v>1.0</v>
      </c>
      <c r="I293" s="16">
        <v>0.4583333333333333</v>
      </c>
      <c r="J293" s="16">
        <v>0.0</v>
      </c>
      <c r="K293" s="4">
        <v>0.0</v>
      </c>
      <c r="M293" s="4" t="s">
        <v>32</v>
      </c>
    </row>
    <row r="294" ht="18.0" customHeight="1">
      <c r="A294" s="4" t="s">
        <v>58</v>
      </c>
      <c r="B294" s="4">
        <v>26.0</v>
      </c>
      <c r="C294" s="4" t="s">
        <v>326</v>
      </c>
      <c r="D294" s="4" t="s">
        <v>627</v>
      </c>
      <c r="E294" s="16">
        <v>2.1096711861900985E-5</v>
      </c>
      <c r="F294" s="16">
        <v>0.9999980707587497</v>
      </c>
      <c r="G294" s="16"/>
      <c r="H294" s="16">
        <v>0.0</v>
      </c>
      <c r="I294" s="16">
        <v>0.0</v>
      </c>
      <c r="J294" s="16">
        <v>0.0</v>
      </c>
      <c r="K294" s="4">
        <v>0.0</v>
      </c>
      <c r="M294" s="4" t="s">
        <v>32</v>
      </c>
    </row>
    <row r="295" ht="18.0" customHeight="1">
      <c r="A295" s="4" t="s">
        <v>58</v>
      </c>
      <c r="B295" s="4">
        <v>27.0</v>
      </c>
      <c r="C295" s="4" t="s">
        <v>163</v>
      </c>
      <c r="D295" s="4" t="s">
        <v>281</v>
      </c>
      <c r="E295" s="16">
        <v>4.1868959669955075E-5</v>
      </c>
      <c r="F295" s="16">
        <v>0.9999970831179326</v>
      </c>
      <c r="G295" s="16"/>
      <c r="H295" s="16">
        <v>1.0</v>
      </c>
      <c r="I295" s="16">
        <v>0.5208333333333334</v>
      </c>
      <c r="J295" s="16">
        <v>0.7142857142857143</v>
      </c>
      <c r="K295" s="4">
        <v>0.0</v>
      </c>
      <c r="M295" s="4" t="s">
        <v>32</v>
      </c>
    </row>
    <row r="296" ht="18.0" customHeight="1">
      <c r="A296" s="4" t="s">
        <v>58</v>
      </c>
      <c r="B296" s="4">
        <v>28.0</v>
      </c>
      <c r="C296" s="4" t="s">
        <v>743</v>
      </c>
      <c r="D296" s="4" t="s">
        <v>217</v>
      </c>
      <c r="E296" s="16">
        <v>3.4316795790800825E-5</v>
      </c>
      <c r="F296" s="16">
        <v>0.9999971020091039</v>
      </c>
      <c r="G296" s="16"/>
      <c r="H296" s="16">
        <v>0.0</v>
      </c>
      <c r="I296" s="16">
        <v>0.041666666666666664</v>
      </c>
      <c r="J296" s="16">
        <v>0.0</v>
      </c>
      <c r="K296" s="4">
        <v>0.0</v>
      </c>
      <c r="M296" s="4" t="s">
        <v>32</v>
      </c>
    </row>
    <row r="297" ht="18.0" customHeight="1">
      <c r="A297" s="4" t="s">
        <v>58</v>
      </c>
      <c r="B297" s="4">
        <v>29.0</v>
      </c>
      <c r="C297" s="4" t="s">
        <v>181</v>
      </c>
      <c r="D297" s="4" t="s">
        <v>270</v>
      </c>
      <c r="E297" s="16">
        <v>0.006821784656494856</v>
      </c>
      <c r="F297" s="16">
        <v>0.9983339249738492</v>
      </c>
      <c r="G297" s="16"/>
      <c r="H297" s="16">
        <v>1.0</v>
      </c>
      <c r="I297" s="16">
        <v>0.4583333333333333</v>
      </c>
      <c r="J297" s="16">
        <v>0.22440087145969503</v>
      </c>
      <c r="K297" s="4">
        <v>0.0</v>
      </c>
      <c r="M297" s="4" t="s">
        <v>32</v>
      </c>
    </row>
    <row r="298" ht="18.0" customHeight="1">
      <c r="A298" s="4" t="s">
        <v>58</v>
      </c>
      <c r="B298" s="4">
        <v>30.0</v>
      </c>
      <c r="C298" s="4" t="s">
        <v>151</v>
      </c>
      <c r="D298" s="4" t="s">
        <v>779</v>
      </c>
      <c r="E298" s="16">
        <v>4.230668128002435E-5</v>
      </c>
      <c r="F298" s="16">
        <v>0.9999962408338661</v>
      </c>
      <c r="G298" s="16"/>
      <c r="H298" s="16">
        <v>1.0</v>
      </c>
      <c r="I298" s="16">
        <v>0.3958333333333333</v>
      </c>
      <c r="J298" s="16">
        <v>0.41869918699187</v>
      </c>
      <c r="K298" s="4">
        <v>0.0</v>
      </c>
      <c r="M298" s="4" t="s">
        <v>32</v>
      </c>
    </row>
    <row r="299" ht="18.0" customHeight="1">
      <c r="A299" s="4" t="s">
        <v>58</v>
      </c>
      <c r="B299" s="4">
        <v>31.0</v>
      </c>
      <c r="C299" s="4" t="s">
        <v>159</v>
      </c>
      <c r="D299" s="4" t="s">
        <v>270</v>
      </c>
      <c r="E299" s="16">
        <v>4.339338047429919E-4</v>
      </c>
      <c r="F299" s="16">
        <v>0.9999335166648962</v>
      </c>
      <c r="G299" s="16"/>
      <c r="H299" s="16">
        <v>1.0</v>
      </c>
      <c r="I299" s="16">
        <v>0.3958333333333333</v>
      </c>
      <c r="J299" s="16">
        <v>0.0</v>
      </c>
      <c r="K299" s="4">
        <v>0.0</v>
      </c>
      <c r="M299" s="4" t="s">
        <v>32</v>
      </c>
    </row>
    <row r="300" ht="18.0" customHeight="1">
      <c r="A300" s="4" t="s">
        <v>58</v>
      </c>
      <c r="B300" s="4">
        <v>32.0</v>
      </c>
      <c r="C300" s="4" t="s">
        <v>270</v>
      </c>
      <c r="D300" s="4" t="s">
        <v>181</v>
      </c>
      <c r="E300" s="16">
        <v>0.0062685501761734486</v>
      </c>
      <c r="F300" s="16">
        <v>0.9988165387767367</v>
      </c>
      <c r="G300" s="16"/>
      <c r="H300" s="16">
        <v>0.0</v>
      </c>
      <c r="I300" s="16">
        <v>0.08333333333333333</v>
      </c>
      <c r="J300" s="16">
        <v>0.33333333333333337</v>
      </c>
      <c r="K300" s="4">
        <v>0.0</v>
      </c>
      <c r="M300" s="4" t="s">
        <v>32</v>
      </c>
    </row>
    <row r="301" ht="18.0" customHeight="1">
      <c r="A301" s="4" t="s">
        <v>58</v>
      </c>
      <c r="B301" s="4">
        <v>33.0</v>
      </c>
      <c r="C301" s="4" t="s">
        <v>779</v>
      </c>
      <c r="D301" s="4" t="s">
        <v>948</v>
      </c>
      <c r="E301" s="16">
        <v>0.04375752806663513</v>
      </c>
      <c r="F301" s="16">
        <v>0.9863782823085785</v>
      </c>
      <c r="G301" s="16"/>
      <c r="H301" s="16">
        <v>0.9090909090909091</v>
      </c>
      <c r="I301" s="16">
        <v>0.5625</v>
      </c>
      <c r="J301" s="16">
        <v>0.7142857142857143</v>
      </c>
      <c r="K301" s="4">
        <v>0.0</v>
      </c>
      <c r="M301" s="4" t="s">
        <v>32</v>
      </c>
    </row>
    <row r="302" ht="18.0" customHeight="1">
      <c r="A302" s="4" t="s">
        <v>58</v>
      </c>
      <c r="B302" s="4">
        <v>34.0</v>
      </c>
      <c r="C302" s="4" t="s">
        <v>232</v>
      </c>
      <c r="D302" s="4" t="s">
        <v>289</v>
      </c>
      <c r="E302" s="16">
        <v>0.5373890399932861</v>
      </c>
      <c r="F302" s="16">
        <v>0.5489739030599594</v>
      </c>
      <c r="G302" s="16"/>
      <c r="H302" s="16">
        <v>1.0</v>
      </c>
      <c r="I302" s="16">
        <v>0.47500000000000003</v>
      </c>
      <c r="J302" s="16">
        <v>0.7142857142857143</v>
      </c>
      <c r="K302" s="4">
        <v>1.0</v>
      </c>
      <c r="L302" s="4">
        <v>0.0</v>
      </c>
      <c r="M302" s="4" t="s">
        <v>239</v>
      </c>
    </row>
    <row r="303" ht="18.0" customHeight="1">
      <c r="A303" s="4" t="s">
        <v>58</v>
      </c>
      <c r="B303" s="4">
        <v>35.0</v>
      </c>
      <c r="C303" s="4" t="s">
        <v>262</v>
      </c>
      <c r="D303" s="4" t="s">
        <v>281</v>
      </c>
      <c r="E303" s="16">
        <v>1.1520901918411255</v>
      </c>
      <c r="F303" s="16">
        <v>0.4929659962654114</v>
      </c>
      <c r="G303" s="16"/>
      <c r="H303" s="16">
        <v>1.0</v>
      </c>
      <c r="I303" s="16">
        <v>0.5833333333333334</v>
      </c>
      <c r="J303" s="16">
        <v>0.7142857142857143</v>
      </c>
      <c r="K303" s="4">
        <v>1.0</v>
      </c>
      <c r="L303" s="4">
        <v>0.0</v>
      </c>
      <c r="M303" s="4" t="s">
        <v>239</v>
      </c>
    </row>
    <row r="304" ht="18.0" customHeight="1">
      <c r="A304" s="4" t="s">
        <v>58</v>
      </c>
      <c r="B304" s="4">
        <v>36.0</v>
      </c>
      <c r="C304" s="4" t="s">
        <v>95</v>
      </c>
      <c r="D304" s="4" t="s">
        <v>159</v>
      </c>
      <c r="E304" s="16">
        <v>1.722735214571003E-5</v>
      </c>
      <c r="F304" s="16">
        <v>0.9999988277073726</v>
      </c>
      <c r="G304" s="16"/>
      <c r="H304" s="16">
        <v>1.0</v>
      </c>
      <c r="I304" s="16">
        <v>0.5416666666666666</v>
      </c>
      <c r="J304" s="16">
        <v>0.33333333333333337</v>
      </c>
      <c r="K304" s="4">
        <v>0.0</v>
      </c>
      <c r="M304" s="4" t="s">
        <v>32</v>
      </c>
    </row>
    <row r="305" ht="18.0" customHeight="1">
      <c r="A305" s="4" t="s">
        <v>58</v>
      </c>
      <c r="B305" s="4">
        <v>37.0</v>
      </c>
      <c r="C305" s="4" t="s">
        <v>143</v>
      </c>
      <c r="D305" s="4" t="s">
        <v>803</v>
      </c>
      <c r="E305" s="16">
        <v>2.4135675630532205E-4</v>
      </c>
      <c r="F305" s="16">
        <v>0.9999770711569909</v>
      </c>
      <c r="G305" s="16"/>
      <c r="H305" s="16">
        <v>0.6363636363636364</v>
      </c>
      <c r="I305" s="16">
        <v>0.5416666666666666</v>
      </c>
      <c r="J305" s="16">
        <v>0.5714285714285714</v>
      </c>
      <c r="K305" s="4">
        <v>0.0</v>
      </c>
      <c r="M305" s="4" t="s">
        <v>32</v>
      </c>
    </row>
    <row r="306" ht="18.0" customHeight="1">
      <c r="A306" s="4" t="s">
        <v>58</v>
      </c>
      <c r="B306" s="4">
        <v>38.0</v>
      </c>
      <c r="C306" s="4" t="s">
        <v>159</v>
      </c>
      <c r="D306" s="4" t="s">
        <v>160</v>
      </c>
      <c r="E306" s="16">
        <v>3.620372081059031E-5</v>
      </c>
      <c r="F306" s="16">
        <v>0.999995771219119</v>
      </c>
      <c r="G306" s="16"/>
      <c r="H306" s="16">
        <v>1.0</v>
      </c>
      <c r="I306" s="16">
        <v>0.4791666666666667</v>
      </c>
      <c r="J306" s="16">
        <v>0.0</v>
      </c>
      <c r="K306" s="4">
        <v>0.0</v>
      </c>
      <c r="M306" s="4" t="s">
        <v>32</v>
      </c>
    </row>
    <row r="307" ht="18.0" customHeight="1">
      <c r="A307" s="4" t="s">
        <v>58</v>
      </c>
      <c r="B307" s="4">
        <v>39.0</v>
      </c>
      <c r="C307" s="4" t="s">
        <v>160</v>
      </c>
      <c r="D307" s="4" t="s">
        <v>270</v>
      </c>
      <c r="E307" s="16">
        <v>9.348948515253142E-5</v>
      </c>
      <c r="F307" s="16">
        <v>0.9999864858200453</v>
      </c>
      <c r="G307" s="16"/>
      <c r="H307" s="16">
        <v>0.0</v>
      </c>
      <c r="I307" s="16">
        <v>0.08333333333333333</v>
      </c>
      <c r="J307" s="16">
        <v>0.0</v>
      </c>
      <c r="K307" s="4">
        <v>0.0</v>
      </c>
      <c r="M307" s="4" t="s">
        <v>32</v>
      </c>
    </row>
    <row r="308" ht="18.0" customHeight="1">
      <c r="A308" s="4" t="s">
        <v>58</v>
      </c>
      <c r="B308" s="4">
        <v>40.0</v>
      </c>
      <c r="C308" s="4" t="s">
        <v>225</v>
      </c>
      <c r="D308" s="4" t="s">
        <v>258</v>
      </c>
      <c r="E308" s="16">
        <v>8.064537541940808E-5</v>
      </c>
      <c r="F308" s="16">
        <v>0.9999925122110653</v>
      </c>
      <c r="G308" s="16"/>
      <c r="H308" s="16">
        <v>1.0</v>
      </c>
      <c r="I308" s="16">
        <v>0.4791666666666667</v>
      </c>
      <c r="J308" s="16">
        <v>0.0</v>
      </c>
      <c r="K308" s="4">
        <v>0.0</v>
      </c>
      <c r="M308" s="4" t="s">
        <v>32</v>
      </c>
    </row>
    <row r="309" ht="18.0" customHeight="1">
      <c r="A309" s="4" t="s">
        <v>58</v>
      </c>
      <c r="B309" s="4">
        <v>41.0</v>
      </c>
      <c r="C309" s="4" t="s">
        <v>326</v>
      </c>
      <c r="D309" s="4" t="s">
        <v>627</v>
      </c>
      <c r="E309" s="16">
        <v>3.441895387368277E-5</v>
      </c>
      <c r="F309" s="16">
        <v>0.9999969704289242</v>
      </c>
      <c r="G309" s="16"/>
      <c r="H309" s="16">
        <v>0.09090909090909091</v>
      </c>
      <c r="I309" s="16">
        <v>0.0</v>
      </c>
      <c r="J309" s="16">
        <v>0.0</v>
      </c>
      <c r="K309" s="4">
        <v>0.0</v>
      </c>
      <c r="M309" s="4" t="s">
        <v>32</v>
      </c>
    </row>
    <row r="310" ht="18.0" customHeight="1">
      <c r="A310" s="4" t="s">
        <v>58</v>
      </c>
      <c r="B310" s="4">
        <v>42.0</v>
      </c>
      <c r="C310" s="4" t="s">
        <v>163</v>
      </c>
      <c r="D310" s="4" t="s">
        <v>323</v>
      </c>
      <c r="E310" s="16">
        <v>6.475454574683681E-5</v>
      </c>
      <c r="F310" s="16">
        <v>0.9999954262734718</v>
      </c>
      <c r="G310" s="16"/>
      <c r="H310" s="16">
        <v>0.18181818181818182</v>
      </c>
      <c r="I310" s="16">
        <v>0.10416666666666667</v>
      </c>
      <c r="J310" s="16">
        <v>0.1259259259259259</v>
      </c>
      <c r="K310" s="4">
        <v>0.0</v>
      </c>
      <c r="M310" s="4" t="s">
        <v>32</v>
      </c>
    </row>
    <row r="311" ht="18.0" customHeight="1">
      <c r="A311" s="4" t="s">
        <v>58</v>
      </c>
      <c r="B311" s="4">
        <v>43.0</v>
      </c>
      <c r="C311" s="4" t="s">
        <v>743</v>
      </c>
      <c r="D311" s="4" t="s">
        <v>217</v>
      </c>
      <c r="E311" s="16">
        <v>3.2586925954092294E-5</v>
      </c>
      <c r="F311" s="16">
        <v>0.9999969900779888</v>
      </c>
      <c r="G311" s="16"/>
      <c r="H311" s="16">
        <v>0.2727272727272727</v>
      </c>
      <c r="I311" s="16">
        <v>0.08333333333333333</v>
      </c>
      <c r="J311" s="16">
        <v>0.25</v>
      </c>
      <c r="K311" s="4">
        <v>0.0</v>
      </c>
      <c r="M311" s="4" t="s">
        <v>32</v>
      </c>
    </row>
    <row r="312" ht="18.0" customHeight="1">
      <c r="A312" s="4" t="s">
        <v>58</v>
      </c>
      <c r="B312" s="4">
        <v>44.0</v>
      </c>
      <c r="C312" s="4" t="s">
        <v>181</v>
      </c>
      <c r="D312" s="4" t="s">
        <v>270</v>
      </c>
      <c r="E312" s="16">
        <v>7.808756199665368E-4</v>
      </c>
      <c r="F312" s="16">
        <v>0.9998570898460457</v>
      </c>
      <c r="G312" s="16"/>
      <c r="H312" s="16">
        <v>0.8181818181818182</v>
      </c>
      <c r="I312" s="16">
        <v>0.4375</v>
      </c>
      <c r="J312" s="16">
        <v>0.0</v>
      </c>
      <c r="K312" s="4">
        <v>0.0</v>
      </c>
      <c r="M312" s="4" t="s">
        <v>32</v>
      </c>
    </row>
    <row r="313" ht="18.0" customHeight="1">
      <c r="A313" s="4" t="s">
        <v>58</v>
      </c>
      <c r="B313" s="4">
        <v>45.0</v>
      </c>
      <c r="C313" s="4" t="s">
        <v>151</v>
      </c>
      <c r="D313" s="4" t="s">
        <v>545</v>
      </c>
      <c r="E313" s="16">
        <v>2.1189265680732206E-5</v>
      </c>
      <c r="F313" s="16">
        <v>0.9999986115039974</v>
      </c>
      <c r="G313" s="16"/>
      <c r="H313" s="16">
        <v>1.0</v>
      </c>
      <c r="I313" s="16">
        <v>0.4166666666666667</v>
      </c>
      <c r="J313" s="16">
        <v>0.1680327868852459</v>
      </c>
      <c r="K313" s="4">
        <v>0.0</v>
      </c>
      <c r="M313" s="4" t="s">
        <v>32</v>
      </c>
    </row>
    <row r="314" ht="18.0" customHeight="1">
      <c r="A314" s="4" t="s">
        <v>58</v>
      </c>
      <c r="B314" s="4">
        <v>46.0</v>
      </c>
      <c r="C314" s="4" t="s">
        <v>159</v>
      </c>
      <c r="D314" s="4" t="s">
        <v>270</v>
      </c>
      <c r="E314" s="16">
        <v>2.4768940420472063E-5</v>
      </c>
      <c r="F314" s="16">
        <v>0.9999970247100691</v>
      </c>
      <c r="G314" s="16"/>
      <c r="H314" s="16">
        <v>0.6363636363636364</v>
      </c>
      <c r="I314" s="16">
        <v>0.22916666666666666</v>
      </c>
      <c r="J314" s="16">
        <v>0.1259259259259259</v>
      </c>
      <c r="K314" s="4">
        <v>0.0</v>
      </c>
      <c r="M314" s="4" t="s">
        <v>32</v>
      </c>
    </row>
    <row r="315" ht="18.0" customHeight="1">
      <c r="A315" s="4" t="s">
        <v>58</v>
      </c>
      <c r="B315" s="4">
        <v>47.0</v>
      </c>
      <c r="C315" s="4" t="s">
        <v>270</v>
      </c>
      <c r="D315" s="4" t="s">
        <v>160</v>
      </c>
      <c r="E315" s="16">
        <v>7.423851639032364E-4</v>
      </c>
      <c r="F315" s="16">
        <v>0.9998716182089993</v>
      </c>
      <c r="G315" s="16"/>
      <c r="H315" s="16">
        <v>0.09090909090909091</v>
      </c>
      <c r="I315" s="16">
        <v>0.16666666666666666</v>
      </c>
      <c r="J315" s="16">
        <v>0.4</v>
      </c>
      <c r="K315" s="4">
        <v>0.0</v>
      </c>
      <c r="M315" s="4" t="s">
        <v>32</v>
      </c>
    </row>
    <row r="316" ht="18.0" customHeight="1">
      <c r="A316" s="4" t="s">
        <v>58</v>
      </c>
      <c r="B316" s="4">
        <v>48.0</v>
      </c>
      <c r="C316" s="4" t="s">
        <v>151</v>
      </c>
      <c r="D316" s="4" t="s">
        <v>545</v>
      </c>
      <c r="E316" s="16">
        <v>2.2513528165291063E-5</v>
      </c>
      <c r="F316" s="16">
        <v>0.9999981995483154</v>
      </c>
      <c r="G316" s="16"/>
      <c r="H316" s="16">
        <v>0.7272727272727273</v>
      </c>
      <c r="I316" s="16">
        <v>0.2916666666666667</v>
      </c>
      <c r="J316" s="16">
        <v>0.1680327868852459</v>
      </c>
      <c r="K316" s="4">
        <v>0.0</v>
      </c>
      <c r="M316" s="4" t="s">
        <v>32</v>
      </c>
    </row>
    <row r="317" ht="18.0" customHeight="1">
      <c r="A317" s="4" t="s">
        <v>58</v>
      </c>
      <c r="B317" s="4">
        <v>49.0</v>
      </c>
      <c r="C317" s="4" t="s">
        <v>159</v>
      </c>
      <c r="D317" s="4" t="s">
        <v>160</v>
      </c>
      <c r="E317" s="16">
        <v>6.562563066836447E-5</v>
      </c>
      <c r="F317" s="16">
        <v>0.9999944306401858</v>
      </c>
      <c r="G317" s="16"/>
      <c r="H317" s="16">
        <v>1.0</v>
      </c>
      <c r="I317" s="16">
        <v>0.4583333333333333</v>
      </c>
      <c r="J317" s="16">
        <v>0.20246913580246917</v>
      </c>
      <c r="K317" s="4">
        <v>0.0</v>
      </c>
      <c r="M317" s="4" t="s">
        <v>32</v>
      </c>
    </row>
    <row r="318" ht="18.0" customHeight="1">
      <c r="A318" s="4" t="s">
        <v>58</v>
      </c>
      <c r="B318" s="4">
        <v>50.0</v>
      </c>
      <c r="C318" s="4" t="s">
        <v>160</v>
      </c>
      <c r="D318" s="4" t="s">
        <v>270</v>
      </c>
      <c r="E318" s="16">
        <v>0.010081476531922817</v>
      </c>
      <c r="F318" s="16">
        <v>0.9980762116611004</v>
      </c>
      <c r="G318" s="16"/>
      <c r="H318" s="16">
        <v>0.9090909090909091</v>
      </c>
      <c r="I318" s="16">
        <v>0.45416666666666666</v>
      </c>
      <c r="J318" s="16">
        <v>0.3633156966490301</v>
      </c>
      <c r="K318" s="4">
        <v>0.0</v>
      </c>
      <c r="M318" s="4" t="s">
        <v>32</v>
      </c>
    </row>
    <row r="319" ht="18.0" customHeight="1">
      <c r="A319" s="4" t="s">
        <v>58</v>
      </c>
      <c r="B319" s="4">
        <v>51.0</v>
      </c>
      <c r="C319" s="4" t="s">
        <v>779</v>
      </c>
      <c r="D319" s="4" t="s">
        <v>948</v>
      </c>
      <c r="E319" s="16">
        <v>0.1195525974035263</v>
      </c>
      <c r="F319" s="16">
        <v>0.9488262198865414</v>
      </c>
      <c r="G319" s="16"/>
      <c r="H319" s="16">
        <v>1.0</v>
      </c>
      <c r="I319" s="16">
        <v>0.5208333333333334</v>
      </c>
      <c r="J319" s="16">
        <v>0.25</v>
      </c>
      <c r="K319" s="4">
        <v>0.0</v>
      </c>
      <c r="M319" s="4" t="s">
        <v>32</v>
      </c>
    </row>
    <row r="320" ht="18.0" customHeight="1">
      <c r="A320" s="4" t="s">
        <v>58</v>
      </c>
      <c r="B320" s="4">
        <v>52.0</v>
      </c>
      <c r="C320" s="4" t="s">
        <v>289</v>
      </c>
      <c r="D320" s="4" t="s">
        <v>232</v>
      </c>
      <c r="E320" s="16">
        <v>0.6937786340713501</v>
      </c>
      <c r="F320" s="16">
        <v>0.10115090012550354</v>
      </c>
      <c r="G320" s="16"/>
      <c r="H320" s="16">
        <v>1.0</v>
      </c>
      <c r="I320" s="16">
        <v>0.4583333333333333</v>
      </c>
      <c r="J320" s="16">
        <v>0.20246913580246917</v>
      </c>
      <c r="K320" s="4">
        <v>1.0</v>
      </c>
      <c r="L320" s="4">
        <v>0.0</v>
      </c>
      <c r="M320" s="4" t="s">
        <v>239</v>
      </c>
    </row>
    <row r="321" ht="18.0" customHeight="1">
      <c r="A321" s="4" t="s">
        <v>58</v>
      </c>
      <c r="B321" s="4">
        <v>53.0</v>
      </c>
      <c r="C321" s="4" t="s">
        <v>232</v>
      </c>
      <c r="D321" s="4" t="s">
        <v>763</v>
      </c>
      <c r="E321" s="16">
        <v>5.798782240162836E-6</v>
      </c>
      <c r="F321" s="16">
        <v>0.9999996550352535</v>
      </c>
      <c r="G321" s="16"/>
      <c r="H321" s="16">
        <v>0.0</v>
      </c>
      <c r="I321" s="16">
        <v>0.0</v>
      </c>
      <c r="J321" s="16">
        <v>0.0</v>
      </c>
      <c r="K321" s="4">
        <v>0.0</v>
      </c>
      <c r="M321" s="4" t="s">
        <v>32</v>
      </c>
    </row>
    <row r="322" ht="18.0" customHeight="1">
      <c r="A322" s="4" t="s">
        <v>58</v>
      </c>
      <c r="B322" s="4">
        <v>54.0</v>
      </c>
      <c r="C322" s="4" t="s">
        <v>281</v>
      </c>
      <c r="D322" s="4" t="s">
        <v>282</v>
      </c>
      <c r="E322" s="16">
        <v>1.7681677341461182</v>
      </c>
      <c r="F322" s="16">
        <v>0.1897023469209671</v>
      </c>
      <c r="G322" s="16"/>
      <c r="H322" s="16">
        <v>0.0</v>
      </c>
      <c r="I322" s="16">
        <v>0.016666666666666666</v>
      </c>
      <c r="J322" s="16">
        <v>0.0</v>
      </c>
      <c r="K322" s="4">
        <v>1.0</v>
      </c>
      <c r="L322" s="4">
        <v>0.0</v>
      </c>
      <c r="M322" s="4" t="s">
        <v>239</v>
      </c>
    </row>
    <row r="323" ht="18.0" customHeight="1">
      <c r="A323" s="4" t="s">
        <v>58</v>
      </c>
      <c r="B323" s="4">
        <v>55.0</v>
      </c>
      <c r="C323" s="4" t="s">
        <v>180</v>
      </c>
      <c r="D323" s="4" t="s">
        <v>949</v>
      </c>
      <c r="E323" s="16">
        <v>5.0317619752604514E-5</v>
      </c>
      <c r="F323" s="16">
        <v>0.9999952756494395</v>
      </c>
      <c r="G323" s="16"/>
      <c r="H323" s="16">
        <v>1.0</v>
      </c>
      <c r="I323" s="16">
        <v>0.5416666666666666</v>
      </c>
      <c r="J323" s="16">
        <v>0.0</v>
      </c>
      <c r="K323" s="4">
        <v>0.0</v>
      </c>
      <c r="M323" s="4" t="s">
        <v>32</v>
      </c>
    </row>
    <row r="324" ht="18.0" customHeight="1">
      <c r="A324" s="4" t="s">
        <v>58</v>
      </c>
      <c r="B324" s="4">
        <v>56.0</v>
      </c>
      <c r="C324" s="4" t="s">
        <v>743</v>
      </c>
      <c r="D324" s="4" t="s">
        <v>950</v>
      </c>
      <c r="E324" s="16">
        <v>7.20523763448E-4</v>
      </c>
      <c r="F324" s="16">
        <v>0.9999131785498321</v>
      </c>
      <c r="G324" s="16"/>
      <c r="H324" s="16">
        <v>0.9090909090909091</v>
      </c>
      <c r="I324" s="16">
        <v>0.32916666666666666</v>
      </c>
      <c r="J324" s="16">
        <v>0.8571428571428572</v>
      </c>
      <c r="K324" s="4">
        <v>0.0</v>
      </c>
      <c r="M324" s="4" t="s">
        <v>32</v>
      </c>
    </row>
    <row r="325" ht="18.0" customHeight="1">
      <c r="A325" s="4" t="s">
        <v>58</v>
      </c>
      <c r="B325" s="4">
        <v>57.0</v>
      </c>
      <c r="C325" s="4" t="s">
        <v>181</v>
      </c>
      <c r="D325" s="4" t="s">
        <v>427</v>
      </c>
      <c r="E325" s="16">
        <v>0.09455345571041107</v>
      </c>
      <c r="F325" s="16">
        <v>0.9626912456005812</v>
      </c>
      <c r="G325" s="16"/>
      <c r="H325" s="16">
        <v>1.0</v>
      </c>
      <c r="I325" s="16">
        <v>0.45416666666666666</v>
      </c>
      <c r="J325" s="16">
        <v>0.875</v>
      </c>
      <c r="K325" s="4">
        <v>0.0</v>
      </c>
      <c r="M325" s="4" t="s">
        <v>32</v>
      </c>
    </row>
    <row r="326" ht="18.0" customHeight="1">
      <c r="A326" s="4" t="s">
        <v>58</v>
      </c>
      <c r="B326" s="4">
        <v>58.0</v>
      </c>
      <c r="C326" s="4" t="s">
        <v>151</v>
      </c>
      <c r="D326" s="4" t="s">
        <v>194</v>
      </c>
      <c r="E326" s="16">
        <v>0.005708314012736082</v>
      </c>
      <c r="F326" s="16">
        <v>0.9987105872132815</v>
      </c>
      <c r="G326" s="16"/>
      <c r="H326" s="16">
        <v>1.0</v>
      </c>
      <c r="I326" s="16">
        <v>0.45416666666666666</v>
      </c>
      <c r="J326" s="16">
        <v>1.0</v>
      </c>
      <c r="K326" s="4">
        <v>0.0</v>
      </c>
      <c r="M326" s="4" t="s">
        <v>32</v>
      </c>
    </row>
    <row r="327" ht="18.0" customHeight="1">
      <c r="A327" s="4" t="s">
        <v>58</v>
      </c>
      <c r="B327" s="4">
        <v>59.0</v>
      </c>
      <c r="C327" s="4" t="s">
        <v>159</v>
      </c>
      <c r="D327" s="4" t="s">
        <v>270</v>
      </c>
      <c r="E327" s="16">
        <v>1.9684972357936203E-5</v>
      </c>
      <c r="F327" s="16">
        <v>0.999998761193666</v>
      </c>
      <c r="G327" s="16"/>
      <c r="H327" s="16">
        <v>1.0</v>
      </c>
      <c r="I327" s="16">
        <v>0.5583333333333333</v>
      </c>
      <c r="J327" s="16">
        <v>0.0</v>
      </c>
      <c r="K327" s="4">
        <v>0.0</v>
      </c>
      <c r="M327" s="4" t="s">
        <v>32</v>
      </c>
    </row>
    <row r="328" ht="18.0" customHeight="1">
      <c r="A328" s="4" t="s">
        <v>58</v>
      </c>
      <c r="B328" s="4">
        <v>60.0</v>
      </c>
      <c r="C328" s="4" t="s">
        <v>270</v>
      </c>
      <c r="D328" s="4" t="s">
        <v>181</v>
      </c>
      <c r="E328" s="16">
        <v>1.9670531037263572E-4</v>
      </c>
      <c r="F328" s="16">
        <v>0.9999769661881146</v>
      </c>
      <c r="G328" s="16"/>
      <c r="H328" s="16">
        <v>0.09090909090909091</v>
      </c>
      <c r="I328" s="16">
        <v>0.16666666666666666</v>
      </c>
      <c r="J328" s="16">
        <v>0.33333333333333337</v>
      </c>
      <c r="K328" s="4">
        <v>0.0</v>
      </c>
      <c r="M328" s="4" t="s">
        <v>32</v>
      </c>
    </row>
    <row r="329" ht="18.0" customHeight="1">
      <c r="A329" s="4" t="s">
        <v>58</v>
      </c>
      <c r="B329" s="4">
        <v>61.0</v>
      </c>
      <c r="C329" s="4" t="s">
        <v>151</v>
      </c>
      <c r="D329" s="4" t="s">
        <v>779</v>
      </c>
      <c r="E329" s="16">
        <v>0.011667924001812935</v>
      </c>
      <c r="F329" s="16">
        <v>0.9969314823392779</v>
      </c>
      <c r="G329" s="16"/>
      <c r="H329" s="16">
        <v>1.0</v>
      </c>
      <c r="I329" s="16">
        <v>0.5416666666666666</v>
      </c>
      <c r="J329" s="16">
        <v>0.2692307692307693</v>
      </c>
      <c r="K329" s="4">
        <v>0.0</v>
      </c>
      <c r="M329" s="4" t="s">
        <v>32</v>
      </c>
    </row>
    <row r="330" ht="18.0" customHeight="1">
      <c r="A330" s="4" t="s">
        <v>58</v>
      </c>
      <c r="B330" s="4">
        <v>62.0</v>
      </c>
      <c r="C330" s="4" t="s">
        <v>159</v>
      </c>
      <c r="D330" s="4" t="s">
        <v>912</v>
      </c>
      <c r="E330" s="16">
        <v>7.861708290874958E-4</v>
      </c>
      <c r="F330" s="16">
        <v>0.999920980000752</v>
      </c>
      <c r="G330" s="16"/>
      <c r="H330" s="16">
        <v>1.0</v>
      </c>
      <c r="I330" s="16">
        <v>0.6458333333333334</v>
      </c>
      <c r="J330" s="16">
        <v>0.16666666666666663</v>
      </c>
      <c r="K330" s="4">
        <v>0.0</v>
      </c>
      <c r="M330" s="4" t="s">
        <v>32</v>
      </c>
    </row>
    <row r="331" ht="18.0" customHeight="1">
      <c r="A331" s="4" t="s">
        <v>58</v>
      </c>
      <c r="B331" s="4">
        <v>63.0</v>
      </c>
      <c r="C331" s="4" t="s">
        <v>160</v>
      </c>
      <c r="D331" s="4" t="s">
        <v>181</v>
      </c>
      <c r="E331" s="16">
        <v>0.004417885094881058</v>
      </c>
      <c r="F331" s="16">
        <v>0.9994253102049697</v>
      </c>
      <c r="G331" s="16"/>
      <c r="H331" s="16">
        <v>1.0</v>
      </c>
      <c r="I331" s="16">
        <v>0.6</v>
      </c>
      <c r="J331" s="16">
        <v>0.5</v>
      </c>
      <c r="K331" s="4">
        <v>0.0</v>
      </c>
      <c r="M331" s="4" t="s">
        <v>32</v>
      </c>
    </row>
    <row r="332" ht="18.0" customHeight="1">
      <c r="A332" s="4" t="s">
        <v>58</v>
      </c>
      <c r="B332" s="4">
        <v>64.0</v>
      </c>
      <c r="C332" s="4" t="s">
        <v>779</v>
      </c>
      <c r="D332" s="4" t="s">
        <v>151</v>
      </c>
      <c r="E332" s="16">
        <v>0.07778476923704147</v>
      </c>
      <c r="F332" s="16">
        <v>0.972422668710351</v>
      </c>
      <c r="G332" s="16"/>
      <c r="H332" s="16">
        <v>1.0</v>
      </c>
      <c r="I332" s="16">
        <v>0.5416666666666666</v>
      </c>
      <c r="J332" s="16">
        <v>0.5714285714285714</v>
      </c>
      <c r="K332" s="4">
        <v>0.0</v>
      </c>
      <c r="M332" s="4" t="s">
        <v>32</v>
      </c>
    </row>
    <row r="333" ht="18.0" customHeight="1">
      <c r="A333" s="4" t="s">
        <v>58</v>
      </c>
      <c r="B333" s="4">
        <v>65.0</v>
      </c>
      <c r="C333" s="4" t="s">
        <v>232</v>
      </c>
      <c r="D333" s="4" t="s">
        <v>289</v>
      </c>
      <c r="E333" s="16">
        <v>0.1956087350845337</v>
      </c>
      <c r="F333" s="16">
        <v>0.9022541120648384</v>
      </c>
      <c r="G333" s="16"/>
      <c r="H333" s="16">
        <v>1.0</v>
      </c>
      <c r="I333" s="16">
        <v>0.6458333333333334</v>
      </c>
      <c r="J333" s="16">
        <v>0.13999999999999999</v>
      </c>
      <c r="K333" s="4">
        <v>0.0</v>
      </c>
      <c r="M333" s="4" t="s">
        <v>32</v>
      </c>
    </row>
    <row r="334" ht="18.0" customHeight="1">
      <c r="A334" s="4" t="s">
        <v>58</v>
      </c>
      <c r="B334" s="4">
        <v>66.0</v>
      </c>
      <c r="C334" s="4" t="s">
        <v>453</v>
      </c>
      <c r="D334" s="4" t="s">
        <v>314</v>
      </c>
      <c r="E334" s="16">
        <v>0.011804815381765366</v>
      </c>
      <c r="F334" s="16">
        <v>0.9984955397958402</v>
      </c>
      <c r="G334" s="16"/>
      <c r="H334" s="16">
        <v>0.9090909090909091</v>
      </c>
      <c r="I334" s="16">
        <v>0.6666666666666666</v>
      </c>
      <c r="J334" s="16">
        <v>0.6000000000000001</v>
      </c>
      <c r="K334" s="4">
        <v>0.0</v>
      </c>
      <c r="M334" s="4" t="s">
        <v>32</v>
      </c>
    </row>
    <row r="335" ht="18.0" customHeight="1">
      <c r="A335" s="4" t="s">
        <v>58</v>
      </c>
      <c r="B335" s="4">
        <v>67.0</v>
      </c>
      <c r="C335" s="4" t="s">
        <v>147</v>
      </c>
      <c r="D335" s="4" t="s">
        <v>951</v>
      </c>
      <c r="E335" s="16">
        <v>0.0024125268682837486</v>
      </c>
      <c r="F335" s="16">
        <v>0.9997153237272869</v>
      </c>
      <c r="G335" s="16"/>
      <c r="H335" s="16">
        <v>0.0</v>
      </c>
      <c r="I335" s="16">
        <v>0.016666666666666666</v>
      </c>
      <c r="J335" s="16">
        <v>0.0</v>
      </c>
      <c r="K335" s="4">
        <v>0.0</v>
      </c>
      <c r="M335" s="4" t="s">
        <v>32</v>
      </c>
    </row>
    <row r="336" ht="18.0" customHeight="1">
      <c r="A336" s="4" t="s">
        <v>58</v>
      </c>
      <c r="B336" s="4">
        <v>68.0</v>
      </c>
      <c r="C336" s="4" t="s">
        <v>172</v>
      </c>
      <c r="D336" s="4" t="s">
        <v>952</v>
      </c>
      <c r="E336" s="16">
        <v>7.902419747551903E-5</v>
      </c>
      <c r="F336" s="16">
        <v>0.9999904654600869</v>
      </c>
      <c r="G336" s="16"/>
      <c r="H336" s="16">
        <v>1.0</v>
      </c>
      <c r="I336" s="16">
        <v>0.5625</v>
      </c>
      <c r="J336" s="16">
        <v>0.5268817204301076</v>
      </c>
      <c r="K336" s="4">
        <v>0.0</v>
      </c>
      <c r="M336" s="4" t="s">
        <v>32</v>
      </c>
    </row>
    <row r="337" ht="18.0" customHeight="1">
      <c r="A337" s="4" t="s">
        <v>58</v>
      </c>
      <c r="B337" s="4">
        <v>69.0</v>
      </c>
      <c r="C337" s="4" t="s">
        <v>599</v>
      </c>
      <c r="D337" s="4" t="s">
        <v>953</v>
      </c>
      <c r="E337" s="16">
        <v>2.3441922166966833E-5</v>
      </c>
      <c r="F337" s="16">
        <v>0.9999979705614237</v>
      </c>
      <c r="G337" s="16"/>
      <c r="H337" s="16">
        <v>0.09090909090909091</v>
      </c>
      <c r="I337" s="16">
        <v>0.041666666666666664</v>
      </c>
      <c r="J337" s="16">
        <v>0.0</v>
      </c>
      <c r="K337" s="4">
        <v>0.0</v>
      </c>
      <c r="M337" s="4" t="s">
        <v>32</v>
      </c>
    </row>
    <row r="338" ht="18.0" customHeight="1">
      <c r="A338" s="4" t="s">
        <v>58</v>
      </c>
      <c r="B338" s="4">
        <v>70.0</v>
      </c>
      <c r="C338" s="4" t="s">
        <v>311</v>
      </c>
      <c r="D338" s="4" t="s">
        <v>312</v>
      </c>
      <c r="E338" s="16">
        <v>1.7741495685186237E-4</v>
      </c>
      <c r="F338" s="16">
        <v>0.9999807653011885</v>
      </c>
      <c r="G338" s="16"/>
      <c r="H338" s="16">
        <v>1.0</v>
      </c>
      <c r="I338" s="16">
        <v>0.5625</v>
      </c>
      <c r="J338" s="16">
        <v>0.75</v>
      </c>
      <c r="K338" s="4">
        <v>1.0</v>
      </c>
      <c r="L338" s="4">
        <v>0.0</v>
      </c>
      <c r="M338" s="4" t="s">
        <v>239</v>
      </c>
    </row>
    <row r="339" ht="18.0" customHeight="1">
      <c r="A339" s="4" t="s">
        <v>58</v>
      </c>
      <c r="B339" s="4">
        <v>71.0</v>
      </c>
      <c r="C339" s="4" t="s">
        <v>270</v>
      </c>
      <c r="D339" s="4" t="s">
        <v>160</v>
      </c>
      <c r="E339" s="16">
        <v>0.009378669783473015</v>
      </c>
      <c r="F339" s="16">
        <v>0.9976345536997542</v>
      </c>
      <c r="G339" s="16"/>
      <c r="H339" s="16">
        <v>0.7272727272727273</v>
      </c>
      <c r="I339" s="16">
        <v>0.4166666666666667</v>
      </c>
      <c r="J339" s="16">
        <v>0.7142857142857143</v>
      </c>
      <c r="K339" s="4">
        <v>0.0</v>
      </c>
      <c r="M339" s="4" t="s">
        <v>32</v>
      </c>
    </row>
    <row r="340" ht="18.0" customHeight="1">
      <c r="A340" s="4" t="s">
        <v>58</v>
      </c>
      <c r="B340" s="4">
        <v>72.0</v>
      </c>
      <c r="C340" s="4" t="s">
        <v>151</v>
      </c>
      <c r="D340" s="4" t="s">
        <v>954</v>
      </c>
      <c r="E340" s="16">
        <v>1.802952101570554E-5</v>
      </c>
      <c r="F340" s="16">
        <v>0.9999985009963552</v>
      </c>
      <c r="G340" s="16"/>
      <c r="H340" s="16">
        <v>1.0</v>
      </c>
      <c r="I340" s="16">
        <v>0.5</v>
      </c>
      <c r="J340" s="16">
        <v>0.16666666666666663</v>
      </c>
      <c r="K340" s="4">
        <v>0.0</v>
      </c>
      <c r="M340" s="4" t="s">
        <v>32</v>
      </c>
    </row>
    <row r="341" ht="18.0" customHeight="1">
      <c r="A341" s="4" t="s">
        <v>58</v>
      </c>
      <c r="B341" s="4">
        <v>73.0</v>
      </c>
      <c r="C341" s="4" t="s">
        <v>95</v>
      </c>
      <c r="D341" s="4" t="s">
        <v>159</v>
      </c>
      <c r="E341" s="16">
        <v>1.2803236313629895E-4</v>
      </c>
      <c r="F341" s="16">
        <v>0.9999887156250225</v>
      </c>
      <c r="G341" s="16"/>
      <c r="H341" s="16">
        <v>0.2727272727272727</v>
      </c>
      <c r="I341" s="16">
        <v>0.20833333333333334</v>
      </c>
      <c r="J341" s="16">
        <v>0.2857142857142857</v>
      </c>
      <c r="K341" s="4">
        <v>0.0</v>
      </c>
      <c r="M341" s="4" t="s">
        <v>32</v>
      </c>
    </row>
    <row r="342" ht="18.0" customHeight="1">
      <c r="A342" s="4" t="s">
        <v>58</v>
      </c>
      <c r="B342" s="4">
        <v>74.0</v>
      </c>
      <c r="C342" s="4" t="s">
        <v>630</v>
      </c>
      <c r="D342" s="4" t="s">
        <v>890</v>
      </c>
      <c r="E342" s="16">
        <v>0.05482666939496994</v>
      </c>
      <c r="F342" s="16">
        <v>0.9805701328441501</v>
      </c>
      <c r="G342" s="16"/>
      <c r="H342" s="16">
        <v>1.0</v>
      </c>
      <c r="I342" s="16">
        <v>0.4791666666666667</v>
      </c>
      <c r="J342" s="16">
        <v>0.1428571428571429</v>
      </c>
      <c r="K342" s="4">
        <v>0.0</v>
      </c>
      <c r="M342" s="4" t="s">
        <v>32</v>
      </c>
    </row>
    <row r="343" ht="18.0" customHeight="1">
      <c r="A343" s="4" t="s">
        <v>58</v>
      </c>
      <c r="B343" s="4">
        <v>75.0</v>
      </c>
      <c r="C343" s="4" t="s">
        <v>159</v>
      </c>
      <c r="D343" s="4" t="s">
        <v>181</v>
      </c>
      <c r="E343" s="16">
        <v>1.7946962543646805E-5</v>
      </c>
      <c r="F343" s="16">
        <v>0.9999981816735044</v>
      </c>
      <c r="G343" s="16"/>
      <c r="H343" s="16">
        <v>1.0</v>
      </c>
      <c r="I343" s="16">
        <v>0.4166666666666667</v>
      </c>
      <c r="J343" s="16">
        <v>0.0</v>
      </c>
      <c r="K343" s="4">
        <v>0.0</v>
      </c>
      <c r="M343" s="4" t="s">
        <v>32</v>
      </c>
    </row>
    <row r="344" ht="18.0" customHeight="1">
      <c r="A344" s="4" t="s">
        <v>58</v>
      </c>
      <c r="B344" s="4">
        <v>76.0</v>
      </c>
      <c r="C344" s="4" t="s">
        <v>181</v>
      </c>
      <c r="D344" s="4" t="s">
        <v>160</v>
      </c>
      <c r="E344" s="16">
        <v>0.0051282173953950405</v>
      </c>
      <c r="F344" s="16">
        <v>0.9987974670366384</v>
      </c>
      <c r="G344" s="16"/>
      <c r="H344" s="16">
        <v>0.0</v>
      </c>
      <c r="I344" s="16">
        <v>0.08333333333333333</v>
      </c>
      <c r="J344" s="16">
        <v>0.16666666666666663</v>
      </c>
      <c r="K344" s="4">
        <v>0.0</v>
      </c>
      <c r="M344" s="4" t="s">
        <v>32</v>
      </c>
    </row>
    <row r="345" ht="18.0" customHeight="1">
      <c r="A345" s="4" t="s">
        <v>58</v>
      </c>
      <c r="B345" s="4">
        <v>77.0</v>
      </c>
      <c r="C345" s="4" t="s">
        <v>139</v>
      </c>
      <c r="D345" s="4" t="s">
        <v>151</v>
      </c>
      <c r="E345" s="16">
        <v>5.125607131049037E-4</v>
      </c>
      <c r="F345" s="16">
        <v>0.9999486989090656</v>
      </c>
      <c r="G345" s="16"/>
      <c r="H345" s="16">
        <v>1.0</v>
      </c>
      <c r="I345" s="16">
        <v>0.4583333333333333</v>
      </c>
      <c r="J345" s="16">
        <v>0.45315904139433555</v>
      </c>
      <c r="K345" s="4">
        <v>1.0</v>
      </c>
      <c r="L345" s="4">
        <v>0.0</v>
      </c>
      <c r="M345" s="4" t="s">
        <v>239</v>
      </c>
    </row>
    <row r="346" ht="18.0" customHeight="1">
      <c r="A346" s="4" t="s">
        <v>58</v>
      </c>
      <c r="B346" s="4">
        <v>78.0</v>
      </c>
      <c r="C346" s="4" t="s">
        <v>326</v>
      </c>
      <c r="D346" s="4" t="s">
        <v>955</v>
      </c>
      <c r="E346" s="16">
        <v>2.3785258235875517E-5</v>
      </c>
      <c r="F346" s="16">
        <v>0.9999977278359324</v>
      </c>
      <c r="G346" s="16"/>
      <c r="H346" s="16">
        <v>1.0</v>
      </c>
      <c r="I346" s="16">
        <v>0.3958333333333333</v>
      </c>
      <c r="J346" s="16">
        <v>0.0</v>
      </c>
      <c r="K346" s="4">
        <v>0.0</v>
      </c>
      <c r="M346" s="4" t="s">
        <v>32</v>
      </c>
    </row>
    <row r="347" ht="18.0" customHeight="1">
      <c r="A347" s="4" t="s">
        <v>58</v>
      </c>
      <c r="B347" s="4">
        <v>79.0</v>
      </c>
      <c r="C347" s="4" t="s">
        <v>94</v>
      </c>
      <c r="D347" s="4" t="s">
        <v>956</v>
      </c>
      <c r="E347" s="16">
        <v>4.385754291433841E-4</v>
      </c>
      <c r="F347" s="16">
        <v>0.9999528725829805</v>
      </c>
      <c r="G347" s="16"/>
      <c r="H347" s="16">
        <v>0.8181818181818182</v>
      </c>
      <c r="I347" s="16">
        <v>0.5375</v>
      </c>
      <c r="J347" s="16">
        <v>0.5483870967741936</v>
      </c>
      <c r="K347" s="4">
        <v>0.0</v>
      </c>
      <c r="M347" s="4" t="s">
        <v>32</v>
      </c>
    </row>
    <row r="348" ht="18.0" customHeight="1">
      <c r="A348" s="4" t="s">
        <v>58</v>
      </c>
      <c r="B348" s="4">
        <v>80.0</v>
      </c>
      <c r="C348" s="4" t="s">
        <v>147</v>
      </c>
      <c r="D348" s="4" t="s">
        <v>456</v>
      </c>
      <c r="E348" s="16">
        <v>2.7918300474993885E-4</v>
      </c>
      <c r="F348" s="16">
        <v>0.9999720280056863</v>
      </c>
      <c r="G348" s="16"/>
      <c r="H348" s="16">
        <v>1.0</v>
      </c>
      <c r="I348" s="16">
        <v>0.5625</v>
      </c>
      <c r="J348" s="16">
        <v>0.5</v>
      </c>
      <c r="K348" s="4">
        <v>0.0</v>
      </c>
      <c r="M348" s="4" t="s">
        <v>32</v>
      </c>
    </row>
    <row r="349" ht="18.0" customHeight="1">
      <c r="A349" s="4" t="s">
        <v>58</v>
      </c>
      <c r="B349" s="4">
        <v>81.0</v>
      </c>
      <c r="C349" s="4" t="s">
        <v>686</v>
      </c>
      <c r="D349" s="4" t="s">
        <v>143</v>
      </c>
      <c r="E349" s="16">
        <v>0.0018062094459310174</v>
      </c>
      <c r="F349" s="16">
        <v>0.9997550412226701</v>
      </c>
      <c r="G349" s="16"/>
      <c r="H349" s="16">
        <v>0.9090909090909091</v>
      </c>
      <c r="I349" s="16">
        <v>0.5625</v>
      </c>
      <c r="J349" s="16">
        <v>0.3208137715179969</v>
      </c>
      <c r="K349" s="4">
        <v>0.0</v>
      </c>
      <c r="M349" s="4" t="s">
        <v>32</v>
      </c>
    </row>
    <row r="350" ht="18.0" customHeight="1">
      <c r="A350" s="4" t="s">
        <v>58</v>
      </c>
      <c r="B350" s="4">
        <v>82.0</v>
      </c>
      <c r="C350" s="4" t="s">
        <v>159</v>
      </c>
      <c r="D350" s="4" t="s">
        <v>160</v>
      </c>
      <c r="E350" s="16">
        <v>3.2909422316151904E-6</v>
      </c>
      <c r="F350" s="16">
        <v>0.9999998200825431</v>
      </c>
      <c r="G350" s="16"/>
      <c r="H350" s="16">
        <v>1.0</v>
      </c>
      <c r="I350" s="16">
        <v>0.5208333333333334</v>
      </c>
      <c r="J350" s="16">
        <v>0.0</v>
      </c>
      <c r="K350" s="4">
        <v>1.0</v>
      </c>
      <c r="L350" s="4">
        <v>0.0</v>
      </c>
      <c r="M350" s="4" t="s">
        <v>239</v>
      </c>
    </row>
    <row r="351" ht="18.0" customHeight="1">
      <c r="A351" s="4" t="s">
        <v>58</v>
      </c>
      <c r="B351" s="4">
        <v>83.0</v>
      </c>
      <c r="C351" s="4" t="s">
        <v>160</v>
      </c>
      <c r="D351" s="4" t="s">
        <v>181</v>
      </c>
      <c r="E351" s="16">
        <v>5.852713002241217E-6</v>
      </c>
      <c r="F351" s="16">
        <v>0.999999649046245</v>
      </c>
      <c r="G351" s="16"/>
      <c r="H351" s="16">
        <v>0.0</v>
      </c>
      <c r="I351" s="16">
        <v>0.08333333333333333</v>
      </c>
      <c r="J351" s="16">
        <v>0.1428571428571429</v>
      </c>
      <c r="K351" s="4">
        <v>0.0</v>
      </c>
      <c r="M351" s="4" t="s">
        <v>32</v>
      </c>
    </row>
    <row r="352" ht="18.0" customHeight="1">
      <c r="A352" s="4" t="s">
        <v>58</v>
      </c>
      <c r="B352" s="4">
        <v>84.0</v>
      </c>
      <c r="C352" s="4" t="s">
        <v>143</v>
      </c>
      <c r="D352" s="4" t="s">
        <v>144</v>
      </c>
      <c r="E352" s="16">
        <v>1.452665455872193E-4</v>
      </c>
      <c r="F352" s="16">
        <v>0.999983088380759</v>
      </c>
      <c r="G352" s="16"/>
      <c r="H352" s="16">
        <v>0.45454545454545453</v>
      </c>
      <c r="I352" s="16">
        <v>0.3958333333333333</v>
      </c>
      <c r="J352" s="16">
        <v>0.36130536130536134</v>
      </c>
      <c r="K352" s="4">
        <v>0.0</v>
      </c>
      <c r="M352" s="4" t="s">
        <v>32</v>
      </c>
    </row>
    <row r="353" ht="18.0" customHeight="1">
      <c r="A353" s="4" t="s">
        <v>58</v>
      </c>
      <c r="B353" s="4">
        <v>85.0</v>
      </c>
      <c r="C353" s="4" t="s">
        <v>159</v>
      </c>
      <c r="D353" s="4" t="s">
        <v>566</v>
      </c>
      <c r="E353" s="16">
        <v>2.93169665383175E-4</v>
      </c>
      <c r="F353" s="16">
        <v>0.999961541589073</v>
      </c>
      <c r="G353" s="16"/>
      <c r="H353" s="16">
        <v>1.0</v>
      </c>
      <c r="I353" s="16">
        <v>0.5208333333333334</v>
      </c>
      <c r="J353" s="16">
        <v>0.21602787456445996</v>
      </c>
      <c r="K353" s="4">
        <v>0.0</v>
      </c>
      <c r="M353" s="4" t="s">
        <v>32</v>
      </c>
    </row>
    <row r="354" ht="18.0" customHeight="1">
      <c r="A354" s="4" t="s">
        <v>58</v>
      </c>
      <c r="B354" s="4">
        <v>86.0</v>
      </c>
      <c r="C354" s="4" t="s">
        <v>427</v>
      </c>
      <c r="D354" s="4" t="s">
        <v>181</v>
      </c>
      <c r="E354" s="16">
        <v>0.002493392676115036</v>
      </c>
      <c r="F354" s="16">
        <v>0.9994604522944428</v>
      </c>
      <c r="G354" s="16"/>
      <c r="H354" s="16">
        <v>0.6363636363636364</v>
      </c>
      <c r="I354" s="16">
        <v>0.5</v>
      </c>
      <c r="J354" s="16">
        <v>0.3251748251748252</v>
      </c>
      <c r="K354" s="4">
        <v>0.0</v>
      </c>
      <c r="M354" s="4" t="s">
        <v>32</v>
      </c>
    </row>
    <row r="355" ht="18.0" customHeight="1">
      <c r="A355" s="4" t="s">
        <v>58</v>
      </c>
      <c r="B355" s="4">
        <v>87.0</v>
      </c>
      <c r="C355" s="4" t="s">
        <v>225</v>
      </c>
      <c r="D355" s="4" t="s">
        <v>258</v>
      </c>
      <c r="E355" s="16">
        <v>6.272521568462253E-5</v>
      </c>
      <c r="F355" s="16">
        <v>0.9999926869495539</v>
      </c>
      <c r="G355" s="16"/>
      <c r="H355" s="16">
        <v>1.0</v>
      </c>
      <c r="I355" s="16">
        <v>0.5208333333333334</v>
      </c>
      <c r="J355" s="16">
        <v>0.0</v>
      </c>
      <c r="K355" s="4">
        <v>0.0</v>
      </c>
      <c r="M355" s="4" t="s">
        <v>32</v>
      </c>
    </row>
    <row r="356" ht="18.0" customHeight="1">
      <c r="A356" s="4" t="s">
        <v>58</v>
      </c>
      <c r="B356" s="4">
        <v>88.0</v>
      </c>
      <c r="C356" s="4" t="s">
        <v>582</v>
      </c>
      <c r="D356" s="4" t="s">
        <v>649</v>
      </c>
      <c r="E356" s="16">
        <v>1.4904129784554243E-4</v>
      </c>
      <c r="F356" s="16">
        <v>0.9999860168338728</v>
      </c>
      <c r="G356" s="16"/>
      <c r="H356" s="16">
        <v>0.0</v>
      </c>
      <c r="I356" s="16">
        <v>0.0</v>
      </c>
      <c r="J356" s="16">
        <v>0.0</v>
      </c>
      <c r="K356" s="4">
        <v>0.0</v>
      </c>
      <c r="M356" s="4" t="s">
        <v>32</v>
      </c>
    </row>
    <row r="357" ht="18.0" customHeight="1">
      <c r="A357" s="4" t="s">
        <v>58</v>
      </c>
      <c r="B357" s="4">
        <v>89.0</v>
      </c>
      <c r="C357" s="4" t="s">
        <v>281</v>
      </c>
      <c r="D357" s="4" t="s">
        <v>956</v>
      </c>
      <c r="E357" s="16">
        <v>0.0769176110625267</v>
      </c>
      <c r="F357" s="16">
        <v>0.9716287720948458</v>
      </c>
      <c r="G357" s="16"/>
      <c r="H357" s="16">
        <v>1.0</v>
      </c>
      <c r="I357" s="16">
        <v>0.49583333333333335</v>
      </c>
      <c r="J357" s="16">
        <v>0.5</v>
      </c>
      <c r="K357" s="4">
        <v>0.0</v>
      </c>
      <c r="M357" s="4" t="s">
        <v>32</v>
      </c>
    </row>
    <row r="358" ht="18.0" customHeight="1">
      <c r="A358" s="4" t="s">
        <v>58</v>
      </c>
      <c r="B358" s="4">
        <v>90.0</v>
      </c>
      <c r="C358" s="4" t="s">
        <v>838</v>
      </c>
      <c r="D358" s="4" t="s">
        <v>957</v>
      </c>
      <c r="E358" s="16">
        <v>1.5703319513704628E-4</v>
      </c>
      <c r="F358" s="16">
        <v>0.9999849437140256</v>
      </c>
      <c r="G358" s="16"/>
      <c r="H358" s="16">
        <v>0.0</v>
      </c>
      <c r="I358" s="16">
        <v>0.041666666666666664</v>
      </c>
      <c r="J358" s="16">
        <v>0.12287712287712291</v>
      </c>
      <c r="K358" s="4">
        <v>0.0</v>
      </c>
      <c r="M358" s="4" t="s">
        <v>32</v>
      </c>
    </row>
    <row r="359" ht="18.0" customHeight="1">
      <c r="A359" s="4" t="s">
        <v>58</v>
      </c>
      <c r="B359" s="4">
        <v>91.0</v>
      </c>
      <c r="C359" s="4" t="s">
        <v>311</v>
      </c>
      <c r="D359" s="4" t="s">
        <v>495</v>
      </c>
      <c r="E359" s="16">
        <v>0.001450561685487628</v>
      </c>
      <c r="F359" s="16">
        <v>0.9997956965889898</v>
      </c>
      <c r="G359" s="16"/>
      <c r="H359" s="16">
        <v>1.0</v>
      </c>
      <c r="I359" s="16">
        <v>0.4791666666666667</v>
      </c>
      <c r="J359" s="16">
        <v>0.13398692810457513</v>
      </c>
      <c r="K359" s="4">
        <v>0.0</v>
      </c>
      <c r="M359" s="4" t="s">
        <v>32</v>
      </c>
    </row>
    <row r="360" ht="18.0" customHeight="1">
      <c r="A360" s="4" t="s">
        <v>58</v>
      </c>
      <c r="B360" s="4">
        <v>92.0</v>
      </c>
      <c r="C360" s="4" t="s">
        <v>181</v>
      </c>
      <c r="D360" s="4" t="s">
        <v>270</v>
      </c>
      <c r="E360" s="16">
        <v>9.400772396475077E-4</v>
      </c>
      <c r="F360" s="16">
        <v>0.9998415670488612</v>
      </c>
      <c r="G360" s="16"/>
      <c r="H360" s="16">
        <v>0.09090909090909091</v>
      </c>
      <c r="I360" s="16">
        <v>0.16666666666666666</v>
      </c>
      <c r="J360" s="16">
        <v>0.5714285714285714</v>
      </c>
      <c r="K360" s="4">
        <v>0.0</v>
      </c>
      <c r="M360" s="4" t="s">
        <v>32</v>
      </c>
    </row>
    <row r="361" ht="18.0" customHeight="1">
      <c r="A361" s="4" t="s">
        <v>58</v>
      </c>
      <c r="B361" s="4">
        <v>93.0</v>
      </c>
      <c r="C361" s="4" t="s">
        <v>630</v>
      </c>
      <c r="D361" s="4" t="s">
        <v>86</v>
      </c>
      <c r="E361" s="16">
        <v>5.695889922208153E-5</v>
      </c>
      <c r="F361" s="16">
        <v>0.9999949529025116</v>
      </c>
      <c r="G361" s="16"/>
      <c r="H361" s="16">
        <v>0.0</v>
      </c>
      <c r="I361" s="16">
        <v>0.08333333333333333</v>
      </c>
      <c r="J361" s="16">
        <v>0.33333333333333337</v>
      </c>
      <c r="K361" s="4">
        <v>0.0</v>
      </c>
      <c r="M361" s="4" t="s">
        <v>32</v>
      </c>
    </row>
    <row r="362" ht="18.0" customHeight="1">
      <c r="A362" s="4" t="s">
        <v>58</v>
      </c>
      <c r="B362" s="4">
        <v>94.0</v>
      </c>
      <c r="C362" s="4" t="s">
        <v>147</v>
      </c>
      <c r="D362" s="4" t="s">
        <v>456</v>
      </c>
      <c r="E362" s="16">
        <v>0.0014921827241778374</v>
      </c>
      <c r="F362" s="16">
        <v>0.999750810668047</v>
      </c>
      <c r="G362" s="16"/>
      <c r="H362" s="16">
        <v>1.0</v>
      </c>
      <c r="I362" s="16">
        <v>0.3333333333333333</v>
      </c>
      <c r="J362" s="16">
        <v>0.19999999999999996</v>
      </c>
      <c r="K362" s="4">
        <v>0.0</v>
      </c>
      <c r="M362" s="4" t="s">
        <v>32</v>
      </c>
    </row>
    <row r="363" ht="18.0" customHeight="1">
      <c r="A363" s="4" t="s">
        <v>58</v>
      </c>
      <c r="B363" s="4">
        <v>95.0</v>
      </c>
      <c r="C363" s="4" t="s">
        <v>958</v>
      </c>
      <c r="D363" s="4" t="s">
        <v>959</v>
      </c>
      <c r="E363" s="16">
        <v>0.048403386026620865</v>
      </c>
      <c r="F363" s="16">
        <v>0.983347556553781</v>
      </c>
      <c r="G363" s="16"/>
      <c r="H363" s="16">
        <v>0.0</v>
      </c>
      <c r="I363" s="16">
        <v>0.08333333333333333</v>
      </c>
      <c r="J363" s="16">
        <v>0.33333333333333337</v>
      </c>
      <c r="K363" s="4">
        <v>0.0</v>
      </c>
      <c r="M363" s="4" t="s">
        <v>32</v>
      </c>
    </row>
    <row r="364" ht="18.0" customHeight="1">
      <c r="A364" s="4" t="s">
        <v>58</v>
      </c>
      <c r="B364" s="4">
        <v>96.0</v>
      </c>
      <c r="C364" s="4" t="s">
        <v>159</v>
      </c>
      <c r="D364" s="4" t="s">
        <v>160</v>
      </c>
      <c r="E364" s="16">
        <v>1.3566474990511779E-5</v>
      </c>
      <c r="F364" s="16">
        <v>0.999998520877341</v>
      </c>
      <c r="G364" s="16"/>
      <c r="H364" s="16">
        <v>1.0</v>
      </c>
      <c r="I364" s="16">
        <v>0.3333333333333333</v>
      </c>
      <c r="J364" s="16">
        <v>0.0</v>
      </c>
      <c r="K364" s="4">
        <v>0.0</v>
      </c>
      <c r="M364" s="4" t="s">
        <v>32</v>
      </c>
    </row>
    <row r="365" ht="18.0" customHeight="1">
      <c r="A365" s="4" t="s">
        <v>58</v>
      </c>
      <c r="B365" s="4">
        <v>97.0</v>
      </c>
      <c r="C365" s="4" t="s">
        <v>160</v>
      </c>
      <c r="D365" s="4" t="s">
        <v>851</v>
      </c>
      <c r="E365" s="16">
        <v>1.9368123957974603E-6</v>
      </c>
      <c r="F365" s="16">
        <v>0.999999968009039</v>
      </c>
      <c r="G365" s="16"/>
      <c r="H365" s="16">
        <v>0.0</v>
      </c>
      <c r="I365" s="16">
        <v>0.08333333333333333</v>
      </c>
      <c r="J365" s="16">
        <v>0.33333333333333337</v>
      </c>
      <c r="K365" s="4">
        <v>0.0</v>
      </c>
      <c r="M365" s="4" t="s">
        <v>32</v>
      </c>
    </row>
    <row r="366" ht="18.0" customHeight="1">
      <c r="A366" s="4" t="s">
        <v>58</v>
      </c>
      <c r="B366" s="4">
        <v>98.0</v>
      </c>
      <c r="C366" s="4" t="s">
        <v>591</v>
      </c>
      <c r="D366" s="4" t="s">
        <v>115</v>
      </c>
      <c r="E366" s="16">
        <v>3.2703744363971055E-4</v>
      </c>
      <c r="F366" s="16">
        <v>0.9999616173981849</v>
      </c>
      <c r="G366" s="16"/>
      <c r="H366" s="16">
        <v>1.0</v>
      </c>
      <c r="I366" s="16">
        <v>0.3958333333333333</v>
      </c>
      <c r="J366" s="16">
        <v>0.16190476190476188</v>
      </c>
      <c r="K366" s="4">
        <v>0.0</v>
      </c>
      <c r="M366" s="4" t="s">
        <v>32</v>
      </c>
    </row>
    <row r="367" ht="18.0" customHeight="1">
      <c r="A367" s="4" t="s">
        <v>58</v>
      </c>
      <c r="B367" s="4">
        <v>99.0</v>
      </c>
      <c r="C367" s="4" t="s">
        <v>326</v>
      </c>
      <c r="D367" s="4" t="s">
        <v>582</v>
      </c>
      <c r="E367" s="16">
        <v>6.629006384173408E-5</v>
      </c>
      <c r="F367" s="16">
        <v>0.9999915627688551</v>
      </c>
      <c r="G367" s="16"/>
      <c r="H367" s="16">
        <v>1.0</v>
      </c>
      <c r="I367" s="16">
        <v>0.5833333333333334</v>
      </c>
      <c r="J367" s="16">
        <v>0.28042328042328046</v>
      </c>
      <c r="K367" s="4">
        <v>0.0</v>
      </c>
      <c r="M367" s="4" t="s">
        <v>32</v>
      </c>
    </row>
    <row r="368" ht="18.0" customHeight="1">
      <c r="A368" s="4" t="s">
        <v>58</v>
      </c>
      <c r="B368" s="4">
        <v>100.0</v>
      </c>
      <c r="C368" s="4" t="s">
        <v>261</v>
      </c>
      <c r="D368" s="4" t="s">
        <v>262</v>
      </c>
      <c r="E368" s="16">
        <v>1.470419083489105E-4</v>
      </c>
      <c r="F368" s="16">
        <v>0.9999774835814605</v>
      </c>
      <c r="G368" s="16"/>
      <c r="H368" s="16">
        <v>1.0</v>
      </c>
      <c r="I368" s="16">
        <v>0.5625</v>
      </c>
      <c r="J368" s="16">
        <v>0.9090909090909091</v>
      </c>
      <c r="K368" s="4">
        <v>1.0</v>
      </c>
      <c r="L368" s="4">
        <v>0.0</v>
      </c>
      <c r="M368" s="4" t="s">
        <v>239</v>
      </c>
    </row>
    <row r="369" ht="18.0" customHeight="1">
      <c r="A369" s="4" t="s">
        <v>58</v>
      </c>
      <c r="B369" s="4">
        <v>101.0</v>
      </c>
      <c r="C369" s="4" t="s">
        <v>225</v>
      </c>
      <c r="D369" s="4" t="s">
        <v>258</v>
      </c>
      <c r="E369" s="16">
        <v>1.8000104319071397E-5</v>
      </c>
      <c r="F369" s="16">
        <v>0.999998279521833</v>
      </c>
      <c r="G369" s="16"/>
      <c r="H369" s="16">
        <v>1.0</v>
      </c>
      <c r="I369" s="16">
        <v>0.5416666666666666</v>
      </c>
      <c r="J369" s="16">
        <v>0.0</v>
      </c>
      <c r="K369" s="4">
        <v>0.0</v>
      </c>
      <c r="M369" s="4" t="s">
        <v>32</v>
      </c>
    </row>
    <row r="370" ht="18.0" customHeight="1">
      <c r="A370" s="4" t="s">
        <v>58</v>
      </c>
      <c r="B370" s="4">
        <v>102.0</v>
      </c>
      <c r="C370" s="4" t="s">
        <v>582</v>
      </c>
      <c r="D370" s="4" t="s">
        <v>649</v>
      </c>
      <c r="E370" s="16">
        <v>7.339968578889966E-5</v>
      </c>
      <c r="F370" s="16">
        <v>0.9999940116432526</v>
      </c>
      <c r="G370" s="16"/>
      <c r="H370" s="16">
        <v>0.0</v>
      </c>
      <c r="I370" s="16">
        <v>0.0</v>
      </c>
      <c r="J370" s="16">
        <v>0.0</v>
      </c>
      <c r="K370" s="4">
        <v>0.0</v>
      </c>
      <c r="M370" s="4" t="s">
        <v>32</v>
      </c>
    </row>
    <row r="371" ht="18.0" customHeight="1">
      <c r="A371" s="4" t="s">
        <v>58</v>
      </c>
      <c r="B371" s="4">
        <v>103.0</v>
      </c>
      <c r="C371" s="4" t="s">
        <v>281</v>
      </c>
      <c r="D371" s="4" t="s">
        <v>956</v>
      </c>
      <c r="E371" s="16">
        <v>0.17899788916110992</v>
      </c>
      <c r="F371" s="16">
        <v>0.9296159073710442</v>
      </c>
      <c r="G371" s="16"/>
      <c r="H371" s="16">
        <v>1.0</v>
      </c>
      <c r="I371" s="16">
        <v>0.6833333333333332</v>
      </c>
      <c r="J371" s="16">
        <v>0.40476190476190477</v>
      </c>
      <c r="K371" s="4">
        <v>0.0</v>
      </c>
      <c r="M371" s="4" t="s">
        <v>32</v>
      </c>
    </row>
    <row r="372" ht="18.0" customHeight="1">
      <c r="A372" s="4" t="s">
        <v>58</v>
      </c>
      <c r="B372" s="4">
        <v>104.0</v>
      </c>
      <c r="C372" s="4" t="s">
        <v>838</v>
      </c>
      <c r="D372" s="4" t="s">
        <v>542</v>
      </c>
      <c r="E372" s="16">
        <v>4.750535008497536E-4</v>
      </c>
      <c r="F372" s="16">
        <v>0.9999628415985171</v>
      </c>
      <c r="G372" s="16"/>
      <c r="H372" s="16">
        <v>1.0</v>
      </c>
      <c r="I372" s="16">
        <v>0.6875</v>
      </c>
      <c r="J372" s="16">
        <v>0.34</v>
      </c>
      <c r="K372" s="4">
        <v>0.0</v>
      </c>
      <c r="M372" s="4" t="s">
        <v>32</v>
      </c>
    </row>
    <row r="373" ht="18.0" customHeight="1">
      <c r="A373" s="4" t="s">
        <v>58</v>
      </c>
      <c r="B373" s="4">
        <v>105.0</v>
      </c>
      <c r="C373" s="4" t="s">
        <v>274</v>
      </c>
      <c r="D373" s="4" t="s">
        <v>275</v>
      </c>
      <c r="E373" s="16">
        <v>0.0025540771894156933</v>
      </c>
      <c r="F373" s="16">
        <v>0.9995495754701551</v>
      </c>
      <c r="G373" s="16"/>
      <c r="H373" s="16">
        <v>1.0</v>
      </c>
      <c r="I373" s="16">
        <v>0.5625</v>
      </c>
      <c r="J373" s="16">
        <v>0.6923076923076924</v>
      </c>
      <c r="K373" s="4">
        <v>1.0</v>
      </c>
      <c r="L373" s="4">
        <v>0.0</v>
      </c>
      <c r="M373" s="4" t="s">
        <v>239</v>
      </c>
    </row>
    <row r="374" ht="18.0" customHeight="1">
      <c r="A374" s="4" t="s">
        <v>58</v>
      </c>
      <c r="B374" s="4">
        <v>106.0</v>
      </c>
      <c r="C374" s="4" t="s">
        <v>542</v>
      </c>
      <c r="D374" s="4" t="s">
        <v>218</v>
      </c>
      <c r="E374" s="16">
        <v>0.32810309529304504</v>
      </c>
      <c r="F374" s="16">
        <v>0.7981740459799767</v>
      </c>
      <c r="G374" s="16"/>
      <c r="H374" s="16">
        <v>1.0</v>
      </c>
      <c r="I374" s="16">
        <v>0.75</v>
      </c>
      <c r="J374" s="16">
        <v>0.19999999999999996</v>
      </c>
      <c r="K374" s="4">
        <v>0.0</v>
      </c>
      <c r="M374" s="4" t="s">
        <v>32</v>
      </c>
    </row>
    <row r="375" ht="18.0" customHeight="1">
      <c r="A375" s="4" t="s">
        <v>58</v>
      </c>
      <c r="B375" s="4">
        <v>107.0</v>
      </c>
      <c r="C375" s="4" t="s">
        <v>86</v>
      </c>
      <c r="D375" s="4" t="s">
        <v>412</v>
      </c>
      <c r="E375" s="16">
        <v>0.05825648456811905</v>
      </c>
      <c r="F375" s="16">
        <v>0.979020856320858</v>
      </c>
      <c r="G375" s="16"/>
      <c r="H375" s="16">
        <v>1.0</v>
      </c>
      <c r="I375" s="16">
        <v>0.7916666666666666</v>
      </c>
      <c r="J375" s="16">
        <v>0.0</v>
      </c>
      <c r="K375" s="4">
        <v>0.0</v>
      </c>
      <c r="M375" s="4" t="s">
        <v>32</v>
      </c>
    </row>
    <row r="376" ht="18.0" customHeight="1">
      <c r="A376" s="4" t="s">
        <v>58</v>
      </c>
      <c r="B376" s="4">
        <v>108.0</v>
      </c>
      <c r="C376" s="4" t="s">
        <v>159</v>
      </c>
      <c r="D376" s="4" t="s">
        <v>181</v>
      </c>
      <c r="E376" s="16">
        <v>4.086240733158775E-5</v>
      </c>
      <c r="F376" s="16">
        <v>0.9999949857176489</v>
      </c>
      <c r="G376" s="16"/>
      <c r="H376" s="16">
        <v>1.0</v>
      </c>
      <c r="I376" s="16">
        <v>0.7291666666666666</v>
      </c>
      <c r="J376" s="16">
        <v>0.0</v>
      </c>
      <c r="K376" s="4">
        <v>0.0</v>
      </c>
      <c r="M376" s="4" t="s">
        <v>32</v>
      </c>
    </row>
    <row r="377" ht="18.0" customHeight="1">
      <c r="A377" s="4" t="s">
        <v>58</v>
      </c>
      <c r="B377" s="4">
        <v>109.0</v>
      </c>
      <c r="C377" s="4" t="s">
        <v>181</v>
      </c>
      <c r="D377" s="4" t="s">
        <v>270</v>
      </c>
      <c r="E377" s="16">
        <v>0.009476239793002605</v>
      </c>
      <c r="F377" s="16">
        <v>0.9976719040423632</v>
      </c>
      <c r="G377" s="16"/>
      <c r="H377" s="16">
        <v>0.0</v>
      </c>
      <c r="I377" s="16">
        <v>0.08333333333333333</v>
      </c>
      <c r="J377" s="16">
        <v>0.4</v>
      </c>
      <c r="K377" s="4">
        <v>0.0</v>
      </c>
      <c r="M377" s="4" t="s">
        <v>32</v>
      </c>
    </row>
    <row r="378" ht="18.0" customHeight="1">
      <c r="A378" s="4" t="s">
        <v>58</v>
      </c>
      <c r="B378" s="4">
        <v>110.0</v>
      </c>
      <c r="C378" s="4" t="s">
        <v>194</v>
      </c>
      <c r="D378" s="4" t="s">
        <v>169</v>
      </c>
      <c r="E378" s="16">
        <v>2.8135296815889888E-5</v>
      </c>
      <c r="F378" s="16">
        <v>0.9999975331879796</v>
      </c>
      <c r="G378" s="16"/>
      <c r="H378" s="16">
        <v>0.0</v>
      </c>
      <c r="I378" s="16">
        <v>0.041666666666666664</v>
      </c>
      <c r="J378" s="16">
        <v>0.0</v>
      </c>
      <c r="K378" s="4">
        <v>0.0</v>
      </c>
      <c r="M378" s="4" t="s">
        <v>32</v>
      </c>
    </row>
    <row r="379" ht="18.0" customHeight="1">
      <c r="A379" s="4" t="s">
        <v>58</v>
      </c>
      <c r="B379" s="4">
        <v>111.0</v>
      </c>
      <c r="C379" s="4" t="s">
        <v>630</v>
      </c>
      <c r="D379" s="4" t="s">
        <v>86</v>
      </c>
      <c r="E379" s="16">
        <v>3.948027006117627E-5</v>
      </c>
      <c r="F379" s="16">
        <v>0.9999960064403695</v>
      </c>
      <c r="G379" s="16"/>
      <c r="H379" s="16">
        <v>0.0</v>
      </c>
      <c r="I379" s="16">
        <v>0.08333333333333333</v>
      </c>
      <c r="J379" s="16">
        <v>0.0</v>
      </c>
      <c r="K379" s="4">
        <v>0.0</v>
      </c>
      <c r="M379" s="4" t="s">
        <v>32</v>
      </c>
    </row>
    <row r="380" ht="18.0" customHeight="1">
      <c r="A380" s="4" t="s">
        <v>58</v>
      </c>
      <c r="B380" s="4">
        <v>112.0</v>
      </c>
      <c r="C380" s="4" t="s">
        <v>281</v>
      </c>
      <c r="D380" s="4" t="s">
        <v>159</v>
      </c>
      <c r="E380" s="16">
        <v>6.482504977611825E-5</v>
      </c>
      <c r="F380" s="16">
        <v>0.9999949387888591</v>
      </c>
      <c r="G380" s="16"/>
      <c r="H380" s="16">
        <v>1.0</v>
      </c>
      <c r="I380" s="16">
        <v>0.625</v>
      </c>
      <c r="J380" s="16">
        <v>0.5</v>
      </c>
      <c r="K380" s="4">
        <v>1.0</v>
      </c>
      <c r="L380" s="4">
        <v>0.0</v>
      </c>
      <c r="M380" s="4" t="s">
        <v>239</v>
      </c>
    </row>
    <row r="381" ht="18.0" customHeight="1">
      <c r="A381" s="4" t="s">
        <v>58</v>
      </c>
      <c r="B381" s="4">
        <v>113.0</v>
      </c>
      <c r="C381" s="4" t="s">
        <v>542</v>
      </c>
      <c r="D381" s="4" t="s">
        <v>218</v>
      </c>
      <c r="E381" s="16">
        <v>1.549258886370808E-4</v>
      </c>
      <c r="F381" s="16">
        <v>0.9999846333180358</v>
      </c>
      <c r="G381" s="16"/>
      <c r="H381" s="16">
        <v>1.0</v>
      </c>
      <c r="I381" s="16">
        <v>0.5833333333333334</v>
      </c>
      <c r="J381" s="16">
        <v>0.19999999999999996</v>
      </c>
      <c r="K381" s="4">
        <v>0.0</v>
      </c>
      <c r="M381" s="4" t="s">
        <v>32</v>
      </c>
    </row>
    <row r="382" ht="18.0" customHeight="1">
      <c r="A382" s="4" t="s">
        <v>58</v>
      </c>
      <c r="B382" s="4">
        <v>114.0</v>
      </c>
      <c r="C382" s="4" t="s">
        <v>86</v>
      </c>
      <c r="D382" s="4" t="s">
        <v>630</v>
      </c>
      <c r="E382" s="16">
        <v>1.7581616702955216E-5</v>
      </c>
      <c r="F382" s="16">
        <v>0.9999985122516932</v>
      </c>
      <c r="G382" s="16"/>
      <c r="H382" s="16">
        <v>0.2727272727272727</v>
      </c>
      <c r="I382" s="16">
        <v>0.3333333333333333</v>
      </c>
      <c r="J382" s="16">
        <v>0.0</v>
      </c>
      <c r="K382" s="4">
        <v>0.0</v>
      </c>
      <c r="M382" s="4" t="s">
        <v>32</v>
      </c>
    </row>
    <row r="383" ht="18.0" customHeight="1">
      <c r="A383" s="4" t="s">
        <v>58</v>
      </c>
      <c r="B383" s="4">
        <v>115.0</v>
      </c>
      <c r="C383" s="4" t="s">
        <v>159</v>
      </c>
      <c r="D383" s="4" t="s">
        <v>160</v>
      </c>
      <c r="E383" s="16">
        <v>3.903686774719972E-6</v>
      </c>
      <c r="F383" s="16">
        <v>0.9999997708624093</v>
      </c>
      <c r="G383" s="16"/>
      <c r="H383" s="16">
        <v>1.0</v>
      </c>
      <c r="I383" s="16">
        <v>0.5625</v>
      </c>
      <c r="J383" s="16">
        <v>0.0</v>
      </c>
      <c r="K383" s="4">
        <v>0.0</v>
      </c>
      <c r="M383" s="4" t="s">
        <v>32</v>
      </c>
    </row>
    <row r="384" ht="18.0" customHeight="1">
      <c r="A384" s="4" t="s">
        <v>58</v>
      </c>
      <c r="B384" s="4">
        <v>116.0</v>
      </c>
      <c r="C384" s="4" t="s">
        <v>160</v>
      </c>
      <c r="D384" s="4" t="s">
        <v>270</v>
      </c>
      <c r="E384" s="16">
        <v>7.19642048352398E-5</v>
      </c>
      <c r="F384" s="16">
        <v>0.999989817801179</v>
      </c>
      <c r="G384" s="16"/>
      <c r="H384" s="16">
        <v>0.18181818181818182</v>
      </c>
      <c r="I384" s="16">
        <v>0.25</v>
      </c>
      <c r="J384" s="16">
        <v>0.5</v>
      </c>
      <c r="K384" s="4">
        <v>1.0</v>
      </c>
      <c r="L384" s="4">
        <v>0.0</v>
      </c>
      <c r="M384" s="4" t="s">
        <v>239</v>
      </c>
    </row>
    <row r="385" ht="18.0" customHeight="1">
      <c r="A385" s="4" t="s">
        <v>58</v>
      </c>
      <c r="B385" s="4">
        <v>117.0</v>
      </c>
      <c r="C385" s="4" t="s">
        <v>194</v>
      </c>
      <c r="D385" s="4" t="s">
        <v>748</v>
      </c>
      <c r="E385" s="16">
        <v>2.8840897721238434E-4</v>
      </c>
      <c r="F385" s="16">
        <v>0.9999520095061598</v>
      </c>
      <c r="G385" s="16"/>
      <c r="H385" s="16">
        <v>1.0</v>
      </c>
      <c r="I385" s="16">
        <v>0.4791666666666667</v>
      </c>
      <c r="J385" s="16">
        <v>0.34920634920634924</v>
      </c>
      <c r="K385" s="4">
        <v>0.0</v>
      </c>
      <c r="M385" s="4" t="s">
        <v>32</v>
      </c>
    </row>
    <row r="386" ht="18.0" customHeight="1">
      <c r="A386" s="4" t="s">
        <v>58</v>
      </c>
      <c r="B386" s="4">
        <v>118.0</v>
      </c>
      <c r="C386" s="4" t="s">
        <v>630</v>
      </c>
      <c r="D386" s="4" t="s">
        <v>86</v>
      </c>
      <c r="E386" s="16">
        <v>8.44987589516677E-5</v>
      </c>
      <c r="F386" s="16">
        <v>0.9999890598819547</v>
      </c>
      <c r="G386" s="16"/>
      <c r="H386" s="16">
        <v>0.18181818181818182</v>
      </c>
      <c r="I386" s="16">
        <v>0.25</v>
      </c>
      <c r="J386" s="16">
        <v>0.8</v>
      </c>
      <c r="K386" s="4">
        <v>0.0</v>
      </c>
      <c r="M386" s="4" t="s">
        <v>32</v>
      </c>
    </row>
    <row r="387" ht="18.0" customHeight="1">
      <c r="A387" s="4" t="s">
        <v>58</v>
      </c>
      <c r="B387" s="4">
        <v>119.0</v>
      </c>
      <c r="C387" s="4" t="s">
        <v>281</v>
      </c>
      <c r="D387" s="4" t="s">
        <v>159</v>
      </c>
      <c r="E387" s="16">
        <v>0.00315199326723814</v>
      </c>
      <c r="F387" s="16">
        <v>0.9995920586079592</v>
      </c>
      <c r="G387" s="16"/>
      <c r="H387" s="16">
        <v>1.0</v>
      </c>
      <c r="I387" s="16">
        <v>0.4583333333333333</v>
      </c>
      <c r="J387" s="16">
        <v>0.75</v>
      </c>
      <c r="K387" s="4">
        <v>0.0</v>
      </c>
      <c r="M387" s="4" t="s">
        <v>32</v>
      </c>
    </row>
    <row r="388" ht="18.0" customHeight="1">
      <c r="A388" s="4" t="s">
        <v>64</v>
      </c>
      <c r="B388" s="4">
        <v>2.0</v>
      </c>
      <c r="C388" s="4" t="s">
        <v>960</v>
      </c>
      <c r="D388" s="4" t="s">
        <v>961</v>
      </c>
      <c r="E388" s="16">
        <v>4.683301958721131E-4</v>
      </c>
      <c r="F388" s="16">
        <v>0.9999557191213171</v>
      </c>
      <c r="G388" s="16"/>
      <c r="H388" s="16">
        <v>0.45454545454545453</v>
      </c>
      <c r="I388" s="16">
        <v>0.3333333333333333</v>
      </c>
      <c r="J388" s="16">
        <v>0.7142857142857143</v>
      </c>
      <c r="K388" s="4">
        <v>0.0</v>
      </c>
      <c r="M388" s="4" t="s">
        <v>32</v>
      </c>
    </row>
    <row r="389" ht="18.0" customHeight="1">
      <c r="A389" s="4" t="s">
        <v>64</v>
      </c>
      <c r="B389" s="4">
        <v>3.0</v>
      </c>
      <c r="C389" s="4" t="s">
        <v>359</v>
      </c>
      <c r="D389" s="4" t="s">
        <v>155</v>
      </c>
      <c r="E389" s="16">
        <v>1.1728762183338404E-4</v>
      </c>
      <c r="F389" s="16">
        <v>0.999991172465684</v>
      </c>
      <c r="G389" s="16"/>
      <c r="H389" s="16">
        <v>0.7272727272727273</v>
      </c>
      <c r="I389" s="16">
        <v>0.4083333333333334</v>
      </c>
      <c r="J389" s="16">
        <v>0.346843853820598</v>
      </c>
      <c r="K389" s="4">
        <v>0.0</v>
      </c>
      <c r="M389" s="4" t="s">
        <v>32</v>
      </c>
    </row>
    <row r="390" ht="18.0" customHeight="1">
      <c r="A390" s="4" t="s">
        <v>64</v>
      </c>
      <c r="B390" s="4">
        <v>4.0</v>
      </c>
      <c r="C390" s="4" t="s">
        <v>151</v>
      </c>
      <c r="D390" s="4" t="s">
        <v>573</v>
      </c>
      <c r="E390" s="16">
        <v>3.5296325222589076E-4</v>
      </c>
      <c r="F390" s="16">
        <v>0.9999469453814527</v>
      </c>
      <c r="G390" s="16"/>
      <c r="H390" s="16">
        <v>1.0</v>
      </c>
      <c r="I390" s="16">
        <v>0.45416666666666666</v>
      </c>
      <c r="J390" s="16">
        <v>0.4</v>
      </c>
      <c r="K390" s="4">
        <v>0.0</v>
      </c>
      <c r="M390" s="4" t="s">
        <v>32</v>
      </c>
    </row>
    <row r="391" ht="18.0" customHeight="1">
      <c r="A391" s="4" t="s">
        <v>64</v>
      </c>
      <c r="B391" s="4">
        <v>5.0</v>
      </c>
      <c r="C391" s="4" t="s">
        <v>334</v>
      </c>
      <c r="D391" s="4" t="s">
        <v>264</v>
      </c>
      <c r="E391" s="16">
        <v>3.755809666472487E-5</v>
      </c>
      <c r="F391" s="16">
        <v>0.9999976158067341</v>
      </c>
      <c r="G391" s="16"/>
      <c r="H391" s="16">
        <v>1.0</v>
      </c>
      <c r="I391" s="16">
        <v>0.4166666666666667</v>
      </c>
      <c r="J391" s="16">
        <v>0.2647058823529411</v>
      </c>
      <c r="K391" s="4">
        <v>0.0</v>
      </c>
      <c r="M391" s="4" t="s">
        <v>32</v>
      </c>
    </row>
    <row r="392" ht="18.0" customHeight="1">
      <c r="A392" s="4" t="s">
        <v>64</v>
      </c>
      <c r="B392" s="4">
        <v>6.0</v>
      </c>
      <c r="C392" s="4" t="s">
        <v>139</v>
      </c>
      <c r="D392" s="4" t="s">
        <v>139</v>
      </c>
      <c r="E392" s="16">
        <v>0.013878602534532547</v>
      </c>
      <c r="F392" s="16">
        <v>0.9975599082536064</v>
      </c>
      <c r="G392" s="16"/>
      <c r="H392" s="16">
        <v>0.5454545454545454</v>
      </c>
      <c r="I392" s="16">
        <v>0.2916666666666667</v>
      </c>
      <c r="J392" s="16">
        <v>0.4</v>
      </c>
      <c r="K392" s="4">
        <v>0.0</v>
      </c>
      <c r="M392" s="4" t="s">
        <v>32</v>
      </c>
    </row>
    <row r="393" ht="18.0" customHeight="1">
      <c r="A393" s="4" t="s">
        <v>64</v>
      </c>
      <c r="B393" s="4">
        <v>7.0</v>
      </c>
      <c r="C393" s="4" t="s">
        <v>232</v>
      </c>
      <c r="D393" s="4" t="s">
        <v>159</v>
      </c>
      <c r="E393" s="16">
        <v>0.008678027428686619</v>
      </c>
      <c r="F393" s="16">
        <v>0.9985538641049061</v>
      </c>
      <c r="G393" s="16"/>
      <c r="H393" s="16">
        <v>1.0</v>
      </c>
      <c r="I393" s="16">
        <v>0.41250000000000003</v>
      </c>
      <c r="J393" s="16">
        <v>0.19999999999999996</v>
      </c>
      <c r="K393" s="4">
        <v>0.0</v>
      </c>
      <c r="M393" s="4" t="s">
        <v>32</v>
      </c>
    </row>
    <row r="394" ht="18.0" customHeight="1">
      <c r="A394" s="4" t="s">
        <v>64</v>
      </c>
      <c r="B394" s="4">
        <v>8.0</v>
      </c>
      <c r="C394" s="4" t="s">
        <v>314</v>
      </c>
      <c r="D394" s="4" t="s">
        <v>201</v>
      </c>
      <c r="E394" s="16">
        <v>1.5788769721984863</v>
      </c>
      <c r="F394" s="16">
        <v>0.029187828302383423</v>
      </c>
      <c r="G394" s="16"/>
      <c r="H394" s="16">
        <v>1.0</v>
      </c>
      <c r="I394" s="16">
        <v>0.4708333333333334</v>
      </c>
      <c r="J394" s="16">
        <v>0.7310924369747899</v>
      </c>
      <c r="K394" s="4">
        <v>1.0</v>
      </c>
      <c r="L394" s="4">
        <v>1.0</v>
      </c>
      <c r="M394" s="4" t="s">
        <v>486</v>
      </c>
    </row>
    <row r="395" ht="18.0" customHeight="1">
      <c r="A395" s="4" t="s">
        <v>64</v>
      </c>
      <c r="B395" s="4">
        <v>9.0</v>
      </c>
      <c r="C395" s="4" t="s">
        <v>320</v>
      </c>
      <c r="D395" s="4" t="s">
        <v>180</v>
      </c>
      <c r="E395" s="16">
        <v>1.5207865238189697</v>
      </c>
      <c r="F395" s="16">
        <v>0.12120187282562256</v>
      </c>
      <c r="G395" s="16"/>
      <c r="H395" s="16">
        <v>0.8181818181818182</v>
      </c>
      <c r="I395" s="16">
        <v>0.39166666666666666</v>
      </c>
      <c r="J395" s="16">
        <v>0.19999999999999996</v>
      </c>
      <c r="K395" s="4">
        <v>1.0</v>
      </c>
      <c r="L395" s="4">
        <v>0.0</v>
      </c>
      <c r="M395" s="4" t="s">
        <v>239</v>
      </c>
    </row>
    <row r="396" ht="18.0" customHeight="1">
      <c r="A396" s="4" t="s">
        <v>64</v>
      </c>
      <c r="B396" s="4">
        <v>10.0</v>
      </c>
      <c r="C396" s="4" t="s">
        <v>180</v>
      </c>
      <c r="D396" s="4" t="s">
        <v>151</v>
      </c>
      <c r="E396" s="16">
        <v>0.06640024483203888</v>
      </c>
      <c r="F396" s="16">
        <v>0.9754989966750145</v>
      </c>
      <c r="G396" s="16"/>
      <c r="H396" s="16">
        <v>1.0</v>
      </c>
      <c r="I396" s="16">
        <v>0.6</v>
      </c>
      <c r="J396" s="16">
        <v>0.0</v>
      </c>
      <c r="K396" s="4">
        <v>0.0</v>
      </c>
      <c r="M396" s="4" t="s">
        <v>32</v>
      </c>
    </row>
    <row r="397" ht="18.0" customHeight="1">
      <c r="A397" s="4" t="s">
        <v>64</v>
      </c>
      <c r="B397" s="4">
        <v>11.0</v>
      </c>
      <c r="C397" s="4" t="s">
        <v>962</v>
      </c>
      <c r="D397" s="4" t="s">
        <v>963</v>
      </c>
      <c r="E397" s="16">
        <v>0.47966551780700684</v>
      </c>
      <c r="F397" s="16">
        <v>0.810630738735199</v>
      </c>
      <c r="G397" s="16"/>
      <c r="H397" s="16">
        <v>1.0</v>
      </c>
      <c r="I397" s="16">
        <v>0.42500000000000004</v>
      </c>
      <c r="J397" s="16">
        <v>0.4981132075471698</v>
      </c>
      <c r="K397" s="4">
        <v>0.0</v>
      </c>
      <c r="M397" s="4" t="s">
        <v>32</v>
      </c>
    </row>
    <row r="398" ht="18.0" customHeight="1">
      <c r="A398" s="4" t="s">
        <v>64</v>
      </c>
      <c r="B398" s="4">
        <v>12.0</v>
      </c>
      <c r="C398" s="4" t="s">
        <v>359</v>
      </c>
      <c r="D398" s="4" t="s">
        <v>360</v>
      </c>
      <c r="E398" s="16">
        <v>0.8409475088119507</v>
      </c>
      <c r="F398" s="16">
        <v>0.12896433472633362</v>
      </c>
      <c r="G398" s="16"/>
      <c r="H398" s="16">
        <v>1.0</v>
      </c>
      <c r="I398" s="16">
        <v>0.47500000000000003</v>
      </c>
      <c r="J398" s="16">
        <v>0.3849056603773585</v>
      </c>
      <c r="K398" s="4">
        <v>1.0</v>
      </c>
      <c r="L398" s="4">
        <v>1.0</v>
      </c>
      <c r="M398" s="4" t="s">
        <v>486</v>
      </c>
    </row>
    <row r="399" ht="18.0" customHeight="1">
      <c r="A399" s="4" t="s">
        <v>64</v>
      </c>
      <c r="B399" s="4">
        <v>13.0</v>
      </c>
      <c r="C399" s="4" t="s">
        <v>964</v>
      </c>
      <c r="D399" s="4" t="s">
        <v>169</v>
      </c>
      <c r="E399" s="16">
        <v>0.02223367430269718</v>
      </c>
      <c r="F399" s="16">
        <v>0.9944571708329022</v>
      </c>
      <c r="G399" s="16"/>
      <c r="H399" s="16">
        <v>0.9090909090909091</v>
      </c>
      <c r="I399" s="16">
        <v>0.5166666666666667</v>
      </c>
      <c r="J399" s="16">
        <v>0.38285714285714284</v>
      </c>
      <c r="K399" s="4">
        <v>0.0</v>
      </c>
      <c r="M399" s="4" t="s">
        <v>32</v>
      </c>
    </row>
    <row r="400" ht="18.0" customHeight="1">
      <c r="A400" s="4" t="s">
        <v>64</v>
      </c>
      <c r="B400" s="4">
        <v>14.0</v>
      </c>
      <c r="C400" s="4" t="s">
        <v>965</v>
      </c>
      <c r="D400" s="4" t="s">
        <v>966</v>
      </c>
      <c r="E400" s="16">
        <v>0.05820190906524658</v>
      </c>
      <c r="F400" s="16">
        <v>0.9795334115624428</v>
      </c>
      <c r="G400" s="16"/>
      <c r="H400" s="16">
        <v>0.36363636363636365</v>
      </c>
      <c r="I400" s="16">
        <v>0.16666666666666666</v>
      </c>
      <c r="J400" s="16">
        <v>0.0</v>
      </c>
      <c r="K400" s="4">
        <v>0.0</v>
      </c>
      <c r="M400" s="4" t="s">
        <v>32</v>
      </c>
    </row>
    <row r="401" ht="18.0" customHeight="1">
      <c r="A401" s="4" t="s">
        <v>64</v>
      </c>
      <c r="B401" s="4">
        <v>15.0</v>
      </c>
      <c r="C401" s="4" t="s">
        <v>350</v>
      </c>
      <c r="D401" s="4" t="s">
        <v>351</v>
      </c>
      <c r="E401" s="16">
        <v>0.1907365918159485</v>
      </c>
      <c r="F401" s="16">
        <v>0.9109021686017513</v>
      </c>
      <c r="G401" s="16"/>
      <c r="H401" s="16">
        <v>1.0</v>
      </c>
      <c r="I401" s="16">
        <v>0.4708333333333334</v>
      </c>
      <c r="J401" s="16">
        <v>0.5238095238095238</v>
      </c>
      <c r="K401" s="4">
        <v>0.0</v>
      </c>
      <c r="M401" s="4" t="s">
        <v>32</v>
      </c>
    </row>
    <row r="402" ht="18.0" customHeight="1">
      <c r="A402" s="4" t="s">
        <v>64</v>
      </c>
      <c r="B402" s="4">
        <v>16.0</v>
      </c>
      <c r="C402" s="4" t="s">
        <v>967</v>
      </c>
      <c r="D402" s="4" t="s">
        <v>968</v>
      </c>
      <c r="E402" s="16">
        <v>8.844641270115972E-4</v>
      </c>
      <c r="F402" s="16">
        <v>0.9998683514713775</v>
      </c>
      <c r="G402" s="16"/>
      <c r="H402" s="16">
        <v>1.0</v>
      </c>
      <c r="I402" s="16">
        <v>0.4083333333333334</v>
      </c>
      <c r="J402" s="16">
        <v>0.45578231292517</v>
      </c>
      <c r="K402" s="4">
        <v>0.0</v>
      </c>
      <c r="M402" s="4" t="s">
        <v>32</v>
      </c>
    </row>
    <row r="403" ht="18.0" customHeight="1">
      <c r="A403" s="4" t="s">
        <v>64</v>
      </c>
      <c r="B403" s="4">
        <v>17.0</v>
      </c>
      <c r="C403" s="4" t="s">
        <v>232</v>
      </c>
      <c r="D403" s="4" t="s">
        <v>289</v>
      </c>
      <c r="E403" s="16">
        <v>5.329530540620908E-5</v>
      </c>
      <c r="F403" s="16">
        <v>0.9999954427871671</v>
      </c>
      <c r="G403" s="16"/>
      <c r="H403" s="16">
        <v>1.0</v>
      </c>
      <c r="I403" s="16">
        <v>0.39166666666666666</v>
      </c>
      <c r="J403" s="16">
        <v>0.0</v>
      </c>
      <c r="K403" s="4">
        <v>0.0</v>
      </c>
      <c r="M403" s="4" t="s">
        <v>32</v>
      </c>
    </row>
    <row r="404" ht="18.0" customHeight="1">
      <c r="A404" s="4" t="s">
        <v>64</v>
      </c>
      <c r="B404" s="4">
        <v>18.0</v>
      </c>
      <c r="C404" s="4" t="s">
        <v>334</v>
      </c>
      <c r="D404" s="4" t="s">
        <v>94</v>
      </c>
      <c r="E404" s="16">
        <v>1.976895691768732E-5</v>
      </c>
      <c r="F404" s="16">
        <v>0.9999985777652967</v>
      </c>
      <c r="G404" s="16"/>
      <c r="H404" s="16">
        <v>0.9090909090909091</v>
      </c>
      <c r="I404" s="16">
        <v>0.5375</v>
      </c>
      <c r="J404" s="16">
        <v>0.5972222222222222</v>
      </c>
      <c r="K404" s="4">
        <v>0.0</v>
      </c>
      <c r="M404" s="4" t="s">
        <v>32</v>
      </c>
    </row>
    <row r="405" ht="18.0" customHeight="1">
      <c r="A405" s="4" t="s">
        <v>64</v>
      </c>
      <c r="B405" s="4">
        <v>19.0</v>
      </c>
      <c r="C405" s="4" t="s">
        <v>320</v>
      </c>
      <c r="D405" s="4" t="s">
        <v>356</v>
      </c>
      <c r="E405" s="16">
        <v>4.7317309508798644E-5</v>
      </c>
      <c r="F405" s="16">
        <v>0.9999955736726633</v>
      </c>
      <c r="G405" s="16"/>
      <c r="H405" s="16">
        <v>0.0</v>
      </c>
      <c r="I405" s="16">
        <v>0.016666666666666666</v>
      </c>
      <c r="J405" s="16">
        <v>0.0</v>
      </c>
      <c r="K405" s="4">
        <v>0.0</v>
      </c>
      <c r="M405" s="4" t="s">
        <v>32</v>
      </c>
    </row>
    <row r="406" ht="18.0" customHeight="1">
      <c r="A406" s="4" t="s">
        <v>64</v>
      </c>
      <c r="B406" s="4">
        <v>20.0</v>
      </c>
      <c r="C406" s="4" t="s">
        <v>180</v>
      </c>
      <c r="D406" s="4" t="s">
        <v>969</v>
      </c>
      <c r="E406" s="16">
        <v>3.1905371997709153E-6</v>
      </c>
      <c r="F406" s="16">
        <v>0.9999996824030362</v>
      </c>
      <c r="G406" s="16"/>
      <c r="H406" s="16">
        <v>0.45454545454545453</v>
      </c>
      <c r="I406" s="16">
        <v>0.28750000000000003</v>
      </c>
      <c r="J406" s="16">
        <v>0.16666666666666663</v>
      </c>
      <c r="K406" s="4">
        <v>0.0</v>
      </c>
      <c r="M406" s="4" t="s">
        <v>32</v>
      </c>
    </row>
    <row r="407" ht="18.0" customHeight="1">
      <c r="A407" s="4" t="s">
        <v>64</v>
      </c>
      <c r="B407" s="4">
        <v>21.0</v>
      </c>
      <c r="C407" s="4" t="s">
        <v>962</v>
      </c>
      <c r="D407" s="4" t="s">
        <v>970</v>
      </c>
      <c r="E407" s="16">
        <v>1.85116077773273E-5</v>
      </c>
      <c r="F407" s="16">
        <v>0.9999985154802289</v>
      </c>
      <c r="G407" s="16"/>
      <c r="H407" s="16">
        <v>0.0</v>
      </c>
      <c r="I407" s="16">
        <v>0.041666666666666664</v>
      </c>
      <c r="J407" s="16">
        <v>0.16666666666666663</v>
      </c>
      <c r="K407" s="4">
        <v>0.0</v>
      </c>
      <c r="M407" s="4" t="s">
        <v>32</v>
      </c>
    </row>
    <row r="408" ht="18.0" customHeight="1">
      <c r="A408" s="4" t="s">
        <v>64</v>
      </c>
      <c r="B408" s="4">
        <v>22.0</v>
      </c>
      <c r="C408" s="4" t="s">
        <v>548</v>
      </c>
      <c r="D408" s="4" t="s">
        <v>360</v>
      </c>
      <c r="E408" s="16">
        <v>3.516193828545511E-5</v>
      </c>
      <c r="F408" s="16">
        <v>0.9999967320103451</v>
      </c>
      <c r="G408" s="16"/>
      <c r="H408" s="16">
        <v>1.0</v>
      </c>
      <c r="I408" s="16">
        <v>0.43333333333333335</v>
      </c>
      <c r="J408" s="16">
        <v>0.4</v>
      </c>
      <c r="K408" s="4">
        <v>0.0</v>
      </c>
      <c r="M408" s="4" t="s">
        <v>32</v>
      </c>
    </row>
    <row r="409" ht="18.0" customHeight="1">
      <c r="A409" s="4" t="s">
        <v>64</v>
      </c>
      <c r="B409" s="4">
        <v>23.0</v>
      </c>
      <c r="C409" s="4" t="s">
        <v>964</v>
      </c>
      <c r="D409" s="4" t="s">
        <v>971</v>
      </c>
      <c r="E409" s="16">
        <v>7.051738975860644E-6</v>
      </c>
      <c r="F409" s="16">
        <v>0.999999583070263</v>
      </c>
      <c r="G409" s="16"/>
      <c r="H409" s="16">
        <v>0.0</v>
      </c>
      <c r="I409" s="16">
        <v>0.041666666666666664</v>
      </c>
      <c r="J409" s="16">
        <v>0.19047619047619047</v>
      </c>
      <c r="K409" s="4">
        <v>0.0</v>
      </c>
      <c r="M409" s="4" t="s">
        <v>32</v>
      </c>
    </row>
    <row r="410" ht="18.0" customHeight="1">
      <c r="A410" s="4" t="s">
        <v>64</v>
      </c>
      <c r="B410" s="4">
        <v>24.0</v>
      </c>
      <c r="C410" s="4" t="s">
        <v>965</v>
      </c>
      <c r="D410" s="4" t="s">
        <v>972</v>
      </c>
      <c r="E410" s="16">
        <v>3.4342610160820186E-4</v>
      </c>
      <c r="F410" s="16">
        <v>0.9999492734441446</v>
      </c>
      <c r="G410" s="16"/>
      <c r="H410" s="16">
        <v>0.9090909090909091</v>
      </c>
      <c r="I410" s="16">
        <v>0.4083333333333334</v>
      </c>
      <c r="J410" s="16">
        <v>0.0</v>
      </c>
      <c r="K410" s="4">
        <v>0.0</v>
      </c>
      <c r="M410" s="4" t="s">
        <v>32</v>
      </c>
    </row>
    <row r="411" ht="18.0" customHeight="1">
      <c r="A411" s="4" t="s">
        <v>64</v>
      </c>
      <c r="B411" s="4">
        <v>25.0</v>
      </c>
      <c r="C411" s="4" t="s">
        <v>350</v>
      </c>
      <c r="D411" s="4" t="s">
        <v>351</v>
      </c>
      <c r="E411" s="16">
        <v>0.09657768160104752</v>
      </c>
      <c r="F411" s="16">
        <v>0.9610948525369167</v>
      </c>
      <c r="G411" s="16"/>
      <c r="H411" s="16">
        <v>1.0</v>
      </c>
      <c r="I411" s="16">
        <v>0.4291666666666667</v>
      </c>
      <c r="J411" s="16">
        <v>0.33333333333333337</v>
      </c>
      <c r="K411" s="4">
        <v>1.0</v>
      </c>
      <c r="L411" s="4">
        <v>0.0</v>
      </c>
      <c r="M411" s="4" t="s">
        <v>239</v>
      </c>
    </row>
    <row r="412" ht="18.0" customHeight="1">
      <c r="A412" s="4" t="s">
        <v>64</v>
      </c>
      <c r="B412" s="4">
        <v>26.0</v>
      </c>
      <c r="C412" s="4" t="s">
        <v>967</v>
      </c>
      <c r="D412" s="4" t="s">
        <v>973</v>
      </c>
      <c r="E412" s="16">
        <v>4.463546210899949E-4</v>
      </c>
      <c r="F412" s="16">
        <v>0.9999450858667842</v>
      </c>
      <c r="G412" s="16"/>
      <c r="H412" s="16">
        <v>0.0</v>
      </c>
      <c r="I412" s="16">
        <v>0.0</v>
      </c>
      <c r="J412" s="16">
        <v>0.0</v>
      </c>
      <c r="K412" s="4">
        <v>0.0</v>
      </c>
      <c r="M412" s="4" t="s">
        <v>32</v>
      </c>
    </row>
    <row r="413" ht="18.0" customHeight="1">
      <c r="A413" s="4" t="s">
        <v>64</v>
      </c>
      <c r="B413" s="4">
        <v>27.0</v>
      </c>
      <c r="C413" s="4" t="s">
        <v>289</v>
      </c>
      <c r="D413" s="4" t="s">
        <v>232</v>
      </c>
      <c r="E413" s="16">
        <v>0.6937291026115417</v>
      </c>
      <c r="F413" s="16">
        <v>0.0701741874217987</v>
      </c>
      <c r="G413" s="16"/>
      <c r="H413" s="16">
        <v>1.0</v>
      </c>
      <c r="I413" s="16">
        <v>0.45</v>
      </c>
      <c r="J413" s="16">
        <v>0.0</v>
      </c>
      <c r="K413" s="4">
        <v>1.0</v>
      </c>
      <c r="L413" s="4">
        <v>0.0</v>
      </c>
      <c r="M413" s="4" t="s">
        <v>239</v>
      </c>
    </row>
    <row r="414" ht="18.0" customHeight="1">
      <c r="A414" s="4" t="s">
        <v>64</v>
      </c>
      <c r="B414" s="4">
        <v>28.0</v>
      </c>
      <c r="C414" s="4" t="s">
        <v>232</v>
      </c>
      <c r="D414" s="4" t="s">
        <v>94</v>
      </c>
      <c r="E414" s="16">
        <v>4.9981545089394785E-6</v>
      </c>
      <c r="F414" s="16">
        <v>0.9999996660740536</v>
      </c>
      <c r="G414" s="16"/>
      <c r="H414" s="16">
        <v>1.0</v>
      </c>
      <c r="I414" s="16">
        <v>0.45</v>
      </c>
      <c r="J414" s="16">
        <v>0.0</v>
      </c>
      <c r="K414" s="4">
        <v>0.0</v>
      </c>
      <c r="M414" s="4" t="s">
        <v>32</v>
      </c>
    </row>
    <row r="415" ht="18.0" customHeight="1">
      <c r="A415" s="4" t="s">
        <v>64</v>
      </c>
      <c r="B415" s="4">
        <v>29.0</v>
      </c>
      <c r="C415" s="4" t="s">
        <v>94</v>
      </c>
      <c r="D415" s="4" t="s">
        <v>163</v>
      </c>
      <c r="E415" s="16">
        <v>2.399713994236663E-4</v>
      </c>
      <c r="F415" s="16">
        <v>0.9999726225732957</v>
      </c>
      <c r="G415" s="16"/>
      <c r="H415" s="16">
        <v>0.9090909090909091</v>
      </c>
      <c r="I415" s="16">
        <v>0.6</v>
      </c>
      <c r="J415" s="16">
        <v>0.47494553376906323</v>
      </c>
      <c r="K415" s="4">
        <v>1.0</v>
      </c>
      <c r="L415" s="4">
        <v>0.0</v>
      </c>
      <c r="M415" s="4" t="s">
        <v>239</v>
      </c>
    </row>
    <row r="416" ht="18.0" customHeight="1">
      <c r="A416" s="4" t="s">
        <v>64</v>
      </c>
      <c r="B416" s="4">
        <v>30.0</v>
      </c>
      <c r="C416" s="4" t="s">
        <v>314</v>
      </c>
      <c r="D416" s="4" t="s">
        <v>330</v>
      </c>
      <c r="E416" s="16">
        <v>2.448089071549475E-4</v>
      </c>
      <c r="F416" s="16">
        <v>0.9999694687621741</v>
      </c>
      <c r="G416" s="16"/>
      <c r="H416" s="16">
        <v>1.0</v>
      </c>
      <c r="I416" s="16">
        <v>0.5125000000000001</v>
      </c>
      <c r="J416" s="16">
        <v>1.0</v>
      </c>
      <c r="K416" s="4">
        <v>1.0</v>
      </c>
      <c r="L416" s="4">
        <v>0.0</v>
      </c>
      <c r="M416" s="4" t="s">
        <v>239</v>
      </c>
    </row>
    <row r="417" ht="18.0" customHeight="1">
      <c r="A417" s="4" t="s">
        <v>64</v>
      </c>
      <c r="B417" s="4">
        <v>31.0</v>
      </c>
      <c r="C417" s="4" t="s">
        <v>320</v>
      </c>
      <c r="D417" s="4" t="s">
        <v>143</v>
      </c>
      <c r="E417" s="16">
        <v>0.003775886259973049</v>
      </c>
      <c r="F417" s="16">
        <v>0.9993594537954777</v>
      </c>
      <c r="G417" s="16"/>
      <c r="H417" s="16">
        <v>1.0</v>
      </c>
      <c r="I417" s="16">
        <v>0.5</v>
      </c>
      <c r="J417" s="16">
        <v>0.19999999999999996</v>
      </c>
      <c r="K417" s="4">
        <v>0.0</v>
      </c>
      <c r="M417" s="4" t="s">
        <v>32</v>
      </c>
    </row>
    <row r="418" ht="18.0" customHeight="1">
      <c r="A418" s="4" t="s">
        <v>64</v>
      </c>
      <c r="B418" s="4">
        <v>32.0</v>
      </c>
      <c r="C418" s="4" t="s">
        <v>143</v>
      </c>
      <c r="D418" s="4" t="s">
        <v>327</v>
      </c>
      <c r="E418" s="16">
        <v>0.5190002918243408</v>
      </c>
      <c r="F418" s="16">
        <v>0.5855412185192108</v>
      </c>
      <c r="G418" s="16"/>
      <c r="H418" s="16">
        <v>0.18181818181818182</v>
      </c>
      <c r="I418" s="16">
        <v>0.18333333333333335</v>
      </c>
      <c r="J418" s="16">
        <v>0.45882352941176463</v>
      </c>
      <c r="K418" s="4">
        <v>1.0</v>
      </c>
      <c r="L418" s="4">
        <v>0.0</v>
      </c>
      <c r="M418" s="4" t="s">
        <v>239</v>
      </c>
    </row>
    <row r="419" ht="18.0" customHeight="1">
      <c r="A419" s="4" t="s">
        <v>64</v>
      </c>
      <c r="B419" s="4">
        <v>33.0</v>
      </c>
      <c r="C419" s="4" t="s">
        <v>334</v>
      </c>
      <c r="D419" s="4" t="s">
        <v>314</v>
      </c>
      <c r="E419" s="16">
        <v>4.1579227399779484E-5</v>
      </c>
      <c r="F419" s="16">
        <v>0.9999955893330252</v>
      </c>
      <c r="G419" s="16"/>
      <c r="H419" s="16">
        <v>1.0</v>
      </c>
      <c r="I419" s="16">
        <v>0.5166666666666667</v>
      </c>
      <c r="J419" s="16">
        <v>0.5620915032679739</v>
      </c>
      <c r="K419" s="4">
        <v>1.0</v>
      </c>
      <c r="L419" s="4">
        <v>0.0</v>
      </c>
      <c r="M419" s="4" t="s">
        <v>239</v>
      </c>
    </row>
    <row r="420" ht="18.0" customHeight="1">
      <c r="A420" s="4" t="s">
        <v>64</v>
      </c>
      <c r="B420" s="4">
        <v>34.0</v>
      </c>
      <c r="C420" s="4" t="s">
        <v>320</v>
      </c>
      <c r="D420" s="4" t="s">
        <v>356</v>
      </c>
      <c r="E420" s="16">
        <v>5.906400838284753E-5</v>
      </c>
      <c r="F420" s="16">
        <v>0.9999942187687338</v>
      </c>
      <c r="G420" s="16"/>
      <c r="H420" s="16">
        <v>0.0</v>
      </c>
      <c r="I420" s="16">
        <v>0.016666666666666666</v>
      </c>
      <c r="J420" s="16">
        <v>0.0</v>
      </c>
      <c r="K420" s="4">
        <v>1.0</v>
      </c>
      <c r="L420" s="4">
        <v>0.0</v>
      </c>
      <c r="M420" s="4" t="s">
        <v>239</v>
      </c>
    </row>
    <row r="421" ht="18.0" customHeight="1">
      <c r="A421" s="4" t="s">
        <v>64</v>
      </c>
      <c r="B421" s="4">
        <v>35.0</v>
      </c>
      <c r="C421" s="4" t="s">
        <v>225</v>
      </c>
      <c r="D421" s="4" t="s">
        <v>258</v>
      </c>
      <c r="E421" s="16">
        <v>0.0012258364586159587</v>
      </c>
      <c r="F421" s="16">
        <v>0.9997666689014295</v>
      </c>
      <c r="G421" s="16"/>
      <c r="H421" s="16">
        <v>1.0</v>
      </c>
      <c r="I421" s="16">
        <v>0.4916666666666667</v>
      </c>
      <c r="J421" s="16">
        <v>0.4</v>
      </c>
      <c r="K421" s="4">
        <v>0.0</v>
      </c>
      <c r="M421" s="4" t="s">
        <v>32</v>
      </c>
    </row>
    <row r="422" ht="18.0" customHeight="1">
      <c r="A422" s="4" t="s">
        <v>64</v>
      </c>
      <c r="B422" s="4">
        <v>36.0</v>
      </c>
      <c r="C422" s="4" t="s">
        <v>326</v>
      </c>
      <c r="D422" s="4" t="s">
        <v>811</v>
      </c>
      <c r="E422" s="16">
        <v>1.3481578207574785E-5</v>
      </c>
      <c r="F422" s="16">
        <v>0.999998885597364</v>
      </c>
      <c r="G422" s="16"/>
      <c r="H422" s="16">
        <v>0.0</v>
      </c>
      <c r="I422" s="16">
        <v>0.0</v>
      </c>
      <c r="J422" s="16">
        <v>0.0</v>
      </c>
      <c r="K422" s="4">
        <v>0.0</v>
      </c>
      <c r="M422" s="4" t="s">
        <v>32</v>
      </c>
    </row>
    <row r="423" ht="18.0" customHeight="1">
      <c r="A423" s="4" t="s">
        <v>64</v>
      </c>
      <c r="B423" s="4">
        <v>37.0</v>
      </c>
      <c r="C423" s="4" t="s">
        <v>163</v>
      </c>
      <c r="D423" s="4" t="s">
        <v>323</v>
      </c>
      <c r="E423" s="16">
        <v>1.31519382193801E-5</v>
      </c>
      <c r="F423" s="16">
        <v>0.9999990427558316</v>
      </c>
      <c r="G423" s="16"/>
      <c r="H423" s="16">
        <v>0.0</v>
      </c>
      <c r="I423" s="16">
        <v>0.08333333333333333</v>
      </c>
      <c r="J423" s="16">
        <v>0.0</v>
      </c>
      <c r="K423" s="4">
        <v>1.0</v>
      </c>
      <c r="L423" s="4">
        <v>0.0</v>
      </c>
      <c r="M423" s="4" t="s">
        <v>239</v>
      </c>
    </row>
    <row r="424" ht="18.0" customHeight="1">
      <c r="A424" s="4" t="s">
        <v>64</v>
      </c>
      <c r="B424" s="4">
        <v>38.0</v>
      </c>
      <c r="C424" s="4" t="s">
        <v>974</v>
      </c>
      <c r="D424" s="4" t="s">
        <v>122</v>
      </c>
      <c r="E424" s="16">
        <v>6.56234915368259E-4</v>
      </c>
      <c r="F424" s="16">
        <v>0.9999251248900691</v>
      </c>
      <c r="G424" s="16"/>
      <c r="H424" s="16">
        <v>1.0</v>
      </c>
      <c r="I424" s="16">
        <v>0.45</v>
      </c>
      <c r="J424" s="16">
        <v>0.19117647058823528</v>
      </c>
      <c r="K424" s="4">
        <v>0.0</v>
      </c>
      <c r="M424" s="4" t="s">
        <v>32</v>
      </c>
    </row>
    <row r="425" ht="18.0" customHeight="1">
      <c r="A425" s="4" t="s">
        <v>64</v>
      </c>
      <c r="B425" s="4">
        <v>39.0</v>
      </c>
      <c r="C425" s="4" t="s">
        <v>122</v>
      </c>
      <c r="D425" s="4" t="s">
        <v>123</v>
      </c>
      <c r="E425" s="16">
        <v>0.09062390774488449</v>
      </c>
      <c r="F425" s="16">
        <v>0.9644187819212675</v>
      </c>
      <c r="G425" s="16"/>
      <c r="H425" s="16">
        <v>0.09090909090909091</v>
      </c>
      <c r="I425" s="16">
        <v>0.08333333333333333</v>
      </c>
      <c r="J425" s="16">
        <v>0.5</v>
      </c>
      <c r="K425" s="4">
        <v>0.0</v>
      </c>
      <c r="M425" s="4" t="s">
        <v>32</v>
      </c>
    </row>
    <row r="426" ht="18.0" customHeight="1">
      <c r="A426" s="4" t="s">
        <v>64</v>
      </c>
      <c r="B426" s="4">
        <v>40.0</v>
      </c>
      <c r="C426" s="4" t="s">
        <v>232</v>
      </c>
      <c r="D426" s="4" t="s">
        <v>262</v>
      </c>
      <c r="E426" s="16">
        <v>3.0670975684188306E-4</v>
      </c>
      <c r="F426" s="16">
        <v>0.9999541516663157</v>
      </c>
      <c r="G426" s="16"/>
      <c r="H426" s="16">
        <v>1.0</v>
      </c>
      <c r="I426" s="16">
        <v>0.4708333333333334</v>
      </c>
      <c r="J426" s="16">
        <v>0.25</v>
      </c>
      <c r="K426" s="4">
        <v>0.0</v>
      </c>
      <c r="M426" s="4" t="s">
        <v>32</v>
      </c>
    </row>
    <row r="427" ht="18.0" customHeight="1">
      <c r="A427" s="4" t="s">
        <v>64</v>
      </c>
      <c r="B427" s="4">
        <v>41.0</v>
      </c>
      <c r="C427" s="4" t="s">
        <v>262</v>
      </c>
      <c r="D427" s="4" t="s">
        <v>261</v>
      </c>
      <c r="E427" s="16">
        <v>0.10755733400583267</v>
      </c>
      <c r="F427" s="16">
        <v>0.9688232429325581</v>
      </c>
      <c r="G427" s="16"/>
      <c r="H427" s="16">
        <v>1.0</v>
      </c>
      <c r="I427" s="16">
        <v>0.4916666666666667</v>
      </c>
      <c r="J427" s="16">
        <v>0.6</v>
      </c>
      <c r="K427" s="4">
        <v>1.0</v>
      </c>
      <c r="L427" s="4">
        <v>0.0</v>
      </c>
      <c r="M427" s="4" t="s">
        <v>239</v>
      </c>
    </row>
    <row r="428" ht="18.0" customHeight="1">
      <c r="A428" s="4" t="s">
        <v>64</v>
      </c>
      <c r="B428" s="4">
        <v>42.0</v>
      </c>
      <c r="C428" s="4" t="s">
        <v>314</v>
      </c>
      <c r="D428" s="4" t="s">
        <v>330</v>
      </c>
      <c r="E428" s="16">
        <v>0.0013969469582661986</v>
      </c>
      <c r="F428" s="16">
        <v>0.9997555649897549</v>
      </c>
      <c r="G428" s="16"/>
      <c r="H428" s="16">
        <v>1.0</v>
      </c>
      <c r="I428" s="16">
        <v>0.5125000000000001</v>
      </c>
      <c r="J428" s="16">
        <v>1.0</v>
      </c>
      <c r="K428" s="4">
        <v>1.0</v>
      </c>
      <c r="L428" s="4">
        <v>0.0</v>
      </c>
      <c r="M428" s="4" t="s">
        <v>239</v>
      </c>
    </row>
    <row r="429" ht="18.0" customHeight="1">
      <c r="A429" s="4" t="s">
        <v>64</v>
      </c>
      <c r="B429" s="4">
        <v>43.0</v>
      </c>
      <c r="C429" s="4" t="s">
        <v>320</v>
      </c>
      <c r="D429" s="4" t="s">
        <v>356</v>
      </c>
      <c r="E429" s="16">
        <v>2.536781830713153E-4</v>
      </c>
      <c r="F429" s="16">
        <v>0.9999689690466766</v>
      </c>
      <c r="G429" s="16"/>
      <c r="H429" s="16">
        <v>0.0</v>
      </c>
      <c r="I429" s="16">
        <v>0.016666666666666666</v>
      </c>
      <c r="J429" s="16">
        <v>0.0</v>
      </c>
      <c r="K429" s="4">
        <v>0.0</v>
      </c>
      <c r="M429" s="4" t="s">
        <v>32</v>
      </c>
    </row>
    <row r="430" ht="18.0" customHeight="1">
      <c r="A430" s="4" t="s">
        <v>64</v>
      </c>
      <c r="B430" s="4">
        <v>44.0</v>
      </c>
      <c r="C430" s="4" t="s">
        <v>327</v>
      </c>
      <c r="D430" s="4" t="s">
        <v>237</v>
      </c>
      <c r="E430" s="16">
        <v>0.004616278689354658</v>
      </c>
      <c r="F430" s="16">
        <v>0.9989595811930485</v>
      </c>
      <c r="G430" s="16"/>
      <c r="H430" s="16">
        <v>0.09090909090909091</v>
      </c>
      <c r="I430" s="16">
        <v>0.09999999999999999</v>
      </c>
      <c r="J430" s="16">
        <v>0.5</v>
      </c>
      <c r="K430" s="4">
        <v>0.0</v>
      </c>
      <c r="M430" s="4" t="s">
        <v>32</v>
      </c>
    </row>
    <row r="431" ht="18.0" customHeight="1">
      <c r="A431" s="4" t="s">
        <v>64</v>
      </c>
      <c r="B431" s="4">
        <v>45.0</v>
      </c>
      <c r="C431" s="4" t="s">
        <v>334</v>
      </c>
      <c r="D431" s="4" t="s">
        <v>975</v>
      </c>
      <c r="E431" s="16">
        <v>2.058705831586849E-5</v>
      </c>
      <c r="F431" s="16">
        <v>0.9999985160133349</v>
      </c>
      <c r="G431" s="16"/>
      <c r="H431" s="16">
        <v>0.0</v>
      </c>
      <c r="I431" s="16">
        <v>0.041666666666666664</v>
      </c>
      <c r="J431" s="16">
        <v>0.33333333333333337</v>
      </c>
      <c r="K431" s="4">
        <v>0.0</v>
      </c>
      <c r="M431" s="4" t="s">
        <v>32</v>
      </c>
    </row>
    <row r="432" ht="18.0" customHeight="1">
      <c r="A432" s="4" t="s">
        <v>64</v>
      </c>
      <c r="B432" s="4">
        <v>46.0</v>
      </c>
      <c r="C432" s="4" t="s">
        <v>320</v>
      </c>
      <c r="D432" s="4" t="s">
        <v>356</v>
      </c>
      <c r="E432" s="16">
        <v>2.172530730604194E-5</v>
      </c>
      <c r="F432" s="16">
        <v>0.9999981764083259</v>
      </c>
      <c r="G432" s="16"/>
      <c r="H432" s="16">
        <v>0.0</v>
      </c>
      <c r="I432" s="16">
        <v>0.016666666666666666</v>
      </c>
      <c r="J432" s="16">
        <v>0.0</v>
      </c>
      <c r="K432" s="4">
        <v>0.0</v>
      </c>
      <c r="M432" s="4" t="s">
        <v>32</v>
      </c>
    </row>
    <row r="433" ht="18.0" customHeight="1">
      <c r="A433" s="4" t="s">
        <v>64</v>
      </c>
      <c r="B433" s="4">
        <v>47.0</v>
      </c>
      <c r="C433" s="4" t="s">
        <v>225</v>
      </c>
      <c r="D433" s="4" t="s">
        <v>225</v>
      </c>
      <c r="E433" s="16">
        <v>6.425674655474722E-5</v>
      </c>
      <c r="F433" s="16">
        <v>0.9999940946267998</v>
      </c>
      <c r="G433" s="16"/>
      <c r="H433" s="16">
        <v>0.18181818181818182</v>
      </c>
      <c r="I433" s="16">
        <v>0.0</v>
      </c>
      <c r="J433" s="16">
        <v>0.0</v>
      </c>
      <c r="K433" s="4">
        <v>0.0</v>
      </c>
      <c r="M433" s="4" t="s">
        <v>32</v>
      </c>
    </row>
    <row r="434" ht="18.0" customHeight="1">
      <c r="A434" s="4" t="s">
        <v>17</v>
      </c>
      <c r="B434" s="4">
        <v>2.0</v>
      </c>
      <c r="C434" s="4" t="s">
        <v>384</v>
      </c>
      <c r="D434" s="4" t="s">
        <v>385</v>
      </c>
      <c r="E434" s="16">
        <v>3.408280463190749E-5</v>
      </c>
      <c r="F434" s="16">
        <v>0.999997141914946</v>
      </c>
      <c r="G434" s="16"/>
      <c r="H434" s="16">
        <v>0.6363636363636364</v>
      </c>
      <c r="I434" s="16">
        <v>0.28750000000000003</v>
      </c>
      <c r="J434" s="16">
        <v>0.6904109589041096</v>
      </c>
      <c r="K434" s="4">
        <v>1.0</v>
      </c>
      <c r="L434" s="4">
        <v>0.0</v>
      </c>
      <c r="M434" s="4" t="s">
        <v>239</v>
      </c>
    </row>
    <row r="435" ht="18.0" customHeight="1">
      <c r="A435" s="4" t="s">
        <v>17</v>
      </c>
      <c r="B435" s="4">
        <v>3.0</v>
      </c>
      <c r="C435" s="4" t="s">
        <v>380</v>
      </c>
      <c r="D435" s="4" t="s">
        <v>381</v>
      </c>
      <c r="E435" s="16">
        <v>1.1155202082591131E-4</v>
      </c>
      <c r="F435" s="16">
        <v>0.9999909735762458</v>
      </c>
      <c r="G435" s="16"/>
      <c r="H435" s="16">
        <v>0.7272727272727273</v>
      </c>
      <c r="I435" s="16">
        <v>0.3541666666666667</v>
      </c>
      <c r="J435" s="16">
        <v>0.6300000000000001</v>
      </c>
      <c r="K435" s="4">
        <v>1.0</v>
      </c>
      <c r="L435" s="4">
        <v>0.0</v>
      </c>
      <c r="M435" s="4" t="s">
        <v>239</v>
      </c>
    </row>
    <row r="436" ht="18.0" customHeight="1">
      <c r="A436" s="4" t="s">
        <v>17</v>
      </c>
      <c r="B436" s="4">
        <v>4.0</v>
      </c>
      <c r="C436" s="4" t="s">
        <v>139</v>
      </c>
      <c r="D436" s="4" t="s">
        <v>140</v>
      </c>
      <c r="E436" s="16">
        <v>0.0315447635948658</v>
      </c>
      <c r="F436" s="16">
        <v>0.9908968075178564</v>
      </c>
      <c r="G436" s="16"/>
      <c r="H436" s="16">
        <v>1.0</v>
      </c>
      <c r="I436" s="16">
        <v>0.4583333333333333</v>
      </c>
      <c r="J436" s="16">
        <v>0.1428571428571429</v>
      </c>
      <c r="K436" s="4">
        <v>1.0</v>
      </c>
      <c r="L436" s="4">
        <v>0.0</v>
      </c>
      <c r="M436" s="4" t="s">
        <v>239</v>
      </c>
    </row>
    <row r="437" ht="18.0" customHeight="1">
      <c r="A437" s="4" t="s">
        <v>17</v>
      </c>
      <c r="B437" s="4">
        <v>5.0</v>
      </c>
      <c r="C437" s="4" t="s">
        <v>232</v>
      </c>
      <c r="D437" s="4" t="s">
        <v>159</v>
      </c>
      <c r="E437" s="16">
        <v>0.00435814680531621</v>
      </c>
      <c r="F437" s="16">
        <v>0.9992883605882525</v>
      </c>
      <c r="G437" s="16"/>
      <c r="H437" s="16">
        <v>0.0</v>
      </c>
      <c r="I437" s="16">
        <v>0.0</v>
      </c>
      <c r="J437" s="16">
        <v>0.0</v>
      </c>
      <c r="K437" s="4">
        <v>1.0</v>
      </c>
      <c r="L437" s="4">
        <v>0.0</v>
      </c>
      <c r="M437" s="4" t="s">
        <v>239</v>
      </c>
    </row>
    <row r="438" ht="18.0" customHeight="1">
      <c r="A438" s="4" t="s">
        <v>17</v>
      </c>
      <c r="B438" s="4">
        <v>6.0</v>
      </c>
      <c r="C438" s="4" t="s">
        <v>163</v>
      </c>
      <c r="D438" s="4" t="s">
        <v>281</v>
      </c>
      <c r="E438" s="16">
        <v>1.3612921237945557</v>
      </c>
      <c r="F438" s="16">
        <v>0.3769308775663376</v>
      </c>
      <c r="G438" s="16"/>
      <c r="H438" s="16">
        <v>1.0</v>
      </c>
      <c r="I438" s="16">
        <v>0.6041666666666666</v>
      </c>
      <c r="J438" s="16">
        <v>0.8383838383838383</v>
      </c>
      <c r="K438" s="4">
        <v>1.0</v>
      </c>
      <c r="L438" s="4">
        <v>1.0</v>
      </c>
      <c r="M438" s="4" t="s">
        <v>486</v>
      </c>
    </row>
    <row r="439" ht="18.0" customHeight="1">
      <c r="A439" s="4" t="s">
        <v>17</v>
      </c>
      <c r="B439" s="4">
        <v>7.0</v>
      </c>
      <c r="C439" s="4" t="s">
        <v>388</v>
      </c>
      <c r="D439" s="4" t="s">
        <v>381</v>
      </c>
      <c r="E439" s="16">
        <v>1.594233751296997</v>
      </c>
      <c r="F439" s="16">
        <v>0.14157423377037048</v>
      </c>
      <c r="G439" s="16"/>
      <c r="H439" s="16">
        <v>1.0</v>
      </c>
      <c r="I439" s="16">
        <v>0.4791666666666667</v>
      </c>
      <c r="J439" s="16">
        <v>0.5123152709359605</v>
      </c>
      <c r="K439" s="4">
        <v>1.0</v>
      </c>
      <c r="L439" s="4">
        <v>1.0</v>
      </c>
      <c r="M439" s="4" t="s">
        <v>486</v>
      </c>
    </row>
    <row r="440" ht="18.0" customHeight="1">
      <c r="A440" s="4" t="s">
        <v>17</v>
      </c>
      <c r="B440" s="4">
        <v>8.0</v>
      </c>
      <c r="C440" s="4" t="s">
        <v>369</v>
      </c>
      <c r="D440" s="4" t="s">
        <v>370</v>
      </c>
      <c r="E440" s="16">
        <v>5.044277058914304E-4</v>
      </c>
      <c r="F440" s="16">
        <v>0.9999340550712077</v>
      </c>
      <c r="G440" s="16"/>
      <c r="H440" s="16">
        <v>1.0</v>
      </c>
      <c r="I440" s="16">
        <v>0.45416666666666666</v>
      </c>
      <c r="J440" s="16">
        <v>0.75</v>
      </c>
      <c r="K440" s="4">
        <v>1.0</v>
      </c>
      <c r="L440" s="4">
        <v>0.0</v>
      </c>
      <c r="M440" s="4" t="s">
        <v>239</v>
      </c>
    </row>
    <row r="441" ht="18.0" customHeight="1">
      <c r="A441" s="4" t="s">
        <v>17</v>
      </c>
      <c r="B441" s="4">
        <v>9.0</v>
      </c>
      <c r="C441" s="4" t="s">
        <v>375</v>
      </c>
      <c r="D441" s="4" t="s">
        <v>376</v>
      </c>
      <c r="E441" s="16">
        <v>6.35396281722933E-5</v>
      </c>
      <c r="F441" s="16">
        <v>0.9999917434115559</v>
      </c>
      <c r="G441" s="16"/>
      <c r="H441" s="16">
        <v>0.0</v>
      </c>
      <c r="I441" s="16">
        <v>0.016666666666666666</v>
      </c>
      <c r="J441" s="16">
        <v>0.0</v>
      </c>
      <c r="K441" s="4">
        <v>1.0</v>
      </c>
      <c r="L441" s="4">
        <v>0.0</v>
      </c>
      <c r="M441" s="4" t="s">
        <v>239</v>
      </c>
    </row>
    <row r="442" ht="18.0" customHeight="1">
      <c r="A442" s="4" t="s">
        <v>52</v>
      </c>
      <c r="B442" s="4">
        <v>2.0</v>
      </c>
      <c r="C442" s="4" t="s">
        <v>122</v>
      </c>
      <c r="D442" s="4" t="s">
        <v>220</v>
      </c>
      <c r="E442" s="16">
        <v>0.0016054859152063727</v>
      </c>
      <c r="F442" s="16">
        <v>0.9997290928367875</v>
      </c>
      <c r="G442" s="16"/>
      <c r="H442" s="16">
        <v>1.0</v>
      </c>
      <c r="I442" s="16">
        <v>0.4791666666666667</v>
      </c>
      <c r="J442" s="16">
        <v>0.07692307692307693</v>
      </c>
      <c r="K442" s="4">
        <v>1.0</v>
      </c>
      <c r="L442" s="4">
        <v>0.0</v>
      </c>
      <c r="M442" s="4" t="s">
        <v>239</v>
      </c>
    </row>
    <row r="443" ht="18.0" customHeight="1">
      <c r="A443" s="4" t="s">
        <v>52</v>
      </c>
      <c r="B443" s="4">
        <v>3.0</v>
      </c>
      <c r="C443" s="4" t="s">
        <v>445</v>
      </c>
      <c r="D443" s="4" t="s">
        <v>231</v>
      </c>
      <c r="E443" s="16">
        <v>0.6930997371673584</v>
      </c>
      <c r="F443" s="16">
        <v>0.07794487476348877</v>
      </c>
      <c r="G443" s="16"/>
      <c r="H443" s="16">
        <v>0.9090909090909091</v>
      </c>
      <c r="I443" s="16">
        <v>0.36250000000000004</v>
      </c>
      <c r="J443" s="16">
        <v>0.5</v>
      </c>
      <c r="K443" s="4">
        <v>1.0</v>
      </c>
      <c r="L443" s="4">
        <v>1.0</v>
      </c>
      <c r="M443" s="4" t="s">
        <v>486</v>
      </c>
    </row>
    <row r="444" ht="18.0" customHeight="1">
      <c r="A444" s="4" t="s">
        <v>52</v>
      </c>
      <c r="B444" s="4">
        <v>4.0</v>
      </c>
      <c r="C444" s="4" t="s">
        <v>406</v>
      </c>
      <c r="D444" s="4" t="s">
        <v>132</v>
      </c>
      <c r="E444" s="16">
        <v>0.016104577109217644</v>
      </c>
      <c r="F444" s="16">
        <v>0.9955416086595505</v>
      </c>
      <c r="G444" s="16"/>
      <c r="H444" s="16">
        <v>0.09090909090909091</v>
      </c>
      <c r="I444" s="16">
        <v>0.03333333333333333</v>
      </c>
      <c r="J444" s="16">
        <v>0.0</v>
      </c>
      <c r="K444" s="4">
        <v>0.0</v>
      </c>
      <c r="M444" s="4" t="s">
        <v>32</v>
      </c>
    </row>
    <row r="445" ht="18.0" customHeight="1">
      <c r="A445" s="4" t="s">
        <v>52</v>
      </c>
      <c r="B445" s="4">
        <v>5.0</v>
      </c>
      <c r="C445" s="4" t="s">
        <v>220</v>
      </c>
      <c r="D445" s="4" t="s">
        <v>220</v>
      </c>
      <c r="E445" s="16">
        <v>0.01908029429614544</v>
      </c>
      <c r="F445" s="16">
        <v>0.9965075702639297</v>
      </c>
      <c r="G445" s="16"/>
      <c r="H445" s="16">
        <v>0.09090909090909091</v>
      </c>
      <c r="I445" s="16">
        <v>0.0</v>
      </c>
      <c r="J445" s="16">
        <v>0.0</v>
      </c>
      <c r="K445" s="4">
        <v>0.0</v>
      </c>
      <c r="M445" s="4" t="s">
        <v>32</v>
      </c>
    </row>
    <row r="446" ht="18.0" customHeight="1">
      <c r="A446" s="4" t="s">
        <v>52</v>
      </c>
      <c r="B446" s="4">
        <v>6.0</v>
      </c>
      <c r="C446" s="4" t="s">
        <v>231</v>
      </c>
      <c r="D446" s="4" t="s">
        <v>201</v>
      </c>
      <c r="E446" s="16">
        <v>3.2945608836598694E-4</v>
      </c>
      <c r="F446" s="16">
        <v>0.9999715011440458</v>
      </c>
      <c r="G446" s="16"/>
      <c r="H446" s="16">
        <v>0.09090909090909091</v>
      </c>
      <c r="I446" s="16">
        <v>0.08333333333333333</v>
      </c>
      <c r="J446" s="16">
        <v>0.0</v>
      </c>
      <c r="K446" s="4">
        <v>0.0</v>
      </c>
      <c r="M446" s="4" t="s">
        <v>32</v>
      </c>
    </row>
    <row r="447" ht="18.0" customHeight="1">
      <c r="A447" s="4" t="s">
        <v>52</v>
      </c>
      <c r="B447" s="4">
        <v>7.0</v>
      </c>
      <c r="C447" s="4" t="s">
        <v>976</v>
      </c>
      <c r="D447" s="4" t="s">
        <v>83</v>
      </c>
      <c r="E447" s="16">
        <v>3.2047188142314553E-4</v>
      </c>
      <c r="F447" s="16">
        <v>0.9999626190592608</v>
      </c>
      <c r="G447" s="16"/>
      <c r="H447" s="16">
        <v>1.0</v>
      </c>
      <c r="I447" s="16">
        <v>0.4916666666666667</v>
      </c>
      <c r="J447" s="16">
        <v>0.5</v>
      </c>
      <c r="K447" s="4">
        <v>0.0</v>
      </c>
      <c r="M447" s="4" t="s">
        <v>32</v>
      </c>
    </row>
    <row r="448" ht="18.0" customHeight="1">
      <c r="A448" s="4" t="s">
        <v>52</v>
      </c>
      <c r="B448" s="4">
        <v>8.0</v>
      </c>
      <c r="C448" s="4" t="s">
        <v>977</v>
      </c>
      <c r="D448" s="4" t="s">
        <v>978</v>
      </c>
      <c r="E448" s="16">
        <v>8.802277989161666E-6</v>
      </c>
      <c r="F448" s="16">
        <v>0.9999994206983942</v>
      </c>
      <c r="G448" s="16"/>
      <c r="H448" s="16">
        <v>0.0</v>
      </c>
      <c r="I448" s="16">
        <v>0.041666666666666664</v>
      </c>
      <c r="J448" s="16">
        <v>0.6</v>
      </c>
      <c r="K448" s="4">
        <v>0.0</v>
      </c>
      <c r="M448" s="4" t="s">
        <v>32</v>
      </c>
    </row>
    <row r="449" ht="18.0" customHeight="1">
      <c r="A449" s="4" t="s">
        <v>52</v>
      </c>
      <c r="B449" s="4">
        <v>9.0</v>
      </c>
      <c r="C449" s="4" t="s">
        <v>979</v>
      </c>
      <c r="D449" s="4" t="s">
        <v>980</v>
      </c>
      <c r="E449" s="16">
        <v>3.963311974075623E-5</v>
      </c>
      <c r="F449" s="16">
        <v>0.999996244857698</v>
      </c>
      <c r="G449" s="16"/>
      <c r="H449" s="16">
        <v>0.0</v>
      </c>
      <c r="I449" s="16">
        <v>0.016666666666666666</v>
      </c>
      <c r="J449" s="16">
        <v>0.4</v>
      </c>
      <c r="K449" s="4">
        <v>0.0</v>
      </c>
      <c r="M449" s="4" t="s">
        <v>32</v>
      </c>
    </row>
    <row r="450" ht="18.0" customHeight="1">
      <c r="A450" s="4" t="s">
        <v>52</v>
      </c>
      <c r="B450" s="4">
        <v>10.0</v>
      </c>
      <c r="C450" s="4" t="s">
        <v>981</v>
      </c>
      <c r="D450" s="4" t="s">
        <v>982</v>
      </c>
      <c r="E450" s="16">
        <v>1.3663701247423887E-4</v>
      </c>
      <c r="F450" s="16">
        <v>0.9999888496490712</v>
      </c>
      <c r="G450" s="16"/>
      <c r="H450" s="16">
        <v>1.0</v>
      </c>
      <c r="I450" s="16">
        <v>0.5</v>
      </c>
      <c r="J450" s="16">
        <v>0.0</v>
      </c>
      <c r="K450" s="4">
        <v>0.0</v>
      </c>
      <c r="M450" s="4" t="s">
        <v>32</v>
      </c>
    </row>
    <row r="451" ht="18.0" customHeight="1">
      <c r="A451" s="4" t="s">
        <v>52</v>
      </c>
      <c r="B451" s="4">
        <v>11.0</v>
      </c>
      <c r="C451" s="4" t="s">
        <v>977</v>
      </c>
      <c r="D451" s="4" t="s">
        <v>978</v>
      </c>
      <c r="E451" s="16">
        <v>2.729513835220132E-5</v>
      </c>
      <c r="F451" s="16">
        <v>0.9999980870119316</v>
      </c>
      <c r="G451" s="16"/>
      <c r="H451" s="16">
        <v>0.0</v>
      </c>
      <c r="I451" s="16">
        <v>0.041666666666666664</v>
      </c>
      <c r="J451" s="16">
        <v>0.0</v>
      </c>
      <c r="K451" s="4">
        <v>0.0</v>
      </c>
      <c r="M451" s="4" t="s">
        <v>32</v>
      </c>
    </row>
    <row r="452" ht="18.0" customHeight="1">
      <c r="A452" s="4" t="s">
        <v>52</v>
      </c>
      <c r="B452" s="4">
        <v>12.0</v>
      </c>
      <c r="C452" s="4" t="s">
        <v>139</v>
      </c>
      <c r="D452" s="4" t="s">
        <v>225</v>
      </c>
      <c r="E452" s="16">
        <v>0.002236835425719619</v>
      </c>
      <c r="F452" s="16">
        <v>0.9997217327181716</v>
      </c>
      <c r="G452" s="16"/>
      <c r="H452" s="16">
        <v>0.9090909090909091</v>
      </c>
      <c r="I452" s="16">
        <v>0.47500000000000003</v>
      </c>
      <c r="J452" s="16">
        <v>0.867109634551495</v>
      </c>
      <c r="K452" s="4">
        <v>0.0</v>
      </c>
      <c r="M452" s="4" t="s">
        <v>32</v>
      </c>
    </row>
    <row r="453" ht="18.0" customHeight="1">
      <c r="A453" s="4" t="s">
        <v>52</v>
      </c>
      <c r="B453" s="4">
        <v>13.0</v>
      </c>
      <c r="C453" s="4" t="s">
        <v>232</v>
      </c>
      <c r="D453" s="4" t="s">
        <v>159</v>
      </c>
      <c r="E453" s="16">
        <v>0.0014728994574397802</v>
      </c>
      <c r="F453" s="16">
        <v>0.9998169101345411</v>
      </c>
      <c r="G453" s="16"/>
      <c r="H453" s="16">
        <v>0.0</v>
      </c>
      <c r="I453" s="16">
        <v>0.0</v>
      </c>
      <c r="J453" s="16">
        <v>0.0</v>
      </c>
      <c r="K453" s="4">
        <v>0.0</v>
      </c>
      <c r="M453" s="4" t="s">
        <v>32</v>
      </c>
    </row>
    <row r="454" ht="18.0" customHeight="1">
      <c r="A454" s="4" t="s">
        <v>52</v>
      </c>
      <c r="B454" s="4">
        <v>14.0</v>
      </c>
      <c r="C454" s="4" t="s">
        <v>441</v>
      </c>
      <c r="D454" s="4" t="s">
        <v>94</v>
      </c>
      <c r="E454" s="16">
        <v>0.4230102300643921</v>
      </c>
      <c r="F454" s="16">
        <v>0.8782976008951664</v>
      </c>
      <c r="G454" s="16"/>
      <c r="H454" s="16">
        <v>1.0</v>
      </c>
      <c r="I454" s="16">
        <v>0.6</v>
      </c>
      <c r="J454" s="16">
        <v>0.9553571428571429</v>
      </c>
      <c r="K454" s="4">
        <v>1.0</v>
      </c>
      <c r="L454" s="4">
        <v>1.0</v>
      </c>
      <c r="M454" s="4" t="s">
        <v>486</v>
      </c>
    </row>
    <row r="455" ht="18.0" customHeight="1">
      <c r="A455" s="4" t="s">
        <v>52</v>
      </c>
      <c r="B455" s="4">
        <v>15.0</v>
      </c>
      <c r="C455" s="4" t="s">
        <v>180</v>
      </c>
      <c r="D455" s="4" t="s">
        <v>405</v>
      </c>
      <c r="E455" s="16">
        <v>2.0291213877499104E-4</v>
      </c>
      <c r="F455" s="16">
        <v>0.9999820672387614</v>
      </c>
      <c r="G455" s="16"/>
      <c r="H455" s="16">
        <v>1.0</v>
      </c>
      <c r="I455" s="16">
        <v>0.625</v>
      </c>
      <c r="J455" s="16">
        <v>0.33333333333333337</v>
      </c>
      <c r="K455" s="4">
        <v>0.0</v>
      </c>
      <c r="M455" s="4" t="s">
        <v>32</v>
      </c>
    </row>
    <row r="456" ht="18.0" customHeight="1">
      <c r="A456" s="4" t="s">
        <v>52</v>
      </c>
      <c r="B456" s="4">
        <v>16.0</v>
      </c>
      <c r="C456" s="4" t="s">
        <v>405</v>
      </c>
      <c r="D456" s="4" t="s">
        <v>406</v>
      </c>
      <c r="E456" s="16">
        <v>0.3036271035671234</v>
      </c>
      <c r="F456" s="16">
        <v>0.8220731317996979</v>
      </c>
      <c r="G456" s="16"/>
      <c r="H456" s="16">
        <v>1.0</v>
      </c>
      <c r="I456" s="16">
        <v>0.5583333333333333</v>
      </c>
      <c r="J456" s="16">
        <v>0.4562554680664917</v>
      </c>
      <c r="K456" s="4">
        <v>1.0</v>
      </c>
      <c r="L456" s="4">
        <v>0.0</v>
      </c>
      <c r="M456" s="4" t="s">
        <v>239</v>
      </c>
    </row>
    <row r="457" ht="18.0" customHeight="1">
      <c r="A457" s="4" t="s">
        <v>52</v>
      </c>
      <c r="B457" s="4">
        <v>17.0</v>
      </c>
      <c r="C457" s="4" t="s">
        <v>983</v>
      </c>
      <c r="D457" s="4" t="s">
        <v>984</v>
      </c>
      <c r="E457" s="16">
        <v>0.09488032013177872</v>
      </c>
      <c r="F457" s="16">
        <v>0.9643204603344202</v>
      </c>
      <c r="G457" s="16"/>
      <c r="H457" s="16">
        <v>0.09090909090909091</v>
      </c>
      <c r="I457" s="16">
        <v>0.08333333333333333</v>
      </c>
      <c r="J457" s="16">
        <v>0.0</v>
      </c>
      <c r="K457" s="4">
        <v>0.0</v>
      </c>
      <c r="M457" s="4" t="s">
        <v>32</v>
      </c>
    </row>
    <row r="458" ht="18.0" customHeight="1">
      <c r="A458" s="4" t="s">
        <v>52</v>
      </c>
      <c r="B458" s="4">
        <v>18.0</v>
      </c>
      <c r="C458" s="4" t="s">
        <v>217</v>
      </c>
      <c r="D458" s="4" t="s">
        <v>985</v>
      </c>
      <c r="E458" s="16">
        <v>0.0034122788347303867</v>
      </c>
      <c r="F458" s="16">
        <v>0.999484233892872</v>
      </c>
      <c r="G458" s="16"/>
      <c r="H458" s="16">
        <v>0.0</v>
      </c>
      <c r="I458" s="16">
        <v>0.041666666666666664</v>
      </c>
      <c r="J458" s="16">
        <v>0.0</v>
      </c>
      <c r="K458" s="4">
        <v>0.0</v>
      </c>
      <c r="M458" s="4" t="s">
        <v>32</v>
      </c>
    </row>
    <row r="459" ht="18.0" customHeight="1">
      <c r="A459" s="4" t="s">
        <v>52</v>
      </c>
      <c r="B459" s="4">
        <v>19.0</v>
      </c>
      <c r="C459" s="4" t="s">
        <v>397</v>
      </c>
      <c r="D459" s="4" t="s">
        <v>398</v>
      </c>
      <c r="E459" s="16">
        <v>0.015238826163113117</v>
      </c>
      <c r="F459" s="16">
        <v>0.9957628606352955</v>
      </c>
      <c r="G459" s="16"/>
      <c r="H459" s="16">
        <v>0.45454545454545453</v>
      </c>
      <c r="I459" s="16">
        <v>0.19999999999999998</v>
      </c>
      <c r="J459" s="16">
        <v>0.0</v>
      </c>
      <c r="K459" s="4">
        <v>1.0</v>
      </c>
      <c r="L459" s="4">
        <v>0.0</v>
      </c>
      <c r="M459" s="4" t="s">
        <v>239</v>
      </c>
    </row>
    <row r="460" ht="18.0" customHeight="1">
      <c r="A460" s="4" t="s">
        <v>52</v>
      </c>
      <c r="B460" s="4">
        <v>20.0</v>
      </c>
      <c r="C460" s="4" t="s">
        <v>986</v>
      </c>
      <c r="D460" s="4" t="s">
        <v>987</v>
      </c>
      <c r="E460" s="16">
        <v>1.2448140296328347E-5</v>
      </c>
      <c r="F460" s="16">
        <v>0.9999982872940336</v>
      </c>
      <c r="G460" s="16"/>
      <c r="H460" s="16">
        <v>1.0</v>
      </c>
      <c r="I460" s="16">
        <v>0.75</v>
      </c>
      <c r="J460" s="16">
        <v>0.25</v>
      </c>
      <c r="K460" s="4">
        <v>0.0</v>
      </c>
      <c r="M460" s="4" t="s">
        <v>32</v>
      </c>
    </row>
    <row r="461" ht="18.0" customHeight="1">
      <c r="A461" s="4" t="s">
        <v>52</v>
      </c>
      <c r="B461" s="4">
        <v>21.0</v>
      </c>
      <c r="C461" s="4" t="s">
        <v>988</v>
      </c>
      <c r="D461" s="4" t="s">
        <v>989</v>
      </c>
      <c r="E461" s="16">
        <v>6.40783691778779E-5</v>
      </c>
      <c r="F461" s="16">
        <v>0.9999915030643933</v>
      </c>
      <c r="G461" s="16"/>
      <c r="H461" s="16">
        <v>1.0</v>
      </c>
      <c r="I461" s="16">
        <v>0.75</v>
      </c>
      <c r="J461" s="16">
        <v>0.0</v>
      </c>
      <c r="K461" s="4">
        <v>0.0</v>
      </c>
      <c r="M461" s="4" t="s">
        <v>32</v>
      </c>
    </row>
    <row r="462" ht="18.0" customHeight="1">
      <c r="A462" s="4" t="s">
        <v>52</v>
      </c>
      <c r="B462" s="4">
        <v>22.0</v>
      </c>
      <c r="C462" s="4" t="s">
        <v>401</v>
      </c>
      <c r="D462" s="4" t="s">
        <v>402</v>
      </c>
      <c r="E462" s="16">
        <v>0.09344783425331116</v>
      </c>
      <c r="F462" s="16">
        <v>0.9709355598315597</v>
      </c>
      <c r="G462" s="16"/>
      <c r="H462" s="16">
        <v>1.0</v>
      </c>
      <c r="I462" s="16">
        <v>0.7916666666666666</v>
      </c>
      <c r="J462" s="16">
        <v>0.4</v>
      </c>
      <c r="K462" s="4">
        <v>1.0</v>
      </c>
      <c r="L462" s="4">
        <v>0.0</v>
      </c>
      <c r="M462" s="4" t="s">
        <v>239</v>
      </c>
    </row>
    <row r="463" ht="18.0" customHeight="1">
      <c r="A463" s="4" t="s">
        <v>52</v>
      </c>
      <c r="B463" s="4">
        <v>23.0</v>
      </c>
      <c r="C463" s="4" t="s">
        <v>397</v>
      </c>
      <c r="D463" s="4" t="s">
        <v>416</v>
      </c>
      <c r="E463" s="16">
        <v>0.516140341758728</v>
      </c>
      <c r="F463" s="16">
        <v>0.7943364456295967</v>
      </c>
      <c r="G463" s="16"/>
      <c r="H463" s="16">
        <v>0.9090909090909091</v>
      </c>
      <c r="I463" s="16">
        <v>0.7083333333333334</v>
      </c>
      <c r="J463" s="16">
        <v>0.8333333333333334</v>
      </c>
      <c r="K463" s="4">
        <v>1.0</v>
      </c>
      <c r="L463" s="4">
        <v>0.0</v>
      </c>
      <c r="M463" s="4" t="s">
        <v>239</v>
      </c>
    </row>
    <row r="464" ht="18.0" customHeight="1">
      <c r="A464" s="4" t="s">
        <v>52</v>
      </c>
      <c r="B464" s="4">
        <v>24.0</v>
      </c>
      <c r="C464" s="4" t="s">
        <v>986</v>
      </c>
      <c r="D464" s="4" t="s">
        <v>987</v>
      </c>
      <c r="E464" s="16">
        <v>3.2075968920253217E-4</v>
      </c>
      <c r="F464" s="16">
        <v>0.9999502289319935</v>
      </c>
      <c r="G464" s="16"/>
      <c r="H464" s="16">
        <v>1.0</v>
      </c>
      <c r="I464" s="16">
        <v>0.7916666666666666</v>
      </c>
      <c r="J464" s="16">
        <v>0.0</v>
      </c>
      <c r="K464" s="4">
        <v>0.0</v>
      </c>
      <c r="M464" s="4" t="s">
        <v>32</v>
      </c>
    </row>
    <row r="465" ht="18.0" customHeight="1">
      <c r="A465" s="4" t="s">
        <v>52</v>
      </c>
      <c r="B465" s="4">
        <v>25.0</v>
      </c>
      <c r="C465" s="4" t="s">
        <v>988</v>
      </c>
      <c r="D465" s="4" t="s">
        <v>989</v>
      </c>
      <c r="E465" s="16">
        <v>1.4996636309660971E-5</v>
      </c>
      <c r="F465" s="16">
        <v>0.9999983125048857</v>
      </c>
      <c r="G465" s="16"/>
      <c r="H465" s="16">
        <v>1.0</v>
      </c>
      <c r="I465" s="16">
        <v>0.7916666666666666</v>
      </c>
      <c r="J465" s="16">
        <v>0.0</v>
      </c>
      <c r="K465" s="4">
        <v>0.0</v>
      </c>
      <c r="M465" s="4" t="s">
        <v>32</v>
      </c>
    </row>
    <row r="466" ht="18.0" customHeight="1">
      <c r="A466" s="4" t="s">
        <v>52</v>
      </c>
      <c r="B466" s="4">
        <v>26.0</v>
      </c>
      <c r="C466" s="4" t="s">
        <v>427</v>
      </c>
      <c r="D466" s="4" t="s">
        <v>428</v>
      </c>
      <c r="E466" s="16">
        <v>0.09585057944059372</v>
      </c>
      <c r="F466" s="16">
        <v>0.9673058157786727</v>
      </c>
      <c r="G466" s="16"/>
      <c r="H466" s="16">
        <v>1.0</v>
      </c>
      <c r="I466" s="16">
        <v>0.875</v>
      </c>
      <c r="J466" s="16">
        <v>0.5</v>
      </c>
      <c r="K466" s="4">
        <v>1.0</v>
      </c>
      <c r="L466" s="4">
        <v>0.0</v>
      </c>
      <c r="M466" s="4" t="s">
        <v>239</v>
      </c>
    </row>
    <row r="467" ht="18.0" customHeight="1">
      <c r="A467" s="4" t="s">
        <v>52</v>
      </c>
      <c r="B467" s="4">
        <v>27.0</v>
      </c>
      <c r="C467" s="4" t="s">
        <v>412</v>
      </c>
      <c r="D467" s="4" t="s">
        <v>990</v>
      </c>
      <c r="E467" s="16">
        <v>9.92324373783049E-8</v>
      </c>
      <c r="F467" s="16">
        <v>0.9999999981379027</v>
      </c>
      <c r="G467" s="16"/>
      <c r="H467" s="16">
        <v>1.0</v>
      </c>
      <c r="I467" s="16">
        <v>0.8333333333333334</v>
      </c>
      <c r="J467" s="16">
        <v>0.2004950495049505</v>
      </c>
      <c r="K467" s="4">
        <v>0.0</v>
      </c>
      <c r="M467" s="4" t="s">
        <v>32</v>
      </c>
    </row>
    <row r="468" ht="18.0" customHeight="1">
      <c r="A468" s="4" t="s">
        <v>52</v>
      </c>
      <c r="B468" s="4">
        <v>28.0</v>
      </c>
      <c r="C468" s="4" t="s">
        <v>990</v>
      </c>
      <c r="D468" s="4" t="s">
        <v>427</v>
      </c>
      <c r="E468" s="16">
        <v>2.332395752091543E-6</v>
      </c>
      <c r="F468" s="16">
        <v>0.9999998058261212</v>
      </c>
      <c r="G468" s="16"/>
      <c r="H468" s="16">
        <v>0.7272727272727273</v>
      </c>
      <c r="I468" s="16">
        <v>0.6</v>
      </c>
      <c r="J468" s="16">
        <v>0.3390946502057614</v>
      </c>
      <c r="K468" s="4">
        <v>0.0</v>
      </c>
      <c r="M468" s="4" t="s">
        <v>32</v>
      </c>
    </row>
    <row r="469" ht="18.0" customHeight="1">
      <c r="A469" s="4" t="s">
        <v>52</v>
      </c>
      <c r="B469" s="4">
        <v>29.0</v>
      </c>
      <c r="C469" s="4" t="s">
        <v>991</v>
      </c>
      <c r="D469" s="4" t="s">
        <v>428</v>
      </c>
      <c r="E469" s="16">
        <v>0.10651760548353195</v>
      </c>
      <c r="F469" s="16">
        <v>0.9565882980823517</v>
      </c>
      <c r="G469" s="16"/>
      <c r="H469" s="16">
        <v>0.9090909090909091</v>
      </c>
      <c r="I469" s="16">
        <v>0.5791666666666667</v>
      </c>
      <c r="J469" s="16">
        <v>0.3401639344262295</v>
      </c>
      <c r="K469" s="4">
        <v>0.0</v>
      </c>
      <c r="M469" s="4" t="s">
        <v>32</v>
      </c>
    </row>
    <row r="470" ht="18.0" customHeight="1">
      <c r="A470" s="4" t="s">
        <v>52</v>
      </c>
      <c r="B470" s="4">
        <v>30.0</v>
      </c>
      <c r="C470" s="4" t="s">
        <v>427</v>
      </c>
      <c r="D470" s="4" t="s">
        <v>151</v>
      </c>
      <c r="E470" s="16">
        <v>0.010925320908427238</v>
      </c>
      <c r="F470" s="16">
        <v>0.9976619762601331</v>
      </c>
      <c r="G470" s="16"/>
      <c r="H470" s="16">
        <v>1.0</v>
      </c>
      <c r="I470" s="16">
        <v>0.7291666666666666</v>
      </c>
      <c r="J470" s="16">
        <v>0.3401639344262295</v>
      </c>
      <c r="K470" s="4">
        <v>0.0</v>
      </c>
      <c r="M470" s="4" t="s">
        <v>32</v>
      </c>
    </row>
    <row r="471" ht="18.0" customHeight="1">
      <c r="A471" s="4" t="s">
        <v>52</v>
      </c>
      <c r="B471" s="4">
        <v>31.0</v>
      </c>
      <c r="C471" s="4" t="s">
        <v>151</v>
      </c>
      <c r="D471" s="4" t="s">
        <v>412</v>
      </c>
      <c r="E471" s="16">
        <v>2.097497599606868E-5</v>
      </c>
      <c r="F471" s="16">
        <v>0.9999985343304445</v>
      </c>
      <c r="G471" s="16"/>
      <c r="H471" s="16">
        <v>1.0</v>
      </c>
      <c r="I471" s="16">
        <v>0.7458333333333332</v>
      </c>
      <c r="J471" s="16">
        <v>0.8</v>
      </c>
      <c r="K471" s="4">
        <v>1.0</v>
      </c>
      <c r="L471" s="4">
        <v>0.0</v>
      </c>
      <c r="M471" s="4" t="s">
        <v>239</v>
      </c>
    </row>
    <row r="472" ht="18.0" customHeight="1">
      <c r="A472" s="4" t="s">
        <v>52</v>
      </c>
      <c r="B472" s="4">
        <v>32.0</v>
      </c>
      <c r="C472" s="4" t="s">
        <v>409</v>
      </c>
      <c r="D472" s="4" t="s">
        <v>160</v>
      </c>
      <c r="E472" s="16">
        <v>1.0137059688568115</v>
      </c>
      <c r="F472" s="16">
        <v>0.01433718204498291</v>
      </c>
      <c r="G472" s="16"/>
      <c r="H472" s="16">
        <v>1.0</v>
      </c>
      <c r="I472" s="16">
        <v>0.6833333333333332</v>
      </c>
      <c r="J472" s="16">
        <v>0.44623655913978494</v>
      </c>
      <c r="K472" s="4">
        <v>1.0</v>
      </c>
      <c r="L472" s="4">
        <v>0.0</v>
      </c>
      <c r="M472" s="4" t="s">
        <v>239</v>
      </c>
    </row>
    <row r="473" ht="18.0" customHeight="1">
      <c r="A473" s="4" t="s">
        <v>52</v>
      </c>
      <c r="B473" s="4">
        <v>33.0</v>
      </c>
      <c r="C473" s="4" t="s">
        <v>992</v>
      </c>
      <c r="D473" s="4" t="s">
        <v>993</v>
      </c>
      <c r="E473" s="16">
        <v>0.28971797227859497</v>
      </c>
      <c r="F473" s="16">
        <v>0.9379620682448149</v>
      </c>
      <c r="G473" s="16"/>
      <c r="H473" s="16">
        <v>0.5454545454545454</v>
      </c>
      <c r="I473" s="16">
        <v>0.2833333333333334</v>
      </c>
      <c r="J473" s="16">
        <v>0.0</v>
      </c>
      <c r="K473" s="4">
        <v>0.0</v>
      </c>
      <c r="M473" s="4" t="s">
        <v>32</v>
      </c>
    </row>
    <row r="474" ht="18.0" customHeight="1">
      <c r="A474" s="4" t="s">
        <v>52</v>
      </c>
      <c r="B474" s="4">
        <v>34.0</v>
      </c>
      <c r="C474" s="4" t="s">
        <v>432</v>
      </c>
      <c r="D474" s="4" t="s">
        <v>433</v>
      </c>
      <c r="E474" s="16">
        <v>0.504072368144989</v>
      </c>
      <c r="F474" s="16">
        <v>0.6613281071186066</v>
      </c>
      <c r="G474" s="16"/>
      <c r="H474" s="16">
        <v>1.0</v>
      </c>
      <c r="I474" s="16">
        <v>0.8333333333333334</v>
      </c>
      <c r="J474" s="16">
        <v>0.6</v>
      </c>
      <c r="K474" s="4">
        <v>1.0</v>
      </c>
      <c r="L474" s="4">
        <v>0.0</v>
      </c>
      <c r="M474" s="4" t="s">
        <v>239</v>
      </c>
    </row>
    <row r="475" ht="18.0" customHeight="1">
      <c r="A475" s="4" t="s">
        <v>52</v>
      </c>
      <c r="B475" s="4">
        <v>35.0</v>
      </c>
      <c r="C475" s="4" t="s">
        <v>994</v>
      </c>
      <c r="D475" s="4" t="s">
        <v>995</v>
      </c>
      <c r="E475" s="16">
        <v>0.0029442524537444115</v>
      </c>
      <c r="F475" s="16">
        <v>0.9994398398557678</v>
      </c>
      <c r="G475" s="16"/>
      <c r="H475" s="16">
        <v>0.6363636363636364</v>
      </c>
      <c r="I475" s="16">
        <v>0.4083333333333334</v>
      </c>
      <c r="J475" s="16">
        <v>0.0</v>
      </c>
      <c r="K475" s="4">
        <v>0.0</v>
      </c>
      <c r="M475" s="4" t="s">
        <v>32</v>
      </c>
    </row>
    <row r="476" ht="18.0" customHeight="1">
      <c r="A476" s="4" t="s">
        <v>52</v>
      </c>
      <c r="B476" s="4">
        <v>36.0</v>
      </c>
      <c r="C476" s="4" t="s">
        <v>427</v>
      </c>
      <c r="D476" s="4" t="s">
        <v>181</v>
      </c>
      <c r="E476" s="16">
        <v>0.02493184246122837</v>
      </c>
      <c r="F476" s="16">
        <v>0.9931552165653557</v>
      </c>
      <c r="G476" s="16"/>
      <c r="H476" s="16">
        <v>0.0</v>
      </c>
      <c r="I476" s="16">
        <v>0.08333333333333333</v>
      </c>
      <c r="J476" s="16">
        <v>0.5</v>
      </c>
      <c r="K476" s="4">
        <v>0.0</v>
      </c>
      <c r="M476" s="4" t="s">
        <v>32</v>
      </c>
    </row>
    <row r="477" ht="18.0" customHeight="1">
      <c r="A477" s="4" t="s">
        <v>52</v>
      </c>
      <c r="B477" s="4">
        <v>37.0</v>
      </c>
      <c r="C477" s="4" t="s">
        <v>151</v>
      </c>
      <c r="D477" s="4" t="s">
        <v>412</v>
      </c>
      <c r="E477" s="16">
        <v>3.6063152037968393E-6</v>
      </c>
      <c r="F477" s="16">
        <v>0.9999997783262629</v>
      </c>
      <c r="G477" s="16"/>
      <c r="H477" s="16">
        <v>0.0</v>
      </c>
      <c r="I477" s="16">
        <v>0.08333333333333333</v>
      </c>
      <c r="J477" s="16">
        <v>0.33333333333333337</v>
      </c>
      <c r="K477" s="4">
        <v>1.0</v>
      </c>
      <c r="L477" s="4">
        <v>0.0</v>
      </c>
      <c r="M477" s="4" t="s">
        <v>239</v>
      </c>
    </row>
    <row r="478" ht="18.0" customHeight="1">
      <c r="A478" s="4" t="s">
        <v>52</v>
      </c>
      <c r="B478" s="4">
        <v>38.0</v>
      </c>
      <c r="C478" s="4" t="s">
        <v>270</v>
      </c>
      <c r="D478" s="4" t="s">
        <v>160</v>
      </c>
      <c r="E478" s="16">
        <v>0.004234162159264088</v>
      </c>
      <c r="F478" s="16">
        <v>0.9994387771876063</v>
      </c>
      <c r="G478" s="16"/>
      <c r="H478" s="16">
        <v>0.0</v>
      </c>
      <c r="I478" s="16">
        <v>0.08333333333333333</v>
      </c>
      <c r="J478" s="16">
        <v>0.6666666666666667</v>
      </c>
      <c r="K478" s="4">
        <v>0.0</v>
      </c>
      <c r="M478" s="4" t="s">
        <v>32</v>
      </c>
    </row>
    <row r="479" ht="18.0" customHeight="1">
      <c r="A479" s="4" t="s">
        <v>52</v>
      </c>
      <c r="B479" s="4">
        <v>39.0</v>
      </c>
      <c r="C479" s="4" t="s">
        <v>422</v>
      </c>
      <c r="D479" s="4" t="s">
        <v>423</v>
      </c>
      <c r="E479" s="16">
        <v>0.06761220842599869</v>
      </c>
      <c r="F479" s="16">
        <v>0.984705001115799</v>
      </c>
      <c r="G479" s="16"/>
      <c r="H479" s="16">
        <v>1.0</v>
      </c>
      <c r="I479" s="16">
        <v>0.6416666666666667</v>
      </c>
      <c r="J479" s="16">
        <v>1.0</v>
      </c>
      <c r="K479" s="4">
        <v>1.0</v>
      </c>
      <c r="L479" s="4">
        <v>0.0</v>
      </c>
      <c r="M479" s="4" t="s">
        <v>239</v>
      </c>
    </row>
    <row r="480" ht="18.0" customHeight="1">
      <c r="A480" s="4" t="s">
        <v>52</v>
      </c>
      <c r="B480" s="4">
        <v>40.0</v>
      </c>
      <c r="C480" s="4" t="s">
        <v>996</v>
      </c>
      <c r="D480" s="4" t="s">
        <v>997</v>
      </c>
      <c r="E480" s="16">
        <v>0.007321543991565704</v>
      </c>
      <c r="F480" s="16">
        <v>0.99884754588129</v>
      </c>
      <c r="G480" s="16"/>
      <c r="H480" s="16">
        <v>0.8181818181818182</v>
      </c>
      <c r="I480" s="16">
        <v>0.4583333333333333</v>
      </c>
      <c r="J480" s="16">
        <v>0.6</v>
      </c>
      <c r="K480" s="4">
        <v>0.0</v>
      </c>
      <c r="M480" s="4" t="s">
        <v>32</v>
      </c>
    </row>
    <row r="481" ht="18.0" customHeight="1">
      <c r="A481" s="4" t="s">
        <v>52</v>
      </c>
      <c r="B481" s="4">
        <v>41.0</v>
      </c>
      <c r="C481" s="4" t="s">
        <v>998</v>
      </c>
      <c r="D481" s="4" t="s">
        <v>433</v>
      </c>
      <c r="E481" s="16">
        <v>0.008236764930188656</v>
      </c>
      <c r="F481" s="16">
        <v>0.9979711646446958</v>
      </c>
      <c r="G481" s="16"/>
      <c r="H481" s="16">
        <v>0.5454545454545454</v>
      </c>
      <c r="I481" s="16">
        <v>0.25</v>
      </c>
      <c r="J481" s="16">
        <v>0.33333333333333337</v>
      </c>
      <c r="K481" s="4">
        <v>0.0</v>
      </c>
      <c r="M481" s="4" t="s">
        <v>32</v>
      </c>
    </row>
    <row r="482" ht="18.0" customHeight="1">
      <c r="A482" s="4" t="s">
        <v>52</v>
      </c>
      <c r="B482" s="4">
        <v>42.0</v>
      </c>
      <c r="C482" s="4" t="s">
        <v>999</v>
      </c>
      <c r="D482" s="4" t="s">
        <v>1000</v>
      </c>
      <c r="E482" s="16">
        <v>0.001772597199305892</v>
      </c>
      <c r="F482" s="16">
        <v>0.9997250106171123</v>
      </c>
      <c r="G482" s="16"/>
      <c r="H482" s="16">
        <v>1.0</v>
      </c>
      <c r="I482" s="16">
        <v>0.625</v>
      </c>
      <c r="J482" s="16">
        <v>0.0</v>
      </c>
      <c r="K482" s="4">
        <v>0.0</v>
      </c>
      <c r="M482" s="4" t="s">
        <v>32</v>
      </c>
    </row>
    <row r="483" ht="18.0" customHeight="1">
      <c r="A483" s="4" t="s">
        <v>52</v>
      </c>
      <c r="B483" s="4">
        <v>43.0</v>
      </c>
      <c r="C483" s="4" t="s">
        <v>1001</v>
      </c>
      <c r="D483" s="4" t="s">
        <v>1002</v>
      </c>
      <c r="E483" s="16">
        <v>6.441167352022603E-5</v>
      </c>
      <c r="F483" s="16">
        <v>0.9999944132022165</v>
      </c>
      <c r="G483" s="16"/>
      <c r="H483" s="16">
        <v>0.09090909090909091</v>
      </c>
      <c r="I483" s="16">
        <v>0.09999999999999999</v>
      </c>
      <c r="J483" s="16">
        <v>0.0</v>
      </c>
      <c r="K483" s="4">
        <v>0.0</v>
      </c>
      <c r="M483" s="4" t="s">
        <v>32</v>
      </c>
    </row>
    <row r="484" ht="18.0" customHeight="1">
      <c r="A484" s="4" t="s">
        <v>52</v>
      </c>
      <c r="B484" s="4">
        <v>44.0</v>
      </c>
      <c r="C484" s="4" t="s">
        <v>437</v>
      </c>
      <c r="D484" s="4" t="s">
        <v>438</v>
      </c>
      <c r="E484" s="16">
        <v>3.8060988299548626E-4</v>
      </c>
      <c r="F484" s="16">
        <v>0.9999532580513915</v>
      </c>
      <c r="G484" s="16"/>
      <c r="H484" s="16">
        <v>0.09090909090909091</v>
      </c>
      <c r="I484" s="16">
        <v>0.03333333333333333</v>
      </c>
      <c r="J484" s="16">
        <v>0.0</v>
      </c>
      <c r="K484" s="4">
        <v>1.0</v>
      </c>
      <c r="L484" s="4">
        <v>0.0</v>
      </c>
      <c r="M484" s="4" t="s">
        <v>239</v>
      </c>
    </row>
    <row r="485" ht="18.0" customHeight="1">
      <c r="A485" s="4" t="s">
        <v>52</v>
      </c>
      <c r="B485" s="4">
        <v>45.0</v>
      </c>
      <c r="C485" s="4" t="s">
        <v>1001</v>
      </c>
      <c r="D485" s="4" t="s">
        <v>1003</v>
      </c>
      <c r="E485" s="16">
        <v>2.482687159499619E-5</v>
      </c>
      <c r="F485" s="16">
        <v>0.9999983198185589</v>
      </c>
      <c r="G485" s="16"/>
      <c r="H485" s="16">
        <v>0.09090909090909091</v>
      </c>
      <c r="I485" s="16">
        <v>0.09999999999999999</v>
      </c>
      <c r="J485" s="16">
        <v>0.19186046511627908</v>
      </c>
      <c r="K485" s="4">
        <v>0.0</v>
      </c>
      <c r="M485" s="4" t="s">
        <v>32</v>
      </c>
    </row>
    <row r="486" ht="18.0" customHeight="1">
      <c r="A486" s="4" t="s">
        <v>52</v>
      </c>
      <c r="B486" s="4">
        <v>46.0</v>
      </c>
      <c r="C486" s="4" t="s">
        <v>438</v>
      </c>
      <c r="D486" s="4" t="s">
        <v>1004</v>
      </c>
      <c r="E486" s="16">
        <v>1.3989101717015728E-6</v>
      </c>
      <c r="F486" s="16">
        <v>0.9999999515992251</v>
      </c>
      <c r="G486" s="16"/>
      <c r="H486" s="16">
        <v>0.0</v>
      </c>
      <c r="I486" s="16">
        <v>0.016666666666666666</v>
      </c>
      <c r="J486" s="16">
        <v>0.0</v>
      </c>
      <c r="K486" s="4">
        <v>0.0</v>
      </c>
      <c r="M486" s="4" t="s">
        <v>32</v>
      </c>
    </row>
    <row r="487" ht="18.0" customHeight="1">
      <c r="A487" s="4" t="s">
        <v>52</v>
      </c>
      <c r="B487" s="4">
        <v>47.0</v>
      </c>
      <c r="C487" s="4" t="s">
        <v>1005</v>
      </c>
      <c r="D487" s="4" t="s">
        <v>1006</v>
      </c>
      <c r="E487" s="16">
        <v>2.3108982713893056E-4</v>
      </c>
      <c r="F487" s="16">
        <v>0.9999769313294564</v>
      </c>
      <c r="G487" s="16"/>
      <c r="H487" s="16">
        <v>1.0</v>
      </c>
      <c r="I487" s="16">
        <v>0.5416666666666666</v>
      </c>
      <c r="J487" s="16">
        <v>0.0</v>
      </c>
      <c r="K487" s="4">
        <v>0.0</v>
      </c>
      <c r="M487" s="4" t="s">
        <v>32</v>
      </c>
    </row>
    <row r="488" ht="18.0" customHeight="1">
      <c r="A488" s="4" t="s">
        <v>52</v>
      </c>
      <c r="B488" s="4">
        <v>48.0</v>
      </c>
      <c r="C488" s="4" t="s">
        <v>521</v>
      </c>
      <c r="D488" s="4" t="s">
        <v>521</v>
      </c>
      <c r="E488" s="16">
        <v>4.868263495154679E-4</v>
      </c>
      <c r="F488" s="16">
        <v>0.999949893082885</v>
      </c>
      <c r="G488" s="16"/>
      <c r="H488" s="16">
        <v>0.0</v>
      </c>
      <c r="I488" s="16">
        <v>0.0</v>
      </c>
      <c r="J488" s="16">
        <v>0.0</v>
      </c>
      <c r="K488" s="4">
        <v>0.0</v>
      </c>
      <c r="M488" s="4" t="s">
        <v>32</v>
      </c>
    </row>
    <row r="489" ht="18.0" customHeight="1">
      <c r="A489" s="4" t="s">
        <v>52</v>
      </c>
      <c r="B489" s="4">
        <v>49.0</v>
      </c>
      <c r="C489" s="4" t="s">
        <v>232</v>
      </c>
      <c r="D489" s="4" t="s">
        <v>289</v>
      </c>
      <c r="E489" s="16">
        <v>5.479610990732908E-4</v>
      </c>
      <c r="F489" s="16">
        <v>0.9999012031294114</v>
      </c>
      <c r="G489" s="16"/>
      <c r="H489" s="16">
        <v>1.0</v>
      </c>
      <c r="I489" s="16">
        <v>0.49583333333333335</v>
      </c>
      <c r="J489" s="16">
        <v>0.0</v>
      </c>
      <c r="K489" s="4">
        <v>0.0</v>
      </c>
      <c r="M489" s="4" t="s">
        <v>32</v>
      </c>
    </row>
    <row r="490" ht="18.0" customHeight="1">
      <c r="A490" s="4" t="s">
        <v>52</v>
      </c>
      <c r="B490" s="4">
        <v>50.0</v>
      </c>
      <c r="C490" s="4" t="s">
        <v>163</v>
      </c>
      <c r="D490" s="4" t="s">
        <v>94</v>
      </c>
      <c r="E490" s="16">
        <v>0.1812174916267395</v>
      </c>
      <c r="F490" s="16">
        <v>0.9239223189651966</v>
      </c>
      <c r="G490" s="16"/>
      <c r="H490" s="16">
        <v>1.0</v>
      </c>
      <c r="I490" s="16">
        <v>0.5583333333333333</v>
      </c>
      <c r="J490" s="16">
        <v>0.0</v>
      </c>
      <c r="K490" s="4">
        <v>0.0</v>
      </c>
      <c r="M490" s="4" t="s">
        <v>32</v>
      </c>
    </row>
    <row r="491" ht="18.0" customHeight="1">
      <c r="A491" s="4" t="s">
        <v>52</v>
      </c>
      <c r="B491" s="4">
        <v>51.0</v>
      </c>
      <c r="C491" s="4" t="s">
        <v>509</v>
      </c>
      <c r="D491" s="4" t="s">
        <v>510</v>
      </c>
      <c r="E491" s="16">
        <v>0.0032901098020374775</v>
      </c>
      <c r="F491" s="16">
        <v>0.9993097106926143</v>
      </c>
      <c r="G491" s="16"/>
      <c r="H491" s="16">
        <v>0.09090909090909091</v>
      </c>
      <c r="I491" s="16">
        <v>0.08333333333333333</v>
      </c>
      <c r="J491" s="16">
        <v>0.0</v>
      </c>
      <c r="K491" s="4">
        <v>0.0</v>
      </c>
      <c r="M491" s="4" t="s">
        <v>32</v>
      </c>
    </row>
    <row r="492" ht="18.0" customHeight="1">
      <c r="A492" s="4" t="s">
        <v>52</v>
      </c>
      <c r="B492" s="4">
        <v>52.0</v>
      </c>
      <c r="C492" s="4" t="s">
        <v>1007</v>
      </c>
      <c r="D492" s="4" t="s">
        <v>1008</v>
      </c>
      <c r="E492" s="16">
        <v>5.463919951580465E-4</v>
      </c>
      <c r="F492" s="16">
        <v>0.9999269468444254</v>
      </c>
      <c r="G492" s="16"/>
      <c r="H492" s="16">
        <v>0.8181818181818182</v>
      </c>
      <c r="I492" s="16">
        <v>0.4916666666666667</v>
      </c>
      <c r="J492" s="16">
        <v>0.19999999999999996</v>
      </c>
      <c r="K492" s="4">
        <v>0.0</v>
      </c>
      <c r="M492" s="4" t="s">
        <v>32</v>
      </c>
    </row>
    <row r="493" ht="18.0" customHeight="1">
      <c r="A493" s="4" t="s">
        <v>52</v>
      </c>
      <c r="B493" s="4">
        <v>53.0</v>
      </c>
      <c r="C493" s="4" t="s">
        <v>1009</v>
      </c>
      <c r="D493" s="4" t="s">
        <v>984</v>
      </c>
      <c r="E493" s="16">
        <v>4.1971929022111E-4</v>
      </c>
      <c r="F493" s="16">
        <v>0.9999264473990479</v>
      </c>
      <c r="G493" s="16"/>
      <c r="H493" s="16">
        <v>0.0</v>
      </c>
      <c r="I493" s="16">
        <v>0.041666666666666664</v>
      </c>
      <c r="J493" s="16">
        <v>0.0</v>
      </c>
      <c r="K493" s="4">
        <v>0.0</v>
      </c>
      <c r="M493" s="4" t="s">
        <v>32</v>
      </c>
    </row>
    <row r="494" ht="18.0" customHeight="1">
      <c r="A494" s="4" t="s">
        <v>52</v>
      </c>
      <c r="B494" s="4">
        <v>54.0</v>
      </c>
      <c r="C494" s="4" t="s">
        <v>94</v>
      </c>
      <c r="D494" s="4" t="s">
        <v>1010</v>
      </c>
      <c r="E494" s="16">
        <v>1.72997206391301E-5</v>
      </c>
      <c r="F494" s="16">
        <v>0.9999985906859763</v>
      </c>
      <c r="G494" s="16"/>
      <c r="H494" s="16">
        <v>0.0</v>
      </c>
      <c r="I494" s="16">
        <v>0.08333333333333333</v>
      </c>
      <c r="J494" s="16">
        <v>0.0</v>
      </c>
      <c r="K494" s="4">
        <v>0.0</v>
      </c>
      <c r="M494" s="4" t="s">
        <v>32</v>
      </c>
    </row>
    <row r="495" ht="18.0" customHeight="1">
      <c r="A495" s="4" t="s">
        <v>52</v>
      </c>
      <c r="B495" s="4">
        <v>55.0</v>
      </c>
      <c r="C495" s="4" t="s">
        <v>406</v>
      </c>
      <c r="D495" s="4" t="s">
        <v>1011</v>
      </c>
      <c r="E495" s="16">
        <v>3.0982596217654645E-4</v>
      </c>
      <c r="F495" s="16">
        <v>0.999958688265906</v>
      </c>
      <c r="G495" s="16"/>
      <c r="H495" s="16">
        <v>1.0</v>
      </c>
      <c r="I495" s="16">
        <v>0.4916666666666667</v>
      </c>
      <c r="J495" s="16">
        <v>0.25</v>
      </c>
      <c r="K495" s="4">
        <v>0.0</v>
      </c>
      <c r="M495" s="4" t="s">
        <v>32</v>
      </c>
    </row>
    <row r="496" ht="18.0" customHeight="1">
      <c r="A496" s="4" t="s">
        <v>52</v>
      </c>
      <c r="B496" s="4">
        <v>56.0</v>
      </c>
      <c r="C496" s="4" t="s">
        <v>1012</v>
      </c>
      <c r="D496" s="4" t="s">
        <v>1013</v>
      </c>
      <c r="E496" s="16">
        <v>0.0183541402220726</v>
      </c>
      <c r="F496" s="16">
        <v>0.9950198181904852</v>
      </c>
      <c r="G496" s="16"/>
      <c r="H496" s="16">
        <v>1.0</v>
      </c>
      <c r="I496" s="16">
        <v>0.5166666666666667</v>
      </c>
      <c r="J496" s="16">
        <v>0.8</v>
      </c>
      <c r="K496" s="4">
        <v>0.0</v>
      </c>
      <c r="M496" s="4" t="s">
        <v>32</v>
      </c>
    </row>
    <row r="497" ht="18.0" customHeight="1">
      <c r="A497" s="4" t="s">
        <v>62</v>
      </c>
      <c r="B497" s="4">
        <v>2.0</v>
      </c>
      <c r="C497" s="4" t="s">
        <v>1014</v>
      </c>
      <c r="D497" s="4" t="s">
        <v>831</v>
      </c>
      <c r="E497" s="16">
        <v>2.8441500035114586E-4</v>
      </c>
      <c r="F497" s="16">
        <v>0.9999728621764916</v>
      </c>
      <c r="G497" s="16"/>
      <c r="H497" s="16">
        <v>1.0</v>
      </c>
      <c r="I497" s="16">
        <v>0.2833333333333333</v>
      </c>
      <c r="J497" s="16">
        <v>0.6</v>
      </c>
      <c r="K497" s="4">
        <v>0.0</v>
      </c>
      <c r="M497" s="4" t="s">
        <v>32</v>
      </c>
    </row>
    <row r="498" ht="18.0" customHeight="1">
      <c r="A498" s="4" t="s">
        <v>62</v>
      </c>
      <c r="B498" s="4">
        <v>3.0</v>
      </c>
      <c r="C498" s="4" t="s">
        <v>1015</v>
      </c>
      <c r="D498" s="4" t="s">
        <v>1016</v>
      </c>
      <c r="E498" s="16">
        <v>8.865319614415057E-6</v>
      </c>
      <c r="F498" s="16">
        <v>0.9999992922556515</v>
      </c>
      <c r="G498" s="16"/>
      <c r="H498" s="16">
        <v>1.0</v>
      </c>
      <c r="I498" s="16">
        <v>0.3666666666666667</v>
      </c>
      <c r="J498" s="16">
        <v>0.5294117647058824</v>
      </c>
      <c r="K498" s="4">
        <v>0.0</v>
      </c>
      <c r="M498" s="4" t="s">
        <v>32</v>
      </c>
    </row>
    <row r="499" ht="18.0" customHeight="1">
      <c r="A499" s="4" t="s">
        <v>62</v>
      </c>
      <c r="B499" s="4">
        <v>4.0</v>
      </c>
      <c r="C499" s="4" t="s">
        <v>156</v>
      </c>
      <c r="D499" s="4" t="s">
        <v>661</v>
      </c>
      <c r="E499" s="16">
        <v>1.667072792770341E-4</v>
      </c>
      <c r="F499" s="16">
        <v>0.999983181335665</v>
      </c>
      <c r="G499" s="16"/>
      <c r="H499" s="16">
        <v>0.0</v>
      </c>
      <c r="I499" s="16">
        <v>0.041666666666666664</v>
      </c>
      <c r="J499" s="16">
        <v>0.0</v>
      </c>
      <c r="K499" s="4">
        <v>0.0</v>
      </c>
      <c r="M499" s="4" t="s">
        <v>32</v>
      </c>
    </row>
    <row r="500" ht="18.0" customHeight="1">
      <c r="A500" s="4" t="s">
        <v>62</v>
      </c>
      <c r="B500" s="4">
        <v>5.0</v>
      </c>
      <c r="C500" s="4" t="s">
        <v>139</v>
      </c>
      <c r="D500" s="4" t="s">
        <v>140</v>
      </c>
      <c r="E500" s="16">
        <v>0.03611177206039429</v>
      </c>
      <c r="F500" s="16">
        <v>0.9893367337062955</v>
      </c>
      <c r="G500" s="16"/>
      <c r="H500" s="16">
        <v>0.9090909090909091</v>
      </c>
      <c r="I500" s="16">
        <v>0.4583333333333333</v>
      </c>
      <c r="J500" s="16">
        <v>1.0</v>
      </c>
      <c r="K500" s="4">
        <v>0.0</v>
      </c>
      <c r="M500" s="4" t="s">
        <v>32</v>
      </c>
    </row>
    <row r="501" ht="18.0" customHeight="1">
      <c r="A501" s="4" t="s">
        <v>62</v>
      </c>
      <c r="B501" s="4">
        <v>6.0</v>
      </c>
      <c r="C501" s="4" t="s">
        <v>232</v>
      </c>
      <c r="D501" s="4" t="s">
        <v>159</v>
      </c>
      <c r="E501" s="16">
        <v>0.007248640060424805</v>
      </c>
      <c r="F501" s="16">
        <v>0.9987178890150972</v>
      </c>
      <c r="G501" s="16"/>
      <c r="H501" s="16">
        <v>1.0</v>
      </c>
      <c r="I501" s="16">
        <v>0.6666666666666666</v>
      </c>
      <c r="J501" s="16">
        <v>1.0</v>
      </c>
      <c r="K501" s="4">
        <v>1.0</v>
      </c>
      <c r="L501" s="4">
        <v>1.0</v>
      </c>
      <c r="M501" s="4" t="s">
        <v>486</v>
      </c>
    </row>
    <row r="502" ht="18.0" customHeight="1">
      <c r="A502" s="4" t="s">
        <v>62</v>
      </c>
      <c r="B502" s="4">
        <v>7.0</v>
      </c>
      <c r="C502" s="4" t="s">
        <v>485</v>
      </c>
      <c r="D502" s="4" t="s">
        <v>163</v>
      </c>
      <c r="E502" s="16">
        <v>1.1614816188812256</v>
      </c>
      <c r="F502" s="16">
        <v>0.1613261103630066</v>
      </c>
      <c r="G502" s="16"/>
      <c r="H502" s="16">
        <v>1.0</v>
      </c>
      <c r="I502" s="16">
        <v>0.6875</v>
      </c>
      <c r="J502" s="16">
        <v>1.0</v>
      </c>
      <c r="K502" s="4">
        <v>1.0</v>
      </c>
      <c r="L502" s="4">
        <v>1.0</v>
      </c>
      <c r="M502" s="4" t="s">
        <v>486</v>
      </c>
    </row>
    <row r="503" ht="18.0" customHeight="1">
      <c r="A503" s="4" t="s">
        <v>62</v>
      </c>
      <c r="B503" s="4">
        <v>8.0</v>
      </c>
      <c r="C503" s="4" t="s">
        <v>180</v>
      </c>
      <c r="D503" s="4" t="s">
        <v>489</v>
      </c>
      <c r="E503" s="16">
        <v>0.25510284304618835</v>
      </c>
      <c r="F503" s="16">
        <v>0.8641756922006607</v>
      </c>
      <c r="G503" s="16"/>
      <c r="H503" s="16">
        <v>1.0</v>
      </c>
      <c r="I503" s="16">
        <v>0.5416666666666666</v>
      </c>
      <c r="J503" s="16">
        <v>0.1622641509433962</v>
      </c>
      <c r="K503" s="4">
        <v>1.0</v>
      </c>
      <c r="L503" s="4">
        <v>1.0</v>
      </c>
      <c r="M503" s="4" t="s">
        <v>486</v>
      </c>
    </row>
    <row r="504" ht="18.0" customHeight="1">
      <c r="A504" s="4" t="s">
        <v>62</v>
      </c>
      <c r="B504" s="4">
        <v>9.0</v>
      </c>
      <c r="C504" s="4" t="s">
        <v>159</v>
      </c>
      <c r="D504" s="4" t="s">
        <v>517</v>
      </c>
      <c r="E504" s="16">
        <v>0.0027580801397562027</v>
      </c>
      <c r="F504" s="16">
        <v>0.9994048285880126</v>
      </c>
      <c r="G504" s="16"/>
      <c r="H504" s="16">
        <v>0.9090909090909091</v>
      </c>
      <c r="I504" s="16">
        <v>0.5416666666666666</v>
      </c>
      <c r="J504" s="16">
        <v>0.9090909090909091</v>
      </c>
      <c r="K504" s="4">
        <v>0.0</v>
      </c>
      <c r="M504" s="4" t="s">
        <v>32</v>
      </c>
    </row>
    <row r="505" ht="18.0" customHeight="1">
      <c r="A505" s="4" t="s">
        <v>62</v>
      </c>
      <c r="B505" s="4">
        <v>10.0</v>
      </c>
      <c r="C505" s="4" t="s">
        <v>427</v>
      </c>
      <c r="D505" s="4" t="s">
        <v>159</v>
      </c>
      <c r="E505" s="16">
        <v>6.8853605625918135E-6</v>
      </c>
      <c r="F505" s="16">
        <v>0.9999993388503583</v>
      </c>
      <c r="G505" s="16"/>
      <c r="H505" s="16">
        <v>1.0</v>
      </c>
      <c r="I505" s="16">
        <v>0.4583333333333333</v>
      </c>
      <c r="J505" s="16">
        <v>0.0</v>
      </c>
      <c r="K505" s="4">
        <v>0.0</v>
      </c>
      <c r="M505" s="4" t="s">
        <v>32</v>
      </c>
    </row>
    <row r="506" ht="18.0" customHeight="1">
      <c r="A506" s="4" t="s">
        <v>62</v>
      </c>
      <c r="B506" s="4">
        <v>11.0</v>
      </c>
      <c r="C506" s="4" t="s">
        <v>122</v>
      </c>
      <c r="D506" s="4" t="s">
        <v>123</v>
      </c>
      <c r="E506" s="16">
        <v>0.009775022976100445</v>
      </c>
      <c r="F506" s="16">
        <v>0.9985538276087027</v>
      </c>
      <c r="G506" s="16"/>
      <c r="H506" s="16">
        <v>0.0</v>
      </c>
      <c r="I506" s="16">
        <v>0.0</v>
      </c>
      <c r="J506" s="16">
        <v>0.0</v>
      </c>
      <c r="K506" s="4">
        <v>0.0</v>
      </c>
      <c r="M506" s="4" t="s">
        <v>32</v>
      </c>
    </row>
    <row r="507" ht="18.0" customHeight="1">
      <c r="A507" s="4" t="s">
        <v>62</v>
      </c>
      <c r="B507" s="4">
        <v>12.0</v>
      </c>
      <c r="C507" s="4" t="s">
        <v>232</v>
      </c>
      <c r="D507" s="4" t="s">
        <v>1017</v>
      </c>
      <c r="E507" s="16">
        <v>1.4680005551781505E-4</v>
      </c>
      <c r="F507" s="16">
        <v>0.9999850597764635</v>
      </c>
      <c r="G507" s="16"/>
      <c r="H507" s="16">
        <v>1.0</v>
      </c>
      <c r="I507" s="16">
        <v>0.6041666666666666</v>
      </c>
      <c r="J507" s="16">
        <v>0.19999999999999996</v>
      </c>
      <c r="K507" s="4">
        <v>0.0</v>
      </c>
      <c r="M507" s="4" t="s">
        <v>32</v>
      </c>
    </row>
    <row r="508" ht="18.0" customHeight="1">
      <c r="A508" s="4" t="s">
        <v>62</v>
      </c>
      <c r="B508" s="4">
        <v>13.0</v>
      </c>
      <c r="C508" s="4" t="s">
        <v>453</v>
      </c>
      <c r="D508" s="4" t="s">
        <v>95</v>
      </c>
      <c r="E508" s="16">
        <v>0.0011822199448943138</v>
      </c>
      <c r="F508" s="16">
        <v>0.9998646306994488</v>
      </c>
      <c r="G508" s="16"/>
      <c r="H508" s="16">
        <v>1.0</v>
      </c>
      <c r="I508" s="16">
        <v>0.5625</v>
      </c>
      <c r="J508" s="16">
        <v>0.75</v>
      </c>
      <c r="K508" s="4">
        <v>1.0</v>
      </c>
      <c r="L508" s="4">
        <v>0.0</v>
      </c>
      <c r="M508" s="4" t="s">
        <v>239</v>
      </c>
    </row>
    <row r="509" ht="18.0" customHeight="1">
      <c r="A509" s="4" t="s">
        <v>62</v>
      </c>
      <c r="B509" s="4">
        <v>14.0</v>
      </c>
      <c r="C509" s="4" t="s">
        <v>147</v>
      </c>
      <c r="D509" s="4" t="s">
        <v>476</v>
      </c>
      <c r="E509" s="16">
        <v>0.24991118907928467</v>
      </c>
      <c r="F509" s="16">
        <v>0.8845273368060589</v>
      </c>
      <c r="G509" s="16"/>
      <c r="H509" s="16">
        <v>0.18181818181818182</v>
      </c>
      <c r="I509" s="16">
        <v>0.05000000000000001</v>
      </c>
      <c r="J509" s="16">
        <v>0.0</v>
      </c>
      <c r="K509" s="4">
        <v>1.0</v>
      </c>
      <c r="L509" s="4">
        <v>0.0</v>
      </c>
      <c r="M509" s="4" t="s">
        <v>239</v>
      </c>
    </row>
    <row r="510" ht="18.0" customHeight="1">
      <c r="A510" s="4" t="s">
        <v>62</v>
      </c>
      <c r="B510" s="4">
        <v>15.0</v>
      </c>
      <c r="C510" s="4" t="s">
        <v>151</v>
      </c>
      <c r="D510" s="4" t="s">
        <v>172</v>
      </c>
      <c r="E510" s="16">
        <v>0.12026704102754593</v>
      </c>
      <c r="F510" s="16">
        <v>0.9487846046686172</v>
      </c>
      <c r="G510" s="16"/>
      <c r="H510" s="16">
        <v>1.0</v>
      </c>
      <c r="I510" s="16">
        <v>0.5583333333333333</v>
      </c>
      <c r="J510" s="16">
        <v>0.5</v>
      </c>
      <c r="K510" s="4">
        <v>1.0</v>
      </c>
      <c r="L510" s="4">
        <v>0.0</v>
      </c>
      <c r="M510" s="4" t="s">
        <v>239</v>
      </c>
    </row>
    <row r="511" ht="18.0" customHeight="1">
      <c r="A511" s="4" t="s">
        <v>62</v>
      </c>
      <c r="B511" s="4">
        <v>16.0</v>
      </c>
      <c r="C511" s="4" t="s">
        <v>460</v>
      </c>
      <c r="D511" s="4" t="s">
        <v>461</v>
      </c>
      <c r="E511" s="16">
        <v>0.7621414065361023</v>
      </c>
      <c r="F511" s="16">
        <v>0.3296615481376648</v>
      </c>
      <c r="G511" s="16"/>
      <c r="H511" s="16">
        <v>0.0</v>
      </c>
      <c r="I511" s="16">
        <v>0.016666666666666666</v>
      </c>
      <c r="J511" s="16">
        <v>0.0</v>
      </c>
      <c r="K511" s="4">
        <v>1.0</v>
      </c>
      <c r="L511" s="4">
        <v>0.0</v>
      </c>
      <c r="M511" s="4" t="s">
        <v>239</v>
      </c>
    </row>
    <row r="512" ht="18.0" customHeight="1">
      <c r="A512" s="4" t="s">
        <v>62</v>
      </c>
      <c r="B512" s="4">
        <v>17.0</v>
      </c>
      <c r="C512" s="4" t="s">
        <v>172</v>
      </c>
      <c r="D512" s="4" t="s">
        <v>159</v>
      </c>
      <c r="E512" s="16">
        <v>2.275875158375129E-5</v>
      </c>
      <c r="F512" s="16">
        <v>0.9999983035599485</v>
      </c>
      <c r="G512" s="16"/>
      <c r="H512" s="16">
        <v>1.0</v>
      </c>
      <c r="I512" s="16">
        <v>0.5</v>
      </c>
      <c r="J512" s="16">
        <v>0.0</v>
      </c>
      <c r="K512" s="4">
        <v>0.0</v>
      </c>
      <c r="M512" s="4" t="s">
        <v>32</v>
      </c>
    </row>
    <row r="513" ht="18.0" customHeight="1">
      <c r="A513" s="4" t="s">
        <v>62</v>
      </c>
      <c r="B513" s="4">
        <v>18.0</v>
      </c>
      <c r="C513" s="4" t="s">
        <v>175</v>
      </c>
      <c r="D513" s="4" t="s">
        <v>176</v>
      </c>
      <c r="E513" s="16">
        <v>2.4355567802558653E-5</v>
      </c>
      <c r="F513" s="16">
        <v>0.9999968569899238</v>
      </c>
      <c r="G513" s="16"/>
      <c r="H513" s="16">
        <v>0.0</v>
      </c>
      <c r="I513" s="16">
        <v>0.016666666666666666</v>
      </c>
      <c r="J513" s="16">
        <v>0.0</v>
      </c>
      <c r="K513" s="4">
        <v>1.0</v>
      </c>
      <c r="L513" s="4">
        <v>0.0</v>
      </c>
      <c r="M513" s="4" t="s">
        <v>239</v>
      </c>
    </row>
    <row r="514" ht="18.0" customHeight="1">
      <c r="A514" s="4" t="s">
        <v>62</v>
      </c>
      <c r="B514" s="4">
        <v>19.0</v>
      </c>
      <c r="C514" s="4" t="s">
        <v>156</v>
      </c>
      <c r="D514" s="4" t="s">
        <v>661</v>
      </c>
      <c r="E514" s="16">
        <v>6.200779171194881E-5</v>
      </c>
      <c r="F514" s="16">
        <v>0.9999920396028301</v>
      </c>
      <c r="G514" s="16"/>
      <c r="H514" s="16">
        <v>0.09090909090909091</v>
      </c>
      <c r="I514" s="16">
        <v>0.041666666666666664</v>
      </c>
      <c r="J514" s="16">
        <v>0.0</v>
      </c>
      <c r="K514" s="4">
        <v>0.0</v>
      </c>
      <c r="M514" s="4" t="s">
        <v>32</v>
      </c>
    </row>
    <row r="515" ht="18.0" customHeight="1">
      <c r="A515" s="4" t="s">
        <v>62</v>
      </c>
      <c r="B515" s="4">
        <v>20.0</v>
      </c>
      <c r="C515" s="4" t="s">
        <v>139</v>
      </c>
      <c r="D515" s="4" t="s">
        <v>151</v>
      </c>
      <c r="E515" s="16">
        <v>5.638198344968259E-4</v>
      </c>
      <c r="F515" s="16">
        <v>0.9999329924612539</v>
      </c>
      <c r="G515" s="16"/>
      <c r="H515" s="16">
        <v>1.0</v>
      </c>
      <c r="I515" s="16">
        <v>0.4791666666666667</v>
      </c>
      <c r="J515" s="16">
        <v>0.3445378151260505</v>
      </c>
      <c r="K515" s="4">
        <v>0.0</v>
      </c>
      <c r="M515" s="4" t="s">
        <v>32</v>
      </c>
    </row>
    <row r="516" ht="18.0" customHeight="1">
      <c r="A516" s="4" t="s">
        <v>62</v>
      </c>
      <c r="B516" s="4">
        <v>21.0</v>
      </c>
      <c r="C516" s="4" t="s">
        <v>326</v>
      </c>
      <c r="D516" s="4" t="s">
        <v>955</v>
      </c>
      <c r="E516" s="16">
        <v>5.664634227287024E-5</v>
      </c>
      <c r="F516" s="16">
        <v>0.999994996338728</v>
      </c>
      <c r="G516" s="16"/>
      <c r="H516" s="16">
        <v>1.0</v>
      </c>
      <c r="I516" s="16">
        <v>0.3958333333333333</v>
      </c>
      <c r="J516" s="16">
        <v>0.0</v>
      </c>
      <c r="K516" s="4">
        <v>0.0</v>
      </c>
      <c r="M516" s="4" t="s">
        <v>32</v>
      </c>
    </row>
    <row r="517" ht="18.0" customHeight="1">
      <c r="A517" s="4" t="s">
        <v>62</v>
      </c>
      <c r="B517" s="4">
        <v>22.0</v>
      </c>
      <c r="C517" s="4" t="s">
        <v>94</v>
      </c>
      <c r="D517" s="4" t="s">
        <v>476</v>
      </c>
      <c r="E517" s="16">
        <v>0.003856272902339697</v>
      </c>
      <c r="F517" s="16">
        <v>0.9991716776858084</v>
      </c>
      <c r="G517" s="16"/>
      <c r="H517" s="16">
        <v>1.0</v>
      </c>
      <c r="I517" s="16">
        <v>0.5416666666666666</v>
      </c>
      <c r="J517" s="16">
        <v>0.27272727272727276</v>
      </c>
      <c r="K517" s="4">
        <v>0.0</v>
      </c>
      <c r="M517" s="4" t="s">
        <v>32</v>
      </c>
    </row>
    <row r="518" ht="18.0" customHeight="1">
      <c r="A518" s="4" t="s">
        <v>62</v>
      </c>
      <c r="B518" s="4">
        <v>23.0</v>
      </c>
      <c r="C518" s="4" t="s">
        <v>147</v>
      </c>
      <c r="D518" s="4" t="s">
        <v>456</v>
      </c>
      <c r="E518" s="16">
        <v>0.002116189105436206</v>
      </c>
      <c r="F518" s="16">
        <v>0.9995929230208276</v>
      </c>
      <c r="G518" s="16"/>
      <c r="H518" s="16">
        <v>1.0</v>
      </c>
      <c r="I518" s="16">
        <v>0.5625</v>
      </c>
      <c r="J518" s="16">
        <v>0.2857142857142857</v>
      </c>
      <c r="K518" s="4">
        <v>1.0</v>
      </c>
      <c r="L518" s="4">
        <v>0.0</v>
      </c>
      <c r="M518" s="4" t="s">
        <v>239</v>
      </c>
    </row>
    <row r="519" ht="18.0" customHeight="1">
      <c r="A519" s="4" t="s">
        <v>62</v>
      </c>
      <c r="B519" s="4">
        <v>24.0</v>
      </c>
      <c r="C519" s="4" t="s">
        <v>686</v>
      </c>
      <c r="D519" s="4" t="s">
        <v>688</v>
      </c>
      <c r="E519" s="16">
        <v>1.280495198443532E-4</v>
      </c>
      <c r="F519" s="16">
        <v>0.9999854364891689</v>
      </c>
      <c r="G519" s="16"/>
      <c r="H519" s="16">
        <v>1.0</v>
      </c>
      <c r="I519" s="16">
        <v>0.5208333333333334</v>
      </c>
      <c r="J519" s="16">
        <v>0.125</v>
      </c>
      <c r="K519" s="4">
        <v>0.0</v>
      </c>
      <c r="M519" s="4" t="s">
        <v>32</v>
      </c>
    </row>
    <row r="520" ht="18.0" customHeight="1">
      <c r="A520" s="4" t="s">
        <v>62</v>
      </c>
      <c r="B520" s="4">
        <v>25.0</v>
      </c>
      <c r="C520" s="4" t="s">
        <v>159</v>
      </c>
      <c r="D520" s="4" t="s">
        <v>270</v>
      </c>
      <c r="E520" s="16">
        <v>9.541807230561972E-5</v>
      </c>
      <c r="F520" s="16">
        <v>0.999991893573906</v>
      </c>
      <c r="G520" s="16"/>
      <c r="H520" s="16">
        <v>1.0</v>
      </c>
      <c r="I520" s="16">
        <v>0.3958333333333333</v>
      </c>
      <c r="J520" s="16">
        <v>0.1428571428571429</v>
      </c>
      <c r="K520" s="4">
        <v>0.0</v>
      </c>
      <c r="M520" s="4" t="s">
        <v>32</v>
      </c>
    </row>
    <row r="521" ht="18.0" customHeight="1">
      <c r="A521" s="4" t="s">
        <v>62</v>
      </c>
      <c r="B521" s="4">
        <v>26.0</v>
      </c>
      <c r="C521" s="4" t="s">
        <v>270</v>
      </c>
      <c r="D521" s="4" t="s">
        <v>851</v>
      </c>
      <c r="E521" s="16">
        <v>0.04787449538707733</v>
      </c>
      <c r="F521" s="16">
        <v>0.9835952362045646</v>
      </c>
      <c r="G521" s="16"/>
      <c r="H521" s="16">
        <v>0.09090909090909091</v>
      </c>
      <c r="I521" s="16">
        <v>0.16666666666666666</v>
      </c>
      <c r="J521" s="16">
        <v>0.25</v>
      </c>
      <c r="K521" s="4">
        <v>0.0</v>
      </c>
      <c r="M521" s="4" t="s">
        <v>32</v>
      </c>
    </row>
    <row r="522" ht="18.0" customHeight="1">
      <c r="A522" s="4" t="s">
        <v>62</v>
      </c>
      <c r="B522" s="4">
        <v>27.0</v>
      </c>
      <c r="C522" s="4" t="s">
        <v>143</v>
      </c>
      <c r="D522" s="4" t="s">
        <v>1018</v>
      </c>
      <c r="E522" s="16">
        <v>9.586966916685924E-5</v>
      </c>
      <c r="F522" s="16">
        <v>0.9999901959704403</v>
      </c>
      <c r="G522" s="16"/>
      <c r="H522" s="16">
        <v>0.0</v>
      </c>
      <c r="I522" s="16">
        <v>0.08333333333333333</v>
      </c>
      <c r="J522" s="16">
        <v>0.0</v>
      </c>
      <c r="K522" s="4">
        <v>0.0</v>
      </c>
      <c r="M522" s="4" t="s">
        <v>32</v>
      </c>
    </row>
    <row r="523" ht="18.0" customHeight="1">
      <c r="A523" s="4" t="s">
        <v>62</v>
      </c>
      <c r="B523" s="4">
        <v>28.0</v>
      </c>
      <c r="C523" s="4" t="s">
        <v>159</v>
      </c>
      <c r="D523" s="4" t="s">
        <v>427</v>
      </c>
      <c r="E523" s="16">
        <v>8.82736458152067E-6</v>
      </c>
      <c r="F523" s="16">
        <v>0.9999993242840617</v>
      </c>
      <c r="G523" s="16"/>
      <c r="H523" s="16">
        <v>1.0</v>
      </c>
      <c r="I523" s="16">
        <v>0.3125</v>
      </c>
      <c r="J523" s="16">
        <v>0.13398692810457513</v>
      </c>
      <c r="K523" s="4">
        <v>1.0</v>
      </c>
      <c r="L523" s="4">
        <v>0.0</v>
      </c>
      <c r="M523" s="4" t="s">
        <v>239</v>
      </c>
    </row>
    <row r="524" ht="18.0" customHeight="1">
      <c r="A524" s="4" t="s">
        <v>62</v>
      </c>
      <c r="B524" s="4">
        <v>29.0</v>
      </c>
      <c r="C524" s="4" t="s">
        <v>427</v>
      </c>
      <c r="D524" s="4" t="s">
        <v>270</v>
      </c>
      <c r="E524" s="16">
        <v>1.7352501163259149E-4</v>
      </c>
      <c r="F524" s="16">
        <v>0.9999803627983965</v>
      </c>
      <c r="G524" s="16"/>
      <c r="H524" s="16">
        <v>0.0</v>
      </c>
      <c r="I524" s="16">
        <v>0.08333333333333333</v>
      </c>
      <c r="J524" s="16">
        <v>0.2857142857142857</v>
      </c>
      <c r="K524" s="4">
        <v>1.0</v>
      </c>
      <c r="L524" s="4">
        <v>0.0</v>
      </c>
      <c r="M524" s="4" t="s">
        <v>239</v>
      </c>
    </row>
    <row r="525" ht="18.0" customHeight="1">
      <c r="A525" s="4" t="s">
        <v>62</v>
      </c>
      <c r="B525" s="4">
        <v>30.0</v>
      </c>
      <c r="C525" s="4" t="s">
        <v>225</v>
      </c>
      <c r="D525" s="4" t="s">
        <v>467</v>
      </c>
      <c r="E525" s="16">
        <v>0.022099025547504425</v>
      </c>
      <c r="F525" s="16">
        <v>0.9935972259845585</v>
      </c>
      <c r="G525" s="16"/>
      <c r="H525" s="16">
        <v>0.9090909090909091</v>
      </c>
      <c r="I525" s="16">
        <v>0.5208333333333334</v>
      </c>
      <c r="J525" s="16">
        <v>0.8</v>
      </c>
      <c r="K525" s="4">
        <v>1.0</v>
      </c>
      <c r="L525" s="4">
        <v>0.0</v>
      </c>
      <c r="M525" s="4" t="s">
        <v>239</v>
      </c>
    </row>
    <row r="526" ht="18.0" customHeight="1">
      <c r="A526" s="4" t="s">
        <v>62</v>
      </c>
      <c r="B526" s="4">
        <v>31.0</v>
      </c>
      <c r="C526" s="4" t="s">
        <v>582</v>
      </c>
      <c r="D526" s="4" t="s">
        <v>649</v>
      </c>
      <c r="E526" s="16">
        <v>1.5220780915115029E-4</v>
      </c>
      <c r="F526" s="16">
        <v>0.9999854234129089</v>
      </c>
      <c r="G526" s="16"/>
      <c r="H526" s="16">
        <v>0.0</v>
      </c>
      <c r="I526" s="16">
        <v>0.0</v>
      </c>
      <c r="J526" s="16">
        <v>0.0</v>
      </c>
      <c r="K526" s="4">
        <v>0.0</v>
      </c>
      <c r="M526" s="4" t="s">
        <v>32</v>
      </c>
    </row>
    <row r="527" ht="18.0" customHeight="1">
      <c r="A527" s="4" t="s">
        <v>62</v>
      </c>
      <c r="B527" s="4">
        <v>32.0</v>
      </c>
      <c r="C527" s="4" t="s">
        <v>485</v>
      </c>
      <c r="D527" s="4" t="s">
        <v>460</v>
      </c>
      <c r="E527" s="16">
        <v>2.2952936706133187E-4</v>
      </c>
      <c r="F527" s="16">
        <v>0.9999759014408482</v>
      </c>
      <c r="G527" s="16"/>
      <c r="H527" s="16">
        <v>0.09090909090909091</v>
      </c>
      <c r="I527" s="16">
        <v>0.09999999999999999</v>
      </c>
      <c r="J527" s="16">
        <v>0.13978494623655913</v>
      </c>
      <c r="K527" s="4">
        <v>0.0</v>
      </c>
      <c r="M527" s="4" t="s">
        <v>32</v>
      </c>
    </row>
    <row r="528" ht="18.0" customHeight="1">
      <c r="A528" s="4" t="s">
        <v>62</v>
      </c>
      <c r="B528" s="4">
        <v>33.0</v>
      </c>
      <c r="C528" s="4" t="s">
        <v>896</v>
      </c>
      <c r="D528" s="4" t="s">
        <v>180</v>
      </c>
      <c r="E528" s="16">
        <v>1.7473907064413652E-5</v>
      </c>
      <c r="F528" s="16">
        <v>0.9999986065338362</v>
      </c>
      <c r="G528" s="16"/>
      <c r="H528" s="16">
        <v>1.0</v>
      </c>
      <c r="I528" s="16">
        <v>0.5375</v>
      </c>
      <c r="J528" s="16">
        <v>0.09290709290709295</v>
      </c>
      <c r="K528" s="4">
        <v>0.0</v>
      </c>
      <c r="M528" s="4" t="s">
        <v>32</v>
      </c>
    </row>
    <row r="529" ht="18.0" customHeight="1">
      <c r="A529" s="4" t="s">
        <v>62</v>
      </c>
      <c r="B529" s="4">
        <v>34.0</v>
      </c>
      <c r="C529" s="4" t="s">
        <v>460</v>
      </c>
      <c r="D529" s="4" t="s">
        <v>1019</v>
      </c>
      <c r="E529" s="16">
        <v>2.573418605607003E-4</v>
      </c>
      <c r="F529" s="16">
        <v>0.9999797405507707</v>
      </c>
      <c r="G529" s="16"/>
      <c r="H529" s="16">
        <v>1.0</v>
      </c>
      <c r="I529" s="16">
        <v>0.47500000000000003</v>
      </c>
      <c r="J529" s="16">
        <v>0.27177700348432066</v>
      </c>
      <c r="K529" s="4">
        <v>0.0</v>
      </c>
      <c r="M529" s="4" t="s">
        <v>32</v>
      </c>
    </row>
    <row r="530" ht="18.0" customHeight="1">
      <c r="A530" s="4" t="s">
        <v>62</v>
      </c>
      <c r="B530" s="4">
        <v>35.0</v>
      </c>
      <c r="C530" s="4" t="s">
        <v>245</v>
      </c>
      <c r="D530" s="4" t="s">
        <v>629</v>
      </c>
      <c r="E530" s="16">
        <v>0.011373039335012436</v>
      </c>
      <c r="F530" s="16">
        <v>0.9976372006349266</v>
      </c>
      <c r="G530" s="16"/>
      <c r="H530" s="16">
        <v>1.0</v>
      </c>
      <c r="I530" s="16">
        <v>0.4791666666666667</v>
      </c>
      <c r="J530" s="16">
        <v>0.3360655737704918</v>
      </c>
      <c r="K530" s="4">
        <v>0.0</v>
      </c>
      <c r="M530" s="4" t="s">
        <v>32</v>
      </c>
    </row>
    <row r="531" ht="18.0" customHeight="1">
      <c r="A531" s="4" t="s">
        <v>62</v>
      </c>
      <c r="B531" s="4">
        <v>36.0</v>
      </c>
      <c r="C531" s="4" t="s">
        <v>159</v>
      </c>
      <c r="D531" s="4" t="s">
        <v>160</v>
      </c>
      <c r="E531" s="16">
        <v>9.556869190419093E-5</v>
      </c>
      <c r="F531" s="16">
        <v>0.9999881503686083</v>
      </c>
      <c r="G531" s="16"/>
      <c r="H531" s="16">
        <v>1.0</v>
      </c>
      <c r="I531" s="16">
        <v>0.4166666666666667</v>
      </c>
      <c r="J531" s="16">
        <v>0.0</v>
      </c>
      <c r="K531" s="4">
        <v>0.0</v>
      </c>
      <c r="M531" s="4" t="s">
        <v>32</v>
      </c>
    </row>
    <row r="532" ht="18.0" customHeight="1">
      <c r="A532" s="4" t="s">
        <v>62</v>
      </c>
      <c r="B532" s="4">
        <v>37.0</v>
      </c>
      <c r="C532" s="4" t="s">
        <v>160</v>
      </c>
      <c r="D532" s="4" t="s">
        <v>270</v>
      </c>
      <c r="E532" s="16">
        <v>3.219871432520449E-4</v>
      </c>
      <c r="F532" s="16">
        <v>0.9999533303725912</v>
      </c>
      <c r="G532" s="16"/>
      <c r="H532" s="16">
        <v>0.0</v>
      </c>
      <c r="I532" s="16">
        <v>0.08333333333333333</v>
      </c>
      <c r="J532" s="16">
        <v>0.2857142857142857</v>
      </c>
      <c r="K532" s="4">
        <v>0.0</v>
      </c>
      <c r="M532" s="4" t="s">
        <v>32</v>
      </c>
    </row>
    <row r="533" ht="18.0" customHeight="1">
      <c r="A533" s="4" t="s">
        <v>62</v>
      </c>
      <c r="B533" s="4">
        <v>38.0</v>
      </c>
      <c r="C533" s="4" t="s">
        <v>122</v>
      </c>
      <c r="D533" s="4" t="s">
        <v>264</v>
      </c>
      <c r="E533" s="16">
        <v>1.0855484288185835E-4</v>
      </c>
      <c r="F533" s="16">
        <v>0.9999905275258243</v>
      </c>
      <c r="G533" s="16"/>
      <c r="H533" s="16">
        <v>0.0</v>
      </c>
      <c r="I533" s="16">
        <v>0.0</v>
      </c>
      <c r="J533" s="16">
        <v>0.0</v>
      </c>
      <c r="K533" s="4">
        <v>0.0</v>
      </c>
      <c r="M533" s="4" t="s">
        <v>32</v>
      </c>
    </row>
    <row r="534" ht="18.0" customHeight="1">
      <c r="A534" s="4" t="s">
        <v>62</v>
      </c>
      <c r="B534" s="4">
        <v>39.0</v>
      </c>
      <c r="C534" s="4" t="s">
        <v>326</v>
      </c>
      <c r="D534" s="4" t="s">
        <v>582</v>
      </c>
      <c r="E534" s="16">
        <v>1.8227164400741458E-4</v>
      </c>
      <c r="F534" s="16">
        <v>0.9999718847348049</v>
      </c>
      <c r="G534" s="16"/>
      <c r="H534" s="16">
        <v>0.9090909090909091</v>
      </c>
      <c r="I534" s="16">
        <v>0.5</v>
      </c>
      <c r="J534" s="16">
        <v>0.4285714285714286</v>
      </c>
      <c r="K534" s="4">
        <v>0.0</v>
      </c>
      <c r="M534" s="4" t="s">
        <v>32</v>
      </c>
    </row>
    <row r="535" ht="18.0" customHeight="1">
      <c r="A535" s="4" t="s">
        <v>62</v>
      </c>
      <c r="B535" s="4">
        <v>40.0</v>
      </c>
      <c r="C535" s="4" t="s">
        <v>262</v>
      </c>
      <c r="D535" s="4" t="s">
        <v>94</v>
      </c>
      <c r="E535" s="16">
        <v>0.061374180018901825</v>
      </c>
      <c r="F535" s="16">
        <v>0.9776756120845675</v>
      </c>
      <c r="G535" s="16"/>
      <c r="H535" s="16">
        <v>0.36363636363636365</v>
      </c>
      <c r="I535" s="16">
        <v>0.22916666666666666</v>
      </c>
      <c r="J535" s="16">
        <v>0.41958041958041964</v>
      </c>
      <c r="K535" s="4">
        <v>0.0</v>
      </c>
      <c r="M535" s="4" t="s">
        <v>32</v>
      </c>
    </row>
    <row r="536" ht="18.0" customHeight="1">
      <c r="A536" s="4" t="s">
        <v>62</v>
      </c>
      <c r="B536" s="4">
        <v>41.0</v>
      </c>
      <c r="C536" s="4" t="s">
        <v>147</v>
      </c>
      <c r="D536" s="4" t="s">
        <v>456</v>
      </c>
      <c r="E536" s="16">
        <v>1.832461857702583E-4</v>
      </c>
      <c r="F536" s="16">
        <v>0.9999755556173113</v>
      </c>
      <c r="G536" s="16"/>
      <c r="H536" s="16">
        <v>1.0</v>
      </c>
      <c r="I536" s="16">
        <v>0.47500000000000003</v>
      </c>
      <c r="J536" s="16">
        <v>0.35888501742160284</v>
      </c>
      <c r="K536" s="4">
        <v>0.0</v>
      </c>
      <c r="M536" s="4" t="s">
        <v>32</v>
      </c>
    </row>
    <row r="537" ht="18.0" customHeight="1">
      <c r="A537" s="4" t="s">
        <v>62</v>
      </c>
      <c r="B537" s="4">
        <v>42.0</v>
      </c>
      <c r="C537" s="4" t="s">
        <v>686</v>
      </c>
      <c r="D537" s="4" t="s">
        <v>143</v>
      </c>
      <c r="E537" s="16">
        <v>9.874360330286436E-6</v>
      </c>
      <c r="F537" s="16">
        <v>0.9999994052269869</v>
      </c>
      <c r="G537" s="16"/>
      <c r="H537" s="16">
        <v>0.8181818181818182</v>
      </c>
      <c r="I537" s="16">
        <v>0.4375</v>
      </c>
      <c r="J537" s="16">
        <v>0.32218309859154926</v>
      </c>
      <c r="K537" s="4">
        <v>0.0</v>
      </c>
      <c r="M537" s="4" t="s">
        <v>32</v>
      </c>
    </row>
    <row r="538" ht="18.0" customHeight="1">
      <c r="A538" s="4" t="s">
        <v>62</v>
      </c>
      <c r="B538" s="4">
        <v>43.0</v>
      </c>
      <c r="C538" s="4" t="s">
        <v>159</v>
      </c>
      <c r="D538" s="4" t="s">
        <v>851</v>
      </c>
      <c r="E538" s="16">
        <v>8.454468115814961E-6</v>
      </c>
      <c r="F538" s="16">
        <v>0.9999994955985869</v>
      </c>
      <c r="G538" s="16"/>
      <c r="H538" s="16">
        <v>1.0</v>
      </c>
      <c r="I538" s="16">
        <v>0.3958333333333333</v>
      </c>
      <c r="J538" s="16">
        <v>0.1428571428571429</v>
      </c>
      <c r="K538" s="4">
        <v>0.0</v>
      </c>
      <c r="M538" s="4" t="s">
        <v>32</v>
      </c>
    </row>
    <row r="539" ht="18.0" customHeight="1">
      <c r="A539" s="4" t="s">
        <v>62</v>
      </c>
      <c r="B539" s="4">
        <v>44.0</v>
      </c>
      <c r="C539" s="4" t="s">
        <v>851</v>
      </c>
      <c r="D539" s="4" t="s">
        <v>270</v>
      </c>
      <c r="E539" s="16">
        <v>2.6216352125629783E-5</v>
      </c>
      <c r="F539" s="16">
        <v>0.9999973292215714</v>
      </c>
      <c r="G539" s="16"/>
      <c r="H539" s="16">
        <v>0.36363636363636365</v>
      </c>
      <c r="I539" s="16">
        <v>0.2708333333333333</v>
      </c>
      <c r="J539" s="16">
        <v>0.3208137715179969</v>
      </c>
      <c r="K539" s="4">
        <v>0.0</v>
      </c>
      <c r="M539" s="4" t="s">
        <v>32</v>
      </c>
    </row>
    <row r="540" ht="18.0" customHeight="1">
      <c r="A540" s="4" t="s">
        <v>62</v>
      </c>
      <c r="B540" s="4">
        <v>45.0</v>
      </c>
      <c r="C540" s="4" t="s">
        <v>143</v>
      </c>
      <c r="D540" s="4" t="s">
        <v>144</v>
      </c>
      <c r="E540" s="16">
        <v>5.4881795222172514E-5</v>
      </c>
      <c r="F540" s="16">
        <v>0.9999923394545931</v>
      </c>
      <c r="G540" s="16"/>
      <c r="H540" s="16">
        <v>0.0</v>
      </c>
      <c r="I540" s="16">
        <v>0.08333333333333333</v>
      </c>
      <c r="J540" s="16">
        <v>0.2857142857142857</v>
      </c>
      <c r="K540" s="4">
        <v>0.0</v>
      </c>
      <c r="M540" s="4" t="s">
        <v>32</v>
      </c>
    </row>
    <row r="541" ht="18.0" customHeight="1">
      <c r="A541" s="4" t="s">
        <v>62</v>
      </c>
      <c r="B541" s="4">
        <v>46.0</v>
      </c>
      <c r="C541" s="4" t="s">
        <v>159</v>
      </c>
      <c r="D541" s="4" t="s">
        <v>427</v>
      </c>
      <c r="E541" s="16">
        <v>1.7782627764972858E-5</v>
      </c>
      <c r="F541" s="16">
        <v>0.9999978759665282</v>
      </c>
      <c r="G541" s="16"/>
      <c r="H541" s="16">
        <v>1.0</v>
      </c>
      <c r="I541" s="16">
        <v>0.3125</v>
      </c>
      <c r="J541" s="16">
        <v>0.13398692810457513</v>
      </c>
      <c r="K541" s="4">
        <v>0.0</v>
      </c>
      <c r="M541" s="4" t="s">
        <v>32</v>
      </c>
    </row>
    <row r="542" ht="18.0" customHeight="1">
      <c r="A542" s="4" t="s">
        <v>62</v>
      </c>
      <c r="B542" s="4">
        <v>47.0</v>
      </c>
      <c r="C542" s="4" t="s">
        <v>427</v>
      </c>
      <c r="D542" s="4" t="s">
        <v>270</v>
      </c>
      <c r="E542" s="16">
        <v>8.1264553591609E-4</v>
      </c>
      <c r="F542" s="16">
        <v>0.9998452920408454</v>
      </c>
      <c r="G542" s="16"/>
      <c r="H542" s="16">
        <v>0.0</v>
      </c>
      <c r="I542" s="16">
        <v>0.08333333333333333</v>
      </c>
      <c r="J542" s="16">
        <v>0.16666666666666663</v>
      </c>
      <c r="K542" s="4">
        <v>0.0</v>
      </c>
      <c r="M542" s="4" t="s">
        <v>32</v>
      </c>
    </row>
    <row r="543" ht="18.0" customHeight="1">
      <c r="A543" s="4" t="s">
        <v>62</v>
      </c>
      <c r="B543" s="4">
        <v>48.0</v>
      </c>
      <c r="C543" s="4" t="s">
        <v>225</v>
      </c>
      <c r="D543" s="4" t="s">
        <v>467</v>
      </c>
      <c r="E543" s="16">
        <v>0.14254076778888702</v>
      </c>
      <c r="F543" s="16">
        <v>0.9357579238712788</v>
      </c>
      <c r="G543" s="16"/>
      <c r="H543" s="16">
        <v>0.9090909090909091</v>
      </c>
      <c r="I543" s="16">
        <v>0.5208333333333334</v>
      </c>
      <c r="J543" s="16">
        <v>0.6666666666666667</v>
      </c>
      <c r="K543" s="4">
        <v>1.0</v>
      </c>
      <c r="L543" s="4">
        <v>1.0</v>
      </c>
      <c r="M543" s="4" t="s">
        <v>486</v>
      </c>
    </row>
    <row r="544" ht="18.0" customHeight="1">
      <c r="A544" s="4" t="s">
        <v>62</v>
      </c>
      <c r="B544" s="4">
        <v>49.0</v>
      </c>
      <c r="C544" s="4" t="s">
        <v>582</v>
      </c>
      <c r="D544" s="4" t="s">
        <v>907</v>
      </c>
      <c r="E544" s="16">
        <v>2.4552823742851615E-4</v>
      </c>
      <c r="F544" s="16">
        <v>0.9999738597862233</v>
      </c>
      <c r="G544" s="16"/>
      <c r="H544" s="16">
        <v>0.0</v>
      </c>
      <c r="I544" s="16">
        <v>0.0</v>
      </c>
      <c r="J544" s="16">
        <v>0.0</v>
      </c>
      <c r="K544" s="4">
        <v>0.0</v>
      </c>
      <c r="M544" s="4" t="s">
        <v>32</v>
      </c>
    </row>
    <row r="545" ht="18.0" customHeight="1">
      <c r="A545" s="4" t="s">
        <v>55</v>
      </c>
      <c r="B545" s="4">
        <v>2.0</v>
      </c>
      <c r="C545" s="4" t="s">
        <v>512</v>
      </c>
      <c r="D545" s="4" t="s">
        <v>513</v>
      </c>
      <c r="E545" s="16">
        <v>7.12473556632176E-5</v>
      </c>
      <c r="F545" s="16">
        <v>0.9999948505445673</v>
      </c>
      <c r="G545" s="16"/>
      <c r="H545" s="16">
        <v>0.0</v>
      </c>
      <c r="I545" s="16">
        <v>0.016666666666666666</v>
      </c>
      <c r="J545" s="16">
        <v>0.33333333333333337</v>
      </c>
      <c r="K545" s="4">
        <v>1.0</v>
      </c>
      <c r="L545" s="4">
        <v>0.0</v>
      </c>
      <c r="M545" s="4" t="s">
        <v>239</v>
      </c>
    </row>
    <row r="546" ht="18.0" customHeight="1">
      <c r="A546" s="4" t="s">
        <v>55</v>
      </c>
      <c r="B546" s="4">
        <v>3.0</v>
      </c>
      <c r="C546" s="4" t="s">
        <v>530</v>
      </c>
      <c r="D546" s="4" t="s">
        <v>531</v>
      </c>
      <c r="E546" s="16">
        <v>1.3357830175664276E-4</v>
      </c>
      <c r="F546" s="16">
        <v>0.9999883059065269</v>
      </c>
      <c r="G546" s="16"/>
      <c r="H546" s="16">
        <v>0.0</v>
      </c>
      <c r="I546" s="16">
        <v>0.016666666666666666</v>
      </c>
      <c r="J546" s="16">
        <v>0.33333333333333337</v>
      </c>
      <c r="K546" s="4">
        <v>1.0</v>
      </c>
      <c r="L546" s="4">
        <v>0.0</v>
      </c>
      <c r="M546" s="4" t="s">
        <v>239</v>
      </c>
    </row>
    <row r="547" ht="18.0" customHeight="1">
      <c r="A547" s="4" t="s">
        <v>55</v>
      </c>
      <c r="B547" s="4">
        <v>4.0</v>
      </c>
      <c r="C547" s="4" t="s">
        <v>1020</v>
      </c>
      <c r="D547" s="4" t="s">
        <v>156</v>
      </c>
      <c r="E547" s="16">
        <v>1.8171792908106E-4</v>
      </c>
      <c r="F547" s="16">
        <v>0.9999840233062969</v>
      </c>
      <c r="G547" s="16"/>
      <c r="H547" s="16">
        <v>0.09090909090909091</v>
      </c>
      <c r="I547" s="16">
        <v>0.08333333333333333</v>
      </c>
      <c r="J547" s="16">
        <v>0.0</v>
      </c>
      <c r="K547" s="4">
        <v>0.0</v>
      </c>
      <c r="M547" s="4" t="s">
        <v>32</v>
      </c>
    </row>
    <row r="548" ht="18.0" customHeight="1">
      <c r="A548" s="4" t="s">
        <v>55</v>
      </c>
      <c r="B548" s="4">
        <v>5.0</v>
      </c>
      <c r="C548" s="4" t="s">
        <v>139</v>
      </c>
      <c r="D548" s="4" t="s">
        <v>140</v>
      </c>
      <c r="E548" s="16">
        <v>0.018313447013497353</v>
      </c>
      <c r="F548" s="16">
        <v>0.9954627924598753</v>
      </c>
      <c r="G548" s="16"/>
      <c r="H548" s="16">
        <v>1.0</v>
      </c>
      <c r="I548" s="16">
        <v>0.4583333333333333</v>
      </c>
      <c r="J548" s="16">
        <v>0.0</v>
      </c>
      <c r="K548" s="4">
        <v>0.0</v>
      </c>
      <c r="M548" s="4" t="s">
        <v>32</v>
      </c>
    </row>
    <row r="549" ht="18.0" customHeight="1">
      <c r="A549" s="4" t="s">
        <v>55</v>
      </c>
      <c r="B549" s="4">
        <v>6.0</v>
      </c>
      <c r="C549" s="4" t="s">
        <v>232</v>
      </c>
      <c r="D549" s="4" t="s">
        <v>159</v>
      </c>
      <c r="E549" s="16">
        <v>0.004453497938811779</v>
      </c>
      <c r="F549" s="16">
        <v>0.9992984939308371</v>
      </c>
      <c r="G549" s="16"/>
      <c r="H549" s="16">
        <v>0.0</v>
      </c>
      <c r="I549" s="16">
        <v>0.0</v>
      </c>
      <c r="J549" s="16">
        <v>0.0</v>
      </c>
      <c r="K549" s="4">
        <v>1.0</v>
      </c>
      <c r="L549" s="4">
        <v>0.0</v>
      </c>
      <c r="M549" s="4" t="s">
        <v>239</v>
      </c>
    </row>
    <row r="550" ht="18.0" customHeight="1">
      <c r="A550" s="4" t="s">
        <v>55</v>
      </c>
      <c r="B550" s="4">
        <v>7.0</v>
      </c>
      <c r="C550" s="4" t="s">
        <v>163</v>
      </c>
      <c r="D550" s="4" t="s">
        <v>201</v>
      </c>
      <c r="E550" s="16">
        <v>0.21889571845531464</v>
      </c>
      <c r="F550" s="16">
        <v>0.9343720693141222</v>
      </c>
      <c r="G550" s="16"/>
      <c r="H550" s="16">
        <v>1.0</v>
      </c>
      <c r="I550" s="16">
        <v>0.5166666666666667</v>
      </c>
      <c r="J550" s="16">
        <v>0.625</v>
      </c>
      <c r="K550" s="4">
        <v>1.0</v>
      </c>
      <c r="L550" s="4">
        <v>0.0</v>
      </c>
      <c r="M550" s="4" t="s">
        <v>239</v>
      </c>
    </row>
    <row r="551" ht="18.0" customHeight="1">
      <c r="A551" s="4" t="s">
        <v>55</v>
      </c>
      <c r="B551" s="4">
        <v>8.0</v>
      </c>
      <c r="C551" s="4" t="s">
        <v>666</v>
      </c>
      <c r="D551" s="4" t="s">
        <v>743</v>
      </c>
      <c r="E551" s="16">
        <v>0.004596135579049587</v>
      </c>
      <c r="F551" s="16">
        <v>0.9991663541877642</v>
      </c>
      <c r="G551" s="16"/>
      <c r="H551" s="16">
        <v>1.0</v>
      </c>
      <c r="I551" s="16">
        <v>0.5083333333333334</v>
      </c>
      <c r="J551" s="16">
        <v>0.5126396237507348</v>
      </c>
      <c r="K551" s="4">
        <v>0.0</v>
      </c>
      <c r="M551" s="4" t="s">
        <v>32</v>
      </c>
    </row>
    <row r="552" ht="18.0" customHeight="1">
      <c r="A552" s="4" t="s">
        <v>55</v>
      </c>
      <c r="B552" s="4">
        <v>9.0</v>
      </c>
      <c r="C552" s="4" t="s">
        <v>1020</v>
      </c>
      <c r="D552" s="4" t="s">
        <v>311</v>
      </c>
      <c r="E552" s="16">
        <v>0.032692424952983856</v>
      </c>
      <c r="F552" s="16">
        <v>0.9923938836436719</v>
      </c>
      <c r="G552" s="16"/>
      <c r="H552" s="16">
        <v>1.0</v>
      </c>
      <c r="I552" s="16">
        <v>0.47500000000000003</v>
      </c>
      <c r="J552" s="16">
        <v>0.19999999999999996</v>
      </c>
      <c r="K552" s="4">
        <v>0.0</v>
      </c>
      <c r="M552" s="4" t="s">
        <v>32</v>
      </c>
    </row>
    <row r="553" ht="18.0" customHeight="1">
      <c r="A553" s="4" t="s">
        <v>55</v>
      </c>
      <c r="B553" s="4">
        <v>10.0</v>
      </c>
      <c r="C553" s="4" t="s">
        <v>151</v>
      </c>
      <c r="D553" s="4" t="s">
        <v>538</v>
      </c>
      <c r="E553" s="16">
        <v>5.919159157201648E-4</v>
      </c>
      <c r="F553" s="16">
        <v>0.9999236013009067</v>
      </c>
      <c r="G553" s="16"/>
      <c r="H553" s="16">
        <v>1.0</v>
      </c>
      <c r="I553" s="16">
        <v>0.5833333333333334</v>
      </c>
      <c r="J553" s="16">
        <v>0.0</v>
      </c>
      <c r="K553" s="4">
        <v>1.0</v>
      </c>
      <c r="L553" s="4">
        <v>0.0</v>
      </c>
      <c r="M553" s="4" t="s">
        <v>239</v>
      </c>
    </row>
    <row r="554" ht="18.0" customHeight="1">
      <c r="A554" s="4" t="s">
        <v>55</v>
      </c>
      <c r="B554" s="4">
        <v>11.0</v>
      </c>
      <c r="C554" s="4" t="s">
        <v>538</v>
      </c>
      <c r="D554" s="4" t="s">
        <v>264</v>
      </c>
      <c r="E554" s="16">
        <v>1.063991294358857E-4</v>
      </c>
      <c r="F554" s="16">
        <v>0.9999906201644535</v>
      </c>
      <c r="G554" s="16"/>
      <c r="H554" s="16">
        <v>1.0</v>
      </c>
      <c r="I554" s="16">
        <v>0.47500000000000003</v>
      </c>
      <c r="J554" s="16">
        <v>0.19999999999999996</v>
      </c>
      <c r="K554" s="4">
        <v>0.0</v>
      </c>
      <c r="M554" s="4" t="s">
        <v>32</v>
      </c>
    </row>
    <row r="555" ht="18.0" customHeight="1">
      <c r="A555" s="4" t="s">
        <v>55</v>
      </c>
      <c r="B555" s="4">
        <v>12.0</v>
      </c>
      <c r="C555" s="4" t="s">
        <v>535</v>
      </c>
      <c r="D555" s="4" t="s">
        <v>180</v>
      </c>
      <c r="E555" s="16">
        <v>0.010767619125545025</v>
      </c>
      <c r="F555" s="16">
        <v>0.9975075062830001</v>
      </c>
      <c r="G555" s="16"/>
      <c r="H555" s="16">
        <v>1.0</v>
      </c>
      <c r="I555" s="16">
        <v>0.7083333333333334</v>
      </c>
      <c r="J555" s="16">
        <v>0.15922619047619044</v>
      </c>
      <c r="K555" s="4">
        <v>1.0</v>
      </c>
      <c r="L555" s="4">
        <v>0.0</v>
      </c>
      <c r="M555" s="4" t="s">
        <v>239</v>
      </c>
    </row>
    <row r="556" ht="18.0" customHeight="1">
      <c r="A556" s="4" t="s">
        <v>55</v>
      </c>
      <c r="B556" s="4">
        <v>13.0</v>
      </c>
      <c r="C556" s="4" t="s">
        <v>461</v>
      </c>
      <c r="D556" s="4" t="s">
        <v>460</v>
      </c>
      <c r="E556" s="16">
        <v>0.07592148333787918</v>
      </c>
      <c r="F556" s="16">
        <v>0.9782989146187901</v>
      </c>
      <c r="G556" s="16"/>
      <c r="H556" s="16">
        <v>0.0</v>
      </c>
      <c r="I556" s="16">
        <v>0.016666666666666666</v>
      </c>
      <c r="J556" s="16">
        <v>0.0</v>
      </c>
      <c r="K556" s="4">
        <v>1.0</v>
      </c>
      <c r="L556" s="4">
        <v>0.0</v>
      </c>
      <c r="M556" s="4" t="s">
        <v>239</v>
      </c>
    </row>
    <row r="557" ht="18.0" customHeight="1">
      <c r="A557" s="4" t="s">
        <v>55</v>
      </c>
      <c r="B557" s="4">
        <v>14.0</v>
      </c>
      <c r="C557" s="4" t="s">
        <v>258</v>
      </c>
      <c r="D557" s="4" t="s">
        <v>1021</v>
      </c>
      <c r="E557" s="16">
        <v>7.705632015131414E-4</v>
      </c>
      <c r="F557" s="16">
        <v>0.999881527677644</v>
      </c>
      <c r="G557" s="16"/>
      <c r="H557" s="16">
        <v>1.0</v>
      </c>
      <c r="I557" s="16">
        <v>0.6666666666666666</v>
      </c>
      <c r="J557" s="16">
        <v>0.16666666666666663</v>
      </c>
      <c r="K557" s="4">
        <v>0.0</v>
      </c>
      <c r="M557" s="4" t="s">
        <v>32</v>
      </c>
    </row>
    <row r="558" ht="18.0" customHeight="1">
      <c r="A558" s="4" t="s">
        <v>55</v>
      </c>
      <c r="B558" s="4">
        <v>15.0</v>
      </c>
      <c r="C558" s="4" t="s">
        <v>456</v>
      </c>
      <c r="D558" s="4" t="s">
        <v>517</v>
      </c>
      <c r="E558" s="16">
        <v>0.032868046313524246</v>
      </c>
      <c r="F558" s="16">
        <v>0.9900329080410302</v>
      </c>
      <c r="G558" s="16"/>
      <c r="H558" s="16">
        <v>1.0</v>
      </c>
      <c r="I558" s="16">
        <v>0.6666666666666666</v>
      </c>
      <c r="J558" s="16">
        <v>0.0</v>
      </c>
      <c r="K558" s="4">
        <v>1.0</v>
      </c>
      <c r="L558" s="4">
        <v>0.0</v>
      </c>
      <c r="M558" s="4" t="s">
        <v>239</v>
      </c>
    </row>
    <row r="559" ht="18.0" customHeight="1">
      <c r="A559" s="4" t="s">
        <v>55</v>
      </c>
      <c r="B559" s="4">
        <v>16.0</v>
      </c>
      <c r="C559" s="4" t="s">
        <v>491</v>
      </c>
      <c r="D559" s="4" t="s">
        <v>492</v>
      </c>
      <c r="E559" s="16">
        <v>0.02880607545375824</v>
      </c>
      <c r="F559" s="16">
        <v>0.9919684864580631</v>
      </c>
      <c r="G559" s="16"/>
      <c r="H559" s="16">
        <v>1.0</v>
      </c>
      <c r="I559" s="16">
        <v>0.5333333333333333</v>
      </c>
      <c r="J559" s="16">
        <v>0.7936046511627908</v>
      </c>
      <c r="K559" s="4">
        <v>1.0</v>
      </c>
      <c r="L559" s="4">
        <v>0.0</v>
      </c>
      <c r="M559" s="4" t="s">
        <v>239</v>
      </c>
    </row>
    <row r="560" ht="18.0" customHeight="1">
      <c r="A560" s="4" t="s">
        <v>55</v>
      </c>
      <c r="B560" s="4">
        <v>17.0</v>
      </c>
      <c r="C560" s="4" t="s">
        <v>495</v>
      </c>
      <c r="D560" s="4" t="s">
        <v>496</v>
      </c>
      <c r="E560" s="16">
        <v>0.25521594285964966</v>
      </c>
      <c r="F560" s="16">
        <v>0.908183004707098</v>
      </c>
      <c r="G560" s="16"/>
      <c r="H560" s="16">
        <v>0.9090909090909091</v>
      </c>
      <c r="I560" s="16">
        <v>0.5166666666666667</v>
      </c>
      <c r="J560" s="16">
        <v>0.75</v>
      </c>
      <c r="K560" s="4">
        <v>1.0</v>
      </c>
      <c r="L560" s="4">
        <v>0.0</v>
      </c>
      <c r="M560" s="4" t="s">
        <v>239</v>
      </c>
    </row>
    <row r="561" ht="18.0" customHeight="1">
      <c r="A561" s="4" t="s">
        <v>55</v>
      </c>
      <c r="B561" s="4">
        <v>18.0</v>
      </c>
      <c r="C561" s="4" t="s">
        <v>524</v>
      </c>
      <c r="D561" s="4" t="s">
        <v>525</v>
      </c>
      <c r="E561" s="16">
        <v>0.04796181246638298</v>
      </c>
      <c r="F561" s="16">
        <v>0.9909405501093715</v>
      </c>
      <c r="G561" s="16"/>
      <c r="H561" s="16">
        <v>1.0</v>
      </c>
      <c r="I561" s="16">
        <v>0.6666666666666666</v>
      </c>
      <c r="J561" s="16">
        <v>0.16666666666666663</v>
      </c>
      <c r="K561" s="4">
        <v>1.0</v>
      </c>
      <c r="L561" s="4">
        <v>0.0</v>
      </c>
      <c r="M561" s="4" t="s">
        <v>239</v>
      </c>
    </row>
    <row r="562" ht="18.0" customHeight="1">
      <c r="A562" s="4" t="s">
        <v>55</v>
      </c>
      <c r="B562" s="4">
        <v>19.0</v>
      </c>
      <c r="C562" s="4" t="s">
        <v>503</v>
      </c>
      <c r="D562" s="4" t="s">
        <v>169</v>
      </c>
      <c r="E562" s="16">
        <v>0.3878879249095917</v>
      </c>
      <c r="F562" s="16">
        <v>0.7472294270992279</v>
      </c>
      <c r="G562" s="16"/>
      <c r="H562" s="16">
        <v>1.0</v>
      </c>
      <c r="I562" s="16">
        <v>0.6666666666666666</v>
      </c>
      <c r="J562" s="16">
        <v>0.0</v>
      </c>
      <c r="K562" s="4">
        <v>1.0</v>
      </c>
      <c r="L562" s="4">
        <v>0.0</v>
      </c>
      <c r="M562" s="4" t="s">
        <v>239</v>
      </c>
    </row>
    <row r="563" ht="18.0" customHeight="1">
      <c r="A563" s="4" t="s">
        <v>55</v>
      </c>
      <c r="B563" s="4">
        <v>20.0</v>
      </c>
      <c r="C563" s="4" t="s">
        <v>169</v>
      </c>
      <c r="D563" s="4" t="s">
        <v>591</v>
      </c>
      <c r="E563" s="16">
        <v>5.228627705946565E-4</v>
      </c>
      <c r="F563" s="16">
        <v>0.9999179020851443</v>
      </c>
      <c r="G563" s="16"/>
      <c r="H563" s="16">
        <v>1.0</v>
      </c>
      <c r="I563" s="16">
        <v>0.5416666666666666</v>
      </c>
      <c r="J563" s="16">
        <v>0.15697674418604649</v>
      </c>
      <c r="K563" s="4">
        <v>0.0</v>
      </c>
      <c r="M563" s="4" t="s">
        <v>32</v>
      </c>
    </row>
    <row r="564" ht="18.0" customHeight="1">
      <c r="A564" s="4" t="s">
        <v>55</v>
      </c>
      <c r="B564" s="4">
        <v>21.0</v>
      </c>
      <c r="C564" s="4" t="s">
        <v>453</v>
      </c>
      <c r="D564" s="4" t="s">
        <v>94</v>
      </c>
      <c r="E564" s="16">
        <v>0.0016477619064971805</v>
      </c>
      <c r="F564" s="16">
        <v>0.9997277048823889</v>
      </c>
      <c r="G564" s="16"/>
      <c r="H564" s="16">
        <v>0.9090909090909091</v>
      </c>
      <c r="I564" s="16">
        <v>0.7291666666666666</v>
      </c>
      <c r="J564" s="16">
        <v>0.7272727272727273</v>
      </c>
      <c r="K564" s="4">
        <v>1.0</v>
      </c>
      <c r="L564" s="4">
        <v>0.0</v>
      </c>
      <c r="M564" s="4" t="s">
        <v>239</v>
      </c>
    </row>
    <row r="565" ht="18.0" customHeight="1">
      <c r="A565" s="4" t="s">
        <v>53</v>
      </c>
      <c r="B565" s="4">
        <v>2.0</v>
      </c>
      <c r="C565" s="4" t="s">
        <v>122</v>
      </c>
      <c r="D565" s="4" t="s">
        <v>220</v>
      </c>
      <c r="E565" s="16">
        <v>0.002889516530558467</v>
      </c>
      <c r="F565" s="16">
        <v>0.9994589537382126</v>
      </c>
      <c r="G565" s="16"/>
      <c r="H565" s="16">
        <v>1.0</v>
      </c>
      <c r="I565" s="16">
        <v>0.5</v>
      </c>
      <c r="J565" s="16">
        <v>0.09090909090909091</v>
      </c>
      <c r="K565" s="4">
        <v>0.0</v>
      </c>
      <c r="M565" s="4" t="s">
        <v>32</v>
      </c>
    </row>
    <row r="566" ht="18.0" customHeight="1">
      <c r="A566" s="4" t="s">
        <v>53</v>
      </c>
      <c r="B566" s="4">
        <v>3.0</v>
      </c>
      <c r="C566" s="4" t="s">
        <v>231</v>
      </c>
      <c r="D566" s="4" t="s">
        <v>232</v>
      </c>
      <c r="E566" s="16">
        <v>0.01906631886959076</v>
      </c>
      <c r="F566" s="16">
        <v>0.9965602469164878</v>
      </c>
      <c r="G566" s="16"/>
      <c r="H566" s="16">
        <v>1.0</v>
      </c>
      <c r="I566" s="16">
        <v>0.5375</v>
      </c>
      <c r="J566" s="16">
        <v>0.5900383141762453</v>
      </c>
      <c r="K566" s="4">
        <v>1.0</v>
      </c>
      <c r="L566" s="4">
        <v>0.0</v>
      </c>
      <c r="M566" s="4" t="s">
        <v>239</v>
      </c>
    </row>
    <row r="567" ht="18.0" customHeight="1">
      <c r="A567" s="4" t="s">
        <v>53</v>
      </c>
      <c r="B567" s="4">
        <v>4.0</v>
      </c>
      <c r="C567" s="4" t="s">
        <v>1022</v>
      </c>
      <c r="D567" s="4" t="s">
        <v>83</v>
      </c>
      <c r="E567" s="16">
        <v>2.449614112265408E-4</v>
      </c>
      <c r="F567" s="16">
        <v>0.9999775984442749</v>
      </c>
      <c r="G567" s="16"/>
      <c r="H567" s="16">
        <v>0.9090909090909091</v>
      </c>
      <c r="I567" s="16">
        <v>0.4916666666666667</v>
      </c>
      <c r="J567" s="16">
        <v>0.8850574712643678</v>
      </c>
      <c r="K567" s="4">
        <v>0.0</v>
      </c>
      <c r="M567" s="4" t="s">
        <v>32</v>
      </c>
    </row>
    <row r="568" ht="18.0" customHeight="1">
      <c r="A568" s="4" t="s">
        <v>53</v>
      </c>
      <c r="B568" s="4">
        <v>5.0</v>
      </c>
      <c r="C568" s="4" t="s">
        <v>1023</v>
      </c>
      <c r="D568" s="4" t="s">
        <v>1024</v>
      </c>
      <c r="E568" s="16">
        <v>1.6473865252919495E-4</v>
      </c>
      <c r="F568" s="16">
        <v>0.9999815208625478</v>
      </c>
      <c r="G568" s="16"/>
      <c r="H568" s="16">
        <v>0.0</v>
      </c>
      <c r="I568" s="16">
        <v>0.016666666666666666</v>
      </c>
      <c r="J568" s="16">
        <v>0.4</v>
      </c>
      <c r="K568" s="4">
        <v>0.0</v>
      </c>
      <c r="M568" s="4" t="s">
        <v>32</v>
      </c>
    </row>
    <row r="569" ht="18.0" customHeight="1">
      <c r="A569" s="4" t="s">
        <v>53</v>
      </c>
      <c r="B569" s="4">
        <v>6.0</v>
      </c>
      <c r="C569" s="4" t="s">
        <v>979</v>
      </c>
      <c r="D569" s="4" t="s">
        <v>1025</v>
      </c>
      <c r="E569" s="16">
        <v>7.610500324517488E-5</v>
      </c>
      <c r="F569" s="16">
        <v>0.9999936781356382</v>
      </c>
      <c r="G569" s="16"/>
      <c r="H569" s="16">
        <v>0.0</v>
      </c>
      <c r="I569" s="16">
        <v>0.041666666666666664</v>
      </c>
      <c r="J569" s="16">
        <v>0.5</v>
      </c>
      <c r="K569" s="4">
        <v>0.0</v>
      </c>
      <c r="M569" s="4" t="s">
        <v>32</v>
      </c>
    </row>
    <row r="570" ht="18.0" customHeight="1">
      <c r="A570" s="4" t="s">
        <v>53</v>
      </c>
      <c r="B570" s="4">
        <v>7.0</v>
      </c>
      <c r="C570" s="4" t="s">
        <v>359</v>
      </c>
      <c r="D570" s="4" t="s">
        <v>254</v>
      </c>
      <c r="E570" s="16">
        <v>0.005218701437115669</v>
      </c>
      <c r="F570" s="16">
        <v>0.9989908784045838</v>
      </c>
      <c r="G570" s="16"/>
      <c r="H570" s="16">
        <v>1.0</v>
      </c>
      <c r="I570" s="16">
        <v>0.625</v>
      </c>
      <c r="J570" s="16">
        <v>0.0</v>
      </c>
      <c r="K570" s="4">
        <v>1.0</v>
      </c>
      <c r="L570" s="4">
        <v>0.0</v>
      </c>
      <c r="M570" s="4" t="s">
        <v>239</v>
      </c>
    </row>
    <row r="571" ht="18.0" customHeight="1">
      <c r="A571" s="4" t="s">
        <v>53</v>
      </c>
      <c r="B571" s="4">
        <v>8.0</v>
      </c>
      <c r="C571" s="4" t="s">
        <v>151</v>
      </c>
      <c r="D571" s="4" t="s">
        <v>545</v>
      </c>
      <c r="E571" s="16">
        <v>0.07175584137439728</v>
      </c>
      <c r="F571" s="16">
        <v>0.9759830245748162</v>
      </c>
      <c r="G571" s="16"/>
      <c r="H571" s="16">
        <v>0.0</v>
      </c>
      <c r="I571" s="16">
        <v>0.041666666666666664</v>
      </c>
      <c r="J571" s="16">
        <v>0.0</v>
      </c>
      <c r="K571" s="4">
        <v>1.0</v>
      </c>
      <c r="L571" s="4">
        <v>0.0</v>
      </c>
      <c r="M571" s="4" t="s">
        <v>239</v>
      </c>
    </row>
    <row r="572" ht="18.0" customHeight="1">
      <c r="A572" s="4" t="s">
        <v>53</v>
      </c>
      <c r="B572" s="4">
        <v>9.0</v>
      </c>
      <c r="C572" s="4" t="s">
        <v>334</v>
      </c>
      <c r="D572" s="4" t="s">
        <v>975</v>
      </c>
      <c r="E572" s="16">
        <v>3.145099981338717E-5</v>
      </c>
      <c r="F572" s="16">
        <v>0.9999979407066633</v>
      </c>
      <c r="G572" s="16"/>
      <c r="H572" s="16">
        <v>0.8181818181818182</v>
      </c>
      <c r="I572" s="16">
        <v>0.4916666666666667</v>
      </c>
      <c r="J572" s="16">
        <v>1.0</v>
      </c>
      <c r="K572" s="4">
        <v>0.0</v>
      </c>
      <c r="M572" s="4" t="s">
        <v>32</v>
      </c>
    </row>
    <row r="573" ht="18.0" customHeight="1">
      <c r="A573" s="4" t="s">
        <v>53</v>
      </c>
      <c r="B573" s="4">
        <v>10.0</v>
      </c>
      <c r="C573" s="4" t="s">
        <v>139</v>
      </c>
      <c r="D573" s="4" t="s">
        <v>139</v>
      </c>
      <c r="E573" s="16">
        <v>0.006995086558163166</v>
      </c>
      <c r="F573" s="16">
        <v>0.9986506153945811</v>
      </c>
      <c r="G573" s="16"/>
      <c r="H573" s="16">
        <v>0.0</v>
      </c>
      <c r="I573" s="16">
        <v>0.0</v>
      </c>
      <c r="J573" s="16">
        <v>0.0</v>
      </c>
      <c r="K573" s="4">
        <v>0.0</v>
      </c>
      <c r="M573" s="4" t="s">
        <v>32</v>
      </c>
    </row>
    <row r="574" ht="18.0" customHeight="1">
      <c r="A574" s="4" t="s">
        <v>53</v>
      </c>
      <c r="B574" s="4">
        <v>11.0</v>
      </c>
      <c r="C574" s="4" t="s">
        <v>232</v>
      </c>
      <c r="D574" s="4" t="s">
        <v>159</v>
      </c>
      <c r="E574" s="16">
        <v>7.546647102572024E-4</v>
      </c>
      <c r="F574" s="16">
        <v>0.9998831722296018</v>
      </c>
      <c r="G574" s="16"/>
      <c r="H574" s="16">
        <v>0.0</v>
      </c>
      <c r="I574" s="16">
        <v>0.0</v>
      </c>
      <c r="J574" s="16">
        <v>0.0</v>
      </c>
      <c r="K574" s="4">
        <v>0.0</v>
      </c>
      <c r="M574" s="4" t="s">
        <v>32</v>
      </c>
    </row>
    <row r="575" ht="18.0" customHeight="1">
      <c r="A575" s="4" t="s">
        <v>53</v>
      </c>
      <c r="B575" s="4">
        <v>12.0</v>
      </c>
      <c r="C575" s="4" t="s">
        <v>163</v>
      </c>
      <c r="D575" s="4" t="s">
        <v>94</v>
      </c>
      <c r="E575" s="16">
        <v>1.4478410482406616</v>
      </c>
      <c r="F575" s="16">
        <v>0.2908336967229843</v>
      </c>
      <c r="G575" s="16"/>
      <c r="H575" s="16">
        <v>1.0</v>
      </c>
      <c r="I575" s="16">
        <v>0.6416666666666667</v>
      </c>
      <c r="J575" s="16">
        <v>0.7142857142857143</v>
      </c>
      <c r="K575" s="4">
        <v>1.0</v>
      </c>
      <c r="L575" s="4">
        <v>1.0</v>
      </c>
      <c r="M575" s="4" t="s">
        <v>486</v>
      </c>
    </row>
    <row r="576" ht="18.0" customHeight="1">
      <c r="A576" s="4" t="s">
        <v>53</v>
      </c>
      <c r="B576" s="4">
        <v>13.0</v>
      </c>
      <c r="C576" s="4" t="s">
        <v>557</v>
      </c>
      <c r="D576" s="4" t="s">
        <v>334</v>
      </c>
      <c r="E576" s="16">
        <v>0.378434956073761</v>
      </c>
      <c r="F576" s="16">
        <v>0.7662446200847626</v>
      </c>
      <c r="G576" s="16"/>
      <c r="H576" s="16">
        <v>1.0</v>
      </c>
      <c r="I576" s="16">
        <v>0.7000000000000001</v>
      </c>
      <c r="J576" s="16">
        <v>0.3595959595959596</v>
      </c>
      <c r="K576" s="4">
        <v>1.0</v>
      </c>
      <c r="L576" s="4">
        <v>0.0</v>
      </c>
      <c r="M576" s="4" t="s">
        <v>239</v>
      </c>
    </row>
    <row r="577" ht="18.0" customHeight="1">
      <c r="A577" s="4" t="s">
        <v>53</v>
      </c>
      <c r="B577" s="4">
        <v>14.0</v>
      </c>
      <c r="C577" s="4" t="s">
        <v>548</v>
      </c>
      <c r="D577" s="4" t="s">
        <v>359</v>
      </c>
      <c r="E577" s="16">
        <v>0.6564154624938965</v>
      </c>
      <c r="F577" s="16">
        <v>0.28828150033950806</v>
      </c>
      <c r="G577" s="16"/>
      <c r="H577" s="16">
        <v>0.18181818181818182</v>
      </c>
      <c r="I577" s="16">
        <v>0.075</v>
      </c>
      <c r="J577" s="16">
        <v>0.0</v>
      </c>
      <c r="K577" s="4">
        <v>1.0</v>
      </c>
      <c r="L577" s="4">
        <v>0.0</v>
      </c>
      <c r="M577" s="4" t="s">
        <v>239</v>
      </c>
    </row>
    <row r="578" ht="18.0" customHeight="1">
      <c r="A578" s="4" t="s">
        <v>53</v>
      </c>
      <c r="B578" s="4">
        <v>15.0</v>
      </c>
      <c r="C578" s="4" t="s">
        <v>172</v>
      </c>
      <c r="D578" s="4" t="s">
        <v>542</v>
      </c>
      <c r="E578" s="16">
        <v>0.6559587717056274</v>
      </c>
      <c r="F578" s="16">
        <v>0.584469273686409</v>
      </c>
      <c r="G578" s="16"/>
      <c r="H578" s="16">
        <v>0.7272727272727273</v>
      </c>
      <c r="I578" s="16">
        <v>0.5166666666666667</v>
      </c>
      <c r="J578" s="16">
        <v>0.0</v>
      </c>
      <c r="K578" s="4">
        <v>1.0</v>
      </c>
      <c r="L578" s="4">
        <v>1.0</v>
      </c>
      <c r="M578" s="4" t="s">
        <v>486</v>
      </c>
    </row>
    <row r="579" ht="18.0" customHeight="1">
      <c r="A579" s="4" t="s">
        <v>53</v>
      </c>
      <c r="B579" s="4">
        <v>16.0</v>
      </c>
      <c r="C579" s="4" t="s">
        <v>314</v>
      </c>
      <c r="D579" s="4" t="s">
        <v>456</v>
      </c>
      <c r="E579" s="16">
        <v>0.07531110942363739</v>
      </c>
      <c r="F579" s="16">
        <v>0.972120663151145</v>
      </c>
      <c r="G579" s="16"/>
      <c r="H579" s="16">
        <v>1.0</v>
      </c>
      <c r="I579" s="16">
        <v>0.75</v>
      </c>
      <c r="J579" s="16">
        <v>0.0</v>
      </c>
      <c r="K579" s="4">
        <v>0.0</v>
      </c>
      <c r="M579" s="4" t="s">
        <v>32</v>
      </c>
    </row>
    <row r="580" ht="18.0" customHeight="1">
      <c r="A580" s="4" t="s">
        <v>53</v>
      </c>
      <c r="B580" s="4">
        <v>17.0</v>
      </c>
      <c r="C580" s="4" t="s">
        <v>542</v>
      </c>
      <c r="D580" s="4" t="s">
        <v>453</v>
      </c>
      <c r="E580" s="16">
        <v>0.685945987701416</v>
      </c>
      <c r="F580" s="16">
        <v>0.7856217175722122</v>
      </c>
      <c r="G580" s="16"/>
      <c r="H580" s="16">
        <v>1.0</v>
      </c>
      <c r="I580" s="16">
        <v>0.6208333333333333</v>
      </c>
      <c r="J580" s="16">
        <v>0.4</v>
      </c>
      <c r="K580" s="4">
        <v>1.0</v>
      </c>
      <c r="L580" s="4">
        <v>0.0</v>
      </c>
      <c r="M580" s="4" t="s">
        <v>239</v>
      </c>
    </row>
    <row r="581" ht="18.0" customHeight="1">
      <c r="A581" s="4" t="s">
        <v>53</v>
      </c>
      <c r="B581" s="4">
        <v>18.0</v>
      </c>
      <c r="C581" s="4" t="s">
        <v>1026</v>
      </c>
      <c r="D581" s="4" t="s">
        <v>258</v>
      </c>
      <c r="E581" s="16">
        <v>0.06776373088359833</v>
      </c>
      <c r="F581" s="16">
        <v>0.9765641810372472</v>
      </c>
      <c r="G581" s="16"/>
      <c r="H581" s="16">
        <v>0.18181818181818182</v>
      </c>
      <c r="I581" s="16">
        <v>0.14166666666666666</v>
      </c>
      <c r="J581" s="16">
        <v>0.0</v>
      </c>
      <c r="K581" s="4">
        <v>0.0</v>
      </c>
      <c r="M581" s="4" t="s">
        <v>32</v>
      </c>
    </row>
    <row r="582" ht="18.0" customHeight="1">
      <c r="A582" s="4" t="s">
        <v>53</v>
      </c>
      <c r="B582" s="4">
        <v>19.0</v>
      </c>
      <c r="C582" s="4" t="s">
        <v>630</v>
      </c>
      <c r="D582" s="4" t="s">
        <v>453</v>
      </c>
      <c r="E582" s="16">
        <v>0.008760822005569935</v>
      </c>
      <c r="F582" s="16">
        <v>0.9978160383179784</v>
      </c>
      <c r="G582" s="16"/>
      <c r="H582" s="16">
        <v>1.0</v>
      </c>
      <c r="I582" s="16">
        <v>0.5750000000000001</v>
      </c>
      <c r="J582" s="16">
        <v>0.19999999999999996</v>
      </c>
      <c r="K582" s="4">
        <v>0.0</v>
      </c>
      <c r="M582" s="4" t="s">
        <v>32</v>
      </c>
    </row>
    <row r="583" ht="18.0" customHeight="1">
      <c r="A583" s="4" t="s">
        <v>53</v>
      </c>
      <c r="B583" s="4">
        <v>20.0</v>
      </c>
      <c r="C583" s="4" t="s">
        <v>314</v>
      </c>
      <c r="D583" s="4" t="s">
        <v>334</v>
      </c>
      <c r="E583" s="16">
        <v>3.443366222199984E-5</v>
      </c>
      <c r="F583" s="16">
        <v>0.9999963948571349</v>
      </c>
      <c r="G583" s="16"/>
      <c r="H583" s="16">
        <v>0.0</v>
      </c>
      <c r="I583" s="16">
        <v>0.016666666666666666</v>
      </c>
      <c r="J583" s="16">
        <v>0.0</v>
      </c>
      <c r="K583" s="4">
        <v>1.0</v>
      </c>
      <c r="L583" s="4">
        <v>0.0</v>
      </c>
      <c r="M583" s="4" t="s">
        <v>239</v>
      </c>
    </row>
    <row r="584" ht="18.0" customHeight="1">
      <c r="A584" s="4" t="s">
        <v>53</v>
      </c>
      <c r="B584" s="4">
        <v>21.0</v>
      </c>
      <c r="C584" s="4" t="s">
        <v>553</v>
      </c>
      <c r="D584" s="4" t="s">
        <v>217</v>
      </c>
      <c r="E584" s="16">
        <v>5.3992578614270315E-5</v>
      </c>
      <c r="F584" s="16">
        <v>0.9999922211582088</v>
      </c>
      <c r="G584" s="16"/>
      <c r="H584" s="16">
        <v>1.0</v>
      </c>
      <c r="I584" s="16">
        <v>0.6666666666666666</v>
      </c>
      <c r="J584" s="16">
        <v>0.19999999999999996</v>
      </c>
      <c r="K584" s="4">
        <v>1.0</v>
      </c>
      <c r="L584" s="4">
        <v>0.0</v>
      </c>
      <c r="M584" s="4" t="s">
        <v>239</v>
      </c>
    </row>
    <row r="585" ht="18.0" customHeight="1">
      <c r="A585" s="4" t="s">
        <v>56</v>
      </c>
      <c r="B585" s="4">
        <v>2.0</v>
      </c>
      <c r="C585" s="4" t="s">
        <v>1027</v>
      </c>
      <c r="D585" s="4" t="s">
        <v>1028</v>
      </c>
      <c r="E585" s="16">
        <v>4.787671423400752E-5</v>
      </c>
      <c r="F585" s="16">
        <v>0.9999957914791366</v>
      </c>
      <c r="G585" s="16"/>
      <c r="H585" s="16">
        <v>1.0</v>
      </c>
      <c r="I585" s="16">
        <v>0.325</v>
      </c>
      <c r="J585" s="16">
        <v>0.45454545454545453</v>
      </c>
      <c r="K585" s="4">
        <v>0.0</v>
      </c>
      <c r="M585" s="4" t="s">
        <v>32</v>
      </c>
    </row>
    <row r="586" ht="18.0" customHeight="1">
      <c r="A586" s="4" t="s">
        <v>56</v>
      </c>
      <c r="B586" s="4">
        <v>3.0</v>
      </c>
      <c r="C586" s="4" t="s">
        <v>1029</v>
      </c>
      <c r="D586" s="4" t="s">
        <v>1030</v>
      </c>
      <c r="E586" s="16">
        <v>3.5399163607507944E-4</v>
      </c>
      <c r="F586" s="16">
        <v>0.9999688444436288</v>
      </c>
      <c r="G586" s="16"/>
      <c r="H586" s="16">
        <v>1.0</v>
      </c>
      <c r="I586" s="16">
        <v>0.37083333333333335</v>
      </c>
      <c r="J586" s="16">
        <v>0.10447761194029852</v>
      </c>
      <c r="K586" s="4">
        <v>0.0</v>
      </c>
      <c r="M586" s="4" t="s">
        <v>32</v>
      </c>
    </row>
    <row r="587" ht="18.0" customHeight="1">
      <c r="A587" s="4" t="s">
        <v>56</v>
      </c>
      <c r="B587" s="4">
        <v>4.0</v>
      </c>
      <c r="C587" s="4" t="s">
        <v>359</v>
      </c>
      <c r="D587" s="4" t="s">
        <v>311</v>
      </c>
      <c r="E587" s="16">
        <v>1.357853616354987E-4</v>
      </c>
      <c r="F587" s="16">
        <v>0.9999885173069742</v>
      </c>
      <c r="G587" s="16"/>
      <c r="H587" s="16">
        <v>1.0</v>
      </c>
      <c r="I587" s="16">
        <v>0.4791666666666667</v>
      </c>
      <c r="J587" s="16">
        <v>0.0</v>
      </c>
      <c r="K587" s="4">
        <v>0.0</v>
      </c>
      <c r="M587" s="4" t="s">
        <v>32</v>
      </c>
    </row>
    <row r="588" ht="18.0" customHeight="1">
      <c r="A588" s="4" t="s">
        <v>56</v>
      </c>
      <c r="B588" s="4">
        <v>5.0</v>
      </c>
      <c r="C588" s="4" t="s">
        <v>151</v>
      </c>
      <c r="D588" s="4" t="s">
        <v>258</v>
      </c>
      <c r="E588" s="16">
        <v>3.718615334946662E-4</v>
      </c>
      <c r="F588" s="16">
        <v>0.9999569683041045</v>
      </c>
      <c r="G588" s="16"/>
      <c r="H588" s="16">
        <v>1.0</v>
      </c>
      <c r="I588" s="16">
        <v>0.43333333333333335</v>
      </c>
      <c r="J588" s="16">
        <v>0.5555555555555556</v>
      </c>
      <c r="K588" s="4">
        <v>0.0</v>
      </c>
      <c r="M588" s="4" t="s">
        <v>32</v>
      </c>
    </row>
    <row r="589" ht="18.0" customHeight="1">
      <c r="A589" s="4" t="s">
        <v>56</v>
      </c>
      <c r="B589" s="4">
        <v>6.0</v>
      </c>
      <c r="C589" s="4" t="s">
        <v>334</v>
      </c>
      <c r="D589" s="4" t="s">
        <v>264</v>
      </c>
      <c r="E589" s="16">
        <v>9.674020111560822E-5</v>
      </c>
      <c r="F589" s="16">
        <v>0.9999930474667735</v>
      </c>
      <c r="G589" s="16"/>
      <c r="H589" s="16">
        <v>1.0</v>
      </c>
      <c r="I589" s="16">
        <v>0.22083333333333335</v>
      </c>
      <c r="J589" s="16">
        <v>0.13043478260869568</v>
      </c>
      <c r="K589" s="4">
        <v>1.0</v>
      </c>
      <c r="L589" s="4">
        <v>0.0</v>
      </c>
      <c r="M589" s="4" t="s">
        <v>239</v>
      </c>
    </row>
    <row r="590" ht="18.0" customHeight="1">
      <c r="A590" s="4" t="s">
        <v>56</v>
      </c>
      <c r="B590" s="4">
        <v>7.0</v>
      </c>
      <c r="C590" s="4" t="s">
        <v>139</v>
      </c>
      <c r="D590" s="4" t="s">
        <v>140</v>
      </c>
      <c r="E590" s="16">
        <v>0.00802297331392765</v>
      </c>
      <c r="F590" s="16">
        <v>0.9983190032653511</v>
      </c>
      <c r="G590" s="16"/>
      <c r="H590" s="16">
        <v>1.0</v>
      </c>
      <c r="I590" s="16">
        <v>0.45</v>
      </c>
      <c r="J590" s="16">
        <v>1.0</v>
      </c>
      <c r="K590" s="4">
        <v>1.0</v>
      </c>
      <c r="L590" s="4">
        <v>0.0</v>
      </c>
      <c r="M590" s="4" t="s">
        <v>239</v>
      </c>
    </row>
    <row r="591" ht="18.0" customHeight="1">
      <c r="A591" s="4" t="s">
        <v>56</v>
      </c>
      <c r="B591" s="4">
        <v>8.0</v>
      </c>
      <c r="C591" s="4" t="s">
        <v>232</v>
      </c>
      <c r="D591" s="4" t="s">
        <v>159</v>
      </c>
      <c r="E591" s="16">
        <v>0.002090334426611662</v>
      </c>
      <c r="F591" s="16">
        <v>0.9996778499335051</v>
      </c>
      <c r="G591" s="16"/>
      <c r="H591" s="16">
        <v>0.9090909090909091</v>
      </c>
      <c r="I591" s="16">
        <v>0.3666666666666667</v>
      </c>
      <c r="J591" s="16">
        <v>0.5454545454545455</v>
      </c>
      <c r="K591" s="4">
        <v>0.0</v>
      </c>
      <c r="M591" s="4" t="s">
        <v>32</v>
      </c>
    </row>
    <row r="592" ht="18.0" customHeight="1">
      <c r="A592" s="4" t="s">
        <v>56</v>
      </c>
      <c r="B592" s="4">
        <v>9.0</v>
      </c>
      <c r="C592" s="4" t="s">
        <v>200</v>
      </c>
      <c r="D592" s="4" t="s">
        <v>87</v>
      </c>
      <c r="E592" s="16">
        <v>1.4991663694381714</v>
      </c>
      <c r="F592" s="16">
        <v>0.16073483228683472</v>
      </c>
      <c r="G592" s="16"/>
      <c r="H592" s="16">
        <v>1.0</v>
      </c>
      <c r="I592" s="16">
        <v>0.425</v>
      </c>
      <c r="J592" s="16">
        <v>0.43805874840357595</v>
      </c>
      <c r="K592" s="4">
        <v>1.0</v>
      </c>
      <c r="L592" s="4">
        <v>0.0</v>
      </c>
      <c r="M592" s="4" t="s">
        <v>239</v>
      </c>
    </row>
    <row r="593" ht="18.0" customHeight="1">
      <c r="A593" s="4" t="s">
        <v>56</v>
      </c>
      <c r="B593" s="4">
        <v>10.0</v>
      </c>
      <c r="C593" s="4" t="s">
        <v>180</v>
      </c>
      <c r="D593" s="4" t="s">
        <v>151</v>
      </c>
      <c r="E593" s="16">
        <v>0.6884926557540894</v>
      </c>
      <c r="F593" s="16">
        <v>0.10121139883995056</v>
      </c>
      <c r="G593" s="16"/>
      <c r="H593" s="16">
        <v>1.0</v>
      </c>
      <c r="I593" s="16">
        <v>0.4916666666666667</v>
      </c>
      <c r="J593" s="16">
        <v>0.7255813953488373</v>
      </c>
      <c r="K593" s="4">
        <v>1.0</v>
      </c>
      <c r="L593" s="4">
        <v>0.0</v>
      </c>
      <c r="M593" s="4" t="s">
        <v>239</v>
      </c>
    </row>
    <row r="594" ht="18.0" customHeight="1">
      <c r="A594" s="4" t="s">
        <v>56</v>
      </c>
      <c r="B594" s="4">
        <v>11.0</v>
      </c>
      <c r="C594" s="4" t="s">
        <v>766</v>
      </c>
      <c r="D594" s="4" t="s">
        <v>314</v>
      </c>
      <c r="E594" s="16">
        <v>0.004995032213628292</v>
      </c>
      <c r="F594" s="16">
        <v>0.9991303657589015</v>
      </c>
      <c r="G594" s="16"/>
      <c r="H594" s="16">
        <v>0.9090909090909091</v>
      </c>
      <c r="I594" s="16">
        <v>0.45</v>
      </c>
      <c r="J594" s="16">
        <v>0.8333333333333334</v>
      </c>
      <c r="K594" s="4">
        <v>0.0</v>
      </c>
      <c r="M594" s="4" t="s">
        <v>32</v>
      </c>
    </row>
    <row r="595" ht="18.0" customHeight="1">
      <c r="A595" s="4" t="s">
        <v>56</v>
      </c>
      <c r="B595" s="4">
        <v>12.0</v>
      </c>
      <c r="C595" s="4" t="s">
        <v>359</v>
      </c>
      <c r="D595" s="4" t="s">
        <v>311</v>
      </c>
      <c r="E595" s="16">
        <v>3.800131526077166E-5</v>
      </c>
      <c r="F595" s="16">
        <v>0.9999969371415318</v>
      </c>
      <c r="G595" s="16"/>
      <c r="H595" s="16">
        <v>1.0</v>
      </c>
      <c r="I595" s="16">
        <v>0.4291666666666667</v>
      </c>
      <c r="J595" s="16">
        <v>0.33333333333333337</v>
      </c>
      <c r="K595" s="4">
        <v>0.0</v>
      </c>
      <c r="M595" s="4" t="s">
        <v>32</v>
      </c>
    </row>
    <row r="596" ht="18.0" customHeight="1">
      <c r="A596" s="4" t="s">
        <v>56</v>
      </c>
      <c r="B596" s="4">
        <v>13.0</v>
      </c>
      <c r="C596" s="4" t="s">
        <v>151</v>
      </c>
      <c r="D596" s="4" t="s">
        <v>573</v>
      </c>
      <c r="E596" s="16">
        <v>4.1664624586701393E-4</v>
      </c>
      <c r="F596" s="16">
        <v>0.9999430468997161</v>
      </c>
      <c r="G596" s="16"/>
      <c r="H596" s="16">
        <v>1.0</v>
      </c>
      <c r="I596" s="16">
        <v>0.4166666666666667</v>
      </c>
      <c r="J596" s="16">
        <v>0.33333333333333337</v>
      </c>
      <c r="K596" s="4">
        <v>1.0</v>
      </c>
      <c r="L596" s="4">
        <v>0.0</v>
      </c>
      <c r="M596" s="4" t="s">
        <v>239</v>
      </c>
    </row>
    <row r="597" ht="18.0" customHeight="1">
      <c r="A597" s="4" t="s">
        <v>56</v>
      </c>
      <c r="B597" s="4">
        <v>14.0</v>
      </c>
      <c r="C597" s="4" t="s">
        <v>334</v>
      </c>
      <c r="D597" s="4" t="s">
        <v>159</v>
      </c>
      <c r="E597" s="16">
        <v>1.0252131687593646E-5</v>
      </c>
      <c r="F597" s="16">
        <v>0.9999993926197561</v>
      </c>
      <c r="G597" s="16"/>
      <c r="H597" s="16">
        <v>1.0</v>
      </c>
      <c r="I597" s="16">
        <v>0.6041666666666666</v>
      </c>
      <c r="J597" s="16">
        <v>1.0</v>
      </c>
      <c r="K597" s="4">
        <v>1.0</v>
      </c>
      <c r="L597" s="4">
        <v>0.0</v>
      </c>
      <c r="M597" s="4" t="s">
        <v>239</v>
      </c>
    </row>
    <row r="598" ht="18.0" customHeight="1">
      <c r="A598" s="4" t="s">
        <v>56</v>
      </c>
      <c r="B598" s="4">
        <v>15.0</v>
      </c>
      <c r="C598" s="4" t="s">
        <v>591</v>
      </c>
      <c r="D598" s="4" t="s">
        <v>169</v>
      </c>
      <c r="E598" s="16">
        <v>0.07694985717535019</v>
      </c>
      <c r="F598" s="16">
        <v>0.9705283958464861</v>
      </c>
      <c r="G598" s="16"/>
      <c r="H598" s="16">
        <v>1.0</v>
      </c>
      <c r="I598" s="16">
        <v>0.4791666666666667</v>
      </c>
      <c r="J598" s="16">
        <v>0.6</v>
      </c>
      <c r="K598" s="4">
        <v>0.0</v>
      </c>
      <c r="M598" s="4" t="s">
        <v>32</v>
      </c>
    </row>
    <row r="599" ht="18.0" customHeight="1">
      <c r="A599" s="4" t="s">
        <v>56</v>
      </c>
      <c r="B599" s="4">
        <v>16.0</v>
      </c>
      <c r="C599" s="4" t="s">
        <v>232</v>
      </c>
      <c r="D599" s="4" t="s">
        <v>289</v>
      </c>
      <c r="E599" s="16">
        <v>1.8594857465359382E-5</v>
      </c>
      <c r="F599" s="16">
        <v>0.9999983944196629</v>
      </c>
      <c r="G599" s="16"/>
      <c r="H599" s="16">
        <v>1.0</v>
      </c>
      <c r="I599" s="16">
        <v>0.4583333333333333</v>
      </c>
      <c r="J599" s="16">
        <v>0.0</v>
      </c>
      <c r="K599" s="4">
        <v>0.0</v>
      </c>
      <c r="M599" s="4" t="s">
        <v>32</v>
      </c>
    </row>
    <row r="600" ht="18.0" customHeight="1">
      <c r="A600" s="4" t="s">
        <v>56</v>
      </c>
      <c r="B600" s="4">
        <v>17.0</v>
      </c>
      <c r="C600" s="4" t="s">
        <v>256</v>
      </c>
      <c r="D600" s="4" t="s">
        <v>758</v>
      </c>
      <c r="E600" s="16">
        <v>0.001714562764391303</v>
      </c>
      <c r="F600" s="16">
        <v>0.9996501015120884</v>
      </c>
      <c r="G600" s="16"/>
      <c r="H600" s="16">
        <v>0.5454545454545454</v>
      </c>
      <c r="I600" s="16">
        <v>0.2041666666666667</v>
      </c>
      <c r="J600" s="16">
        <v>0.6666666666666667</v>
      </c>
      <c r="K600" s="4">
        <v>0.0</v>
      </c>
      <c r="M600" s="4" t="s">
        <v>32</v>
      </c>
    </row>
    <row r="601" ht="18.0" customHeight="1">
      <c r="A601" s="4" t="s">
        <v>56</v>
      </c>
      <c r="B601" s="4">
        <v>18.0</v>
      </c>
      <c r="C601" s="4" t="s">
        <v>180</v>
      </c>
      <c r="D601" s="4" t="s">
        <v>763</v>
      </c>
      <c r="E601" s="16">
        <v>3.0412849810090847E-5</v>
      </c>
      <c r="F601" s="16">
        <v>0.9999964550854656</v>
      </c>
      <c r="G601" s="16"/>
      <c r="H601" s="16">
        <v>1.0</v>
      </c>
      <c r="I601" s="16">
        <v>0.5625</v>
      </c>
      <c r="J601" s="16">
        <v>0.0</v>
      </c>
      <c r="K601" s="4">
        <v>0.0</v>
      </c>
      <c r="M601" s="4" t="s">
        <v>32</v>
      </c>
    </row>
    <row r="602" ht="18.0" customHeight="1">
      <c r="A602" s="4" t="s">
        <v>56</v>
      </c>
      <c r="B602" s="4">
        <v>19.0</v>
      </c>
      <c r="C602" s="4" t="s">
        <v>726</v>
      </c>
      <c r="D602" s="4" t="s">
        <v>570</v>
      </c>
      <c r="E602" s="16">
        <v>5.4183765314519405E-5</v>
      </c>
      <c r="F602" s="16">
        <v>0.9999954063698624</v>
      </c>
      <c r="G602" s="16"/>
      <c r="H602" s="16">
        <v>0.09090909090909091</v>
      </c>
      <c r="I602" s="16">
        <v>0.041666666666666664</v>
      </c>
      <c r="J602" s="16">
        <v>0.0</v>
      </c>
      <c r="K602" s="4">
        <v>0.0</v>
      </c>
      <c r="M602" s="4" t="s">
        <v>32</v>
      </c>
    </row>
    <row r="603" ht="18.0" customHeight="1">
      <c r="A603" s="4" t="s">
        <v>56</v>
      </c>
      <c r="B603" s="4">
        <v>20.0</v>
      </c>
      <c r="C603" s="4" t="s">
        <v>359</v>
      </c>
      <c r="D603" s="4" t="s">
        <v>548</v>
      </c>
      <c r="E603" s="16">
        <v>7.538893260061741E-4</v>
      </c>
      <c r="F603" s="16">
        <v>0.9998587586451322</v>
      </c>
      <c r="G603" s="16"/>
      <c r="H603" s="16">
        <v>0.09090909090909091</v>
      </c>
      <c r="I603" s="16">
        <v>0.05833333333333333</v>
      </c>
      <c r="J603" s="16">
        <v>0.0</v>
      </c>
      <c r="K603" s="4">
        <v>0.0</v>
      </c>
      <c r="M603" s="4" t="s">
        <v>32</v>
      </c>
    </row>
    <row r="604" ht="18.0" customHeight="1">
      <c r="A604" s="4" t="s">
        <v>56</v>
      </c>
      <c r="B604" s="4">
        <v>21.0</v>
      </c>
      <c r="C604" s="4" t="s">
        <v>151</v>
      </c>
      <c r="D604" s="4" t="s">
        <v>573</v>
      </c>
      <c r="E604" s="16">
        <v>2.4007342290133238E-5</v>
      </c>
      <c r="F604" s="16">
        <v>0.9999982366039148</v>
      </c>
      <c r="G604" s="16"/>
      <c r="H604" s="16">
        <v>1.0</v>
      </c>
      <c r="I604" s="16">
        <v>0.625</v>
      </c>
      <c r="J604" s="16">
        <v>0.0</v>
      </c>
      <c r="K604" s="4">
        <v>0.0</v>
      </c>
      <c r="M604" s="4" t="s">
        <v>32</v>
      </c>
    </row>
    <row r="605" ht="18.0" customHeight="1">
      <c r="A605" s="4" t="s">
        <v>56</v>
      </c>
      <c r="B605" s="4">
        <v>22.0</v>
      </c>
      <c r="C605" s="4" t="s">
        <v>334</v>
      </c>
      <c r="D605" s="4" t="s">
        <v>1031</v>
      </c>
      <c r="E605" s="16">
        <v>1.756058554747142E-5</v>
      </c>
      <c r="F605" s="16">
        <v>0.9999987646719433</v>
      </c>
      <c r="G605" s="16"/>
      <c r="H605" s="16">
        <v>0.0</v>
      </c>
      <c r="I605" s="16">
        <v>0.016666666666666666</v>
      </c>
      <c r="J605" s="16">
        <v>0.0</v>
      </c>
      <c r="K605" s="4">
        <v>0.0</v>
      </c>
      <c r="M605" s="4" t="s">
        <v>32</v>
      </c>
    </row>
    <row r="606" ht="18.0" customHeight="1">
      <c r="A606" s="4" t="s">
        <v>56</v>
      </c>
      <c r="B606" s="4">
        <v>23.0</v>
      </c>
      <c r="C606" s="4" t="s">
        <v>591</v>
      </c>
      <c r="D606" s="4" t="s">
        <v>169</v>
      </c>
      <c r="E606" s="16">
        <v>0.21610578894615173</v>
      </c>
      <c r="F606" s="16">
        <v>0.8882894441485405</v>
      </c>
      <c r="G606" s="16"/>
      <c r="H606" s="16">
        <v>1.0</v>
      </c>
      <c r="I606" s="16">
        <v>0.5791666666666667</v>
      </c>
      <c r="J606" s="16">
        <v>0.5</v>
      </c>
      <c r="K606" s="4">
        <v>1.0</v>
      </c>
      <c r="L606" s="4">
        <v>0.0</v>
      </c>
      <c r="M606" s="4" t="s">
        <v>239</v>
      </c>
    </row>
    <row r="607" ht="18.0" customHeight="1">
      <c r="A607" s="4" t="s">
        <v>56</v>
      </c>
      <c r="B607" s="4">
        <v>24.0</v>
      </c>
      <c r="C607" s="4" t="s">
        <v>232</v>
      </c>
      <c r="D607" s="4" t="s">
        <v>289</v>
      </c>
      <c r="E607" s="16">
        <v>0.004107308574020863</v>
      </c>
      <c r="F607" s="16">
        <v>0.999053467909107</v>
      </c>
      <c r="G607" s="16"/>
      <c r="H607" s="16">
        <v>1.0</v>
      </c>
      <c r="I607" s="16">
        <v>0.6875</v>
      </c>
      <c r="J607" s="16">
        <v>0.16296296296296295</v>
      </c>
      <c r="K607" s="4">
        <v>1.0</v>
      </c>
      <c r="L607" s="4">
        <v>0.0</v>
      </c>
      <c r="M607" s="4" t="s">
        <v>239</v>
      </c>
    </row>
    <row r="608" ht="18.0" customHeight="1">
      <c r="A608" s="4" t="s">
        <v>56</v>
      </c>
      <c r="B608" s="4">
        <v>25.0</v>
      </c>
      <c r="C608" s="4" t="s">
        <v>163</v>
      </c>
      <c r="D608" s="4" t="s">
        <v>566</v>
      </c>
      <c r="E608" s="16">
        <v>0.2735329568386078</v>
      </c>
      <c r="F608" s="16">
        <v>0.8718058913946152</v>
      </c>
      <c r="G608" s="16"/>
      <c r="H608" s="16">
        <v>1.0</v>
      </c>
      <c r="I608" s="16">
        <v>0.6791666666666667</v>
      </c>
      <c r="J608" s="16">
        <v>0.40740740740740744</v>
      </c>
      <c r="K608" s="4">
        <v>1.0</v>
      </c>
      <c r="L608" s="4">
        <v>0.0</v>
      </c>
      <c r="M608" s="4" t="s">
        <v>239</v>
      </c>
    </row>
    <row r="609" ht="18.0" customHeight="1">
      <c r="A609" s="4" t="s">
        <v>56</v>
      </c>
      <c r="B609" s="4">
        <v>26.0</v>
      </c>
      <c r="C609" s="4" t="s">
        <v>743</v>
      </c>
      <c r="D609" s="4" t="s">
        <v>666</v>
      </c>
      <c r="E609" s="16">
        <v>0.013430613093078136</v>
      </c>
      <c r="F609" s="16">
        <v>0.9970454707508907</v>
      </c>
      <c r="G609" s="16"/>
      <c r="H609" s="16">
        <v>1.0</v>
      </c>
      <c r="I609" s="16">
        <v>0.6666666666666666</v>
      </c>
      <c r="J609" s="16">
        <v>0.294392523364486</v>
      </c>
      <c r="K609" s="4">
        <v>0.0</v>
      </c>
      <c r="M609" s="4" t="s">
        <v>32</v>
      </c>
    </row>
    <row r="610" ht="18.0" customHeight="1">
      <c r="A610" s="4" t="s">
        <v>56</v>
      </c>
      <c r="B610" s="4">
        <v>27.0</v>
      </c>
      <c r="C610" s="4" t="s">
        <v>576</v>
      </c>
      <c r="D610" s="4" t="s">
        <v>577</v>
      </c>
      <c r="E610" s="16">
        <v>1.1054339408874512</v>
      </c>
      <c r="F610" s="16">
        <v>0.3010013997554779</v>
      </c>
      <c r="G610" s="16"/>
      <c r="H610" s="16">
        <v>0.09090909090909091</v>
      </c>
      <c r="I610" s="16">
        <v>0.03333333333333333</v>
      </c>
      <c r="J610" s="16">
        <v>0.0</v>
      </c>
      <c r="K610" s="4">
        <v>1.0</v>
      </c>
      <c r="L610" s="4">
        <v>0.0</v>
      </c>
      <c r="M610" s="4" t="s">
        <v>239</v>
      </c>
    </row>
    <row r="611" ht="18.0" customHeight="1">
      <c r="A611" s="4" t="s">
        <v>56</v>
      </c>
      <c r="B611" s="4">
        <v>28.0</v>
      </c>
      <c r="C611" s="4" t="s">
        <v>453</v>
      </c>
      <c r="D611" s="4" t="s">
        <v>94</v>
      </c>
      <c r="E611" s="16">
        <v>5.14493185619358E-5</v>
      </c>
      <c r="F611" s="16">
        <v>0.9999947287831219</v>
      </c>
      <c r="G611" s="16"/>
      <c r="H611" s="16">
        <v>0.9090909090909091</v>
      </c>
      <c r="I611" s="16">
        <v>0.7291666666666666</v>
      </c>
      <c r="J611" s="16">
        <v>0.8333333333333334</v>
      </c>
      <c r="K611" s="4">
        <v>1.0</v>
      </c>
      <c r="L611" s="4">
        <v>0.0</v>
      </c>
      <c r="M611" s="4" t="s">
        <v>239</v>
      </c>
    </row>
    <row r="612" ht="18.0" customHeight="1">
      <c r="A612" s="4" t="s">
        <v>56</v>
      </c>
      <c r="B612" s="4">
        <v>29.0</v>
      </c>
      <c r="C612" s="4" t="s">
        <v>147</v>
      </c>
      <c r="D612" s="4" t="s">
        <v>159</v>
      </c>
      <c r="E612" s="16">
        <v>6.491706244560191E-6</v>
      </c>
      <c r="F612" s="16">
        <v>0.999999576216112</v>
      </c>
      <c r="G612" s="16"/>
      <c r="H612" s="16">
        <v>1.0</v>
      </c>
      <c r="I612" s="16">
        <v>0.6875</v>
      </c>
      <c r="J612" s="16">
        <v>0.0</v>
      </c>
      <c r="K612" s="4">
        <v>0.0</v>
      </c>
      <c r="M612" s="4" t="s">
        <v>32</v>
      </c>
    </row>
    <row r="613" ht="18.0" customHeight="1">
      <c r="A613" s="4" t="s">
        <v>56</v>
      </c>
      <c r="B613" s="4">
        <v>30.0</v>
      </c>
      <c r="C613" s="4" t="s">
        <v>172</v>
      </c>
      <c r="D613" s="4" t="s">
        <v>599</v>
      </c>
      <c r="E613" s="16">
        <v>1.31169017549837E-5</v>
      </c>
      <c r="F613" s="16">
        <v>0.9999988396594404</v>
      </c>
      <c r="G613" s="16"/>
      <c r="H613" s="16">
        <v>1.0</v>
      </c>
      <c r="I613" s="16">
        <v>0.6875</v>
      </c>
      <c r="J613" s="16">
        <v>0.16666666666666663</v>
      </c>
      <c r="K613" s="4">
        <v>0.0</v>
      </c>
      <c r="M613" s="4" t="s">
        <v>32</v>
      </c>
    </row>
    <row r="614" ht="18.0" customHeight="1">
      <c r="A614" s="4" t="s">
        <v>56</v>
      </c>
      <c r="B614" s="4">
        <v>31.0</v>
      </c>
      <c r="C614" s="4" t="s">
        <v>599</v>
      </c>
      <c r="D614" s="4" t="s">
        <v>953</v>
      </c>
      <c r="E614" s="16">
        <v>6.256850610952824E-5</v>
      </c>
      <c r="F614" s="16">
        <v>0.9999920884063158</v>
      </c>
      <c r="G614" s="16"/>
      <c r="H614" s="16">
        <v>0.09090909090909091</v>
      </c>
      <c r="I614" s="16">
        <v>0.08333333333333333</v>
      </c>
      <c r="J614" s="16">
        <v>0.0</v>
      </c>
      <c r="K614" s="4">
        <v>0.0</v>
      </c>
      <c r="M614" s="4" t="s">
        <v>32</v>
      </c>
    </row>
    <row r="615" ht="18.0" customHeight="1">
      <c r="A615" s="4" t="s">
        <v>56</v>
      </c>
      <c r="B615" s="4">
        <v>32.0</v>
      </c>
      <c r="C615" s="4" t="s">
        <v>569</v>
      </c>
      <c r="D615" s="4" t="s">
        <v>570</v>
      </c>
      <c r="E615" s="16">
        <v>5.61548164114356E-4</v>
      </c>
      <c r="F615" s="16">
        <v>0.9999460090502907</v>
      </c>
      <c r="G615" s="16"/>
      <c r="H615" s="16">
        <v>1.0</v>
      </c>
      <c r="I615" s="16">
        <v>0.5208333333333334</v>
      </c>
      <c r="J615" s="16">
        <v>0.5</v>
      </c>
      <c r="K615" s="4">
        <v>1.0</v>
      </c>
      <c r="L615" s="4">
        <v>0.0</v>
      </c>
      <c r="M615" s="4" t="s">
        <v>239</v>
      </c>
    </row>
    <row r="616" ht="18.0" customHeight="1">
      <c r="A616" s="4" t="s">
        <v>56</v>
      </c>
      <c r="B616" s="4">
        <v>33.0</v>
      </c>
      <c r="C616" s="4" t="s">
        <v>151</v>
      </c>
      <c r="D616" s="4" t="s">
        <v>630</v>
      </c>
      <c r="E616" s="16">
        <v>0.004362124018371105</v>
      </c>
      <c r="F616" s="16">
        <v>0.9992913873284124</v>
      </c>
      <c r="G616" s="16"/>
      <c r="H616" s="16">
        <v>0.9090909090909091</v>
      </c>
      <c r="I616" s="16">
        <v>0.6833333333333332</v>
      </c>
      <c r="J616" s="16">
        <v>0.33333333333333337</v>
      </c>
      <c r="K616" s="4">
        <v>0.0</v>
      </c>
      <c r="M616" s="4" t="s">
        <v>32</v>
      </c>
    </row>
    <row r="617" ht="18.0" customHeight="1">
      <c r="A617" s="4" t="s">
        <v>56</v>
      </c>
      <c r="B617" s="4">
        <v>34.0</v>
      </c>
      <c r="C617" s="4" t="s">
        <v>256</v>
      </c>
      <c r="D617" s="4" t="s">
        <v>1032</v>
      </c>
      <c r="E617" s="16">
        <v>2.8665366698987782E-5</v>
      </c>
      <c r="F617" s="16">
        <v>0.9999978630329167</v>
      </c>
      <c r="G617" s="16"/>
      <c r="H617" s="16">
        <v>0.09090909090909091</v>
      </c>
      <c r="I617" s="16">
        <v>0.08333333333333333</v>
      </c>
      <c r="J617" s="16">
        <v>0.0</v>
      </c>
      <c r="K617" s="4">
        <v>0.0</v>
      </c>
      <c r="M617" s="4" t="s">
        <v>32</v>
      </c>
    </row>
    <row r="618" ht="18.0" customHeight="1">
      <c r="A618" s="4" t="s">
        <v>56</v>
      </c>
      <c r="B618" s="4">
        <v>35.0</v>
      </c>
      <c r="C618" s="4" t="s">
        <v>630</v>
      </c>
      <c r="D618" s="4" t="s">
        <v>890</v>
      </c>
      <c r="E618" s="16">
        <v>0.054694533348083496</v>
      </c>
      <c r="F618" s="16">
        <v>0.9805807005614042</v>
      </c>
      <c r="G618" s="16"/>
      <c r="H618" s="16">
        <v>1.0</v>
      </c>
      <c r="I618" s="16">
        <v>0.6875</v>
      </c>
      <c r="J618" s="16">
        <v>0.0</v>
      </c>
      <c r="K618" s="4">
        <v>0.0</v>
      </c>
      <c r="M618" s="4" t="s">
        <v>32</v>
      </c>
    </row>
    <row r="619" ht="18.0" customHeight="1">
      <c r="A619" s="4" t="s">
        <v>56</v>
      </c>
      <c r="B619" s="4">
        <v>36.0</v>
      </c>
      <c r="C619" s="4" t="s">
        <v>159</v>
      </c>
      <c r="D619" s="4" t="s">
        <v>181</v>
      </c>
      <c r="E619" s="16">
        <v>1.002506905933842E-5</v>
      </c>
      <c r="F619" s="16">
        <v>0.9999988239920299</v>
      </c>
      <c r="G619" s="16"/>
      <c r="H619" s="16">
        <v>1.0</v>
      </c>
      <c r="I619" s="16">
        <v>0.6458333333333334</v>
      </c>
      <c r="J619" s="16">
        <v>0.0</v>
      </c>
      <c r="K619" s="4">
        <v>0.0</v>
      </c>
      <c r="M619" s="4" t="s">
        <v>32</v>
      </c>
    </row>
    <row r="620" ht="18.0" customHeight="1">
      <c r="A620" s="4" t="s">
        <v>56</v>
      </c>
      <c r="B620" s="4">
        <v>37.0</v>
      </c>
      <c r="C620" s="4" t="s">
        <v>181</v>
      </c>
      <c r="D620" s="4" t="s">
        <v>160</v>
      </c>
      <c r="E620" s="16">
        <v>1.4352182233778876E-6</v>
      </c>
      <c r="F620" s="16">
        <v>0.9999998046455971</v>
      </c>
      <c r="G620" s="16"/>
      <c r="H620" s="16">
        <v>0.0</v>
      </c>
      <c r="I620" s="16">
        <v>0.08333333333333333</v>
      </c>
      <c r="J620" s="16">
        <v>0.16666666666666663</v>
      </c>
      <c r="K620" s="4">
        <v>0.0</v>
      </c>
      <c r="M620" s="4" t="s">
        <v>32</v>
      </c>
    </row>
    <row r="621" ht="18.0" customHeight="1">
      <c r="A621" s="4" t="s">
        <v>63</v>
      </c>
      <c r="B621" s="4">
        <v>2.0</v>
      </c>
      <c r="C621" s="4" t="s">
        <v>618</v>
      </c>
      <c r="D621" s="4" t="s">
        <v>122</v>
      </c>
      <c r="E621" s="16">
        <v>1.1373789310455322</v>
      </c>
      <c r="F621" s="16">
        <v>0.011755824089050293</v>
      </c>
      <c r="G621" s="16"/>
      <c r="H621" s="16">
        <v>1.0</v>
      </c>
      <c r="I621" s="16">
        <v>0.44583333333333336</v>
      </c>
      <c r="J621" s="16">
        <v>0.6</v>
      </c>
      <c r="K621" s="4">
        <v>1.0</v>
      </c>
      <c r="L621" s="4">
        <v>0.0</v>
      </c>
      <c r="M621" s="4" t="s">
        <v>239</v>
      </c>
    </row>
    <row r="622" ht="18.0" customHeight="1">
      <c r="A622" s="4" t="s">
        <v>63</v>
      </c>
      <c r="B622" s="4">
        <v>3.0</v>
      </c>
      <c r="C622" s="4" t="s">
        <v>231</v>
      </c>
      <c r="D622" s="4" t="s">
        <v>445</v>
      </c>
      <c r="E622" s="16">
        <v>0.0020712644327431917</v>
      </c>
      <c r="F622" s="16">
        <v>0.9997300484465086</v>
      </c>
      <c r="G622" s="16"/>
      <c r="H622" s="16">
        <v>1.0</v>
      </c>
      <c r="I622" s="16">
        <v>0.4916666666666667</v>
      </c>
      <c r="J622" s="16">
        <v>0.5</v>
      </c>
      <c r="K622" s="4">
        <v>0.0</v>
      </c>
      <c r="M622" s="4" t="s">
        <v>32</v>
      </c>
    </row>
    <row r="623" ht="18.0" customHeight="1">
      <c r="A623" s="4" t="s">
        <v>63</v>
      </c>
      <c r="B623" s="4">
        <v>4.0</v>
      </c>
      <c r="C623" s="4" t="s">
        <v>1033</v>
      </c>
      <c r="D623" s="4" t="s">
        <v>621</v>
      </c>
      <c r="E623" s="16">
        <v>0.08007822930812836</v>
      </c>
      <c r="F623" s="16">
        <v>0.974808375351131</v>
      </c>
      <c r="G623" s="16"/>
      <c r="H623" s="16">
        <v>1.0</v>
      </c>
      <c r="I623" s="16">
        <v>0.30833333333333335</v>
      </c>
      <c r="J623" s="16">
        <v>1.0</v>
      </c>
      <c r="K623" s="4">
        <v>0.0</v>
      </c>
      <c r="M623" s="4" t="s">
        <v>32</v>
      </c>
    </row>
    <row r="624" ht="18.0" customHeight="1">
      <c r="A624" s="4" t="s">
        <v>63</v>
      </c>
      <c r="B624" s="4">
        <v>5.0</v>
      </c>
      <c r="C624" s="4" t="s">
        <v>1034</v>
      </c>
      <c r="D624" s="4" t="s">
        <v>1035</v>
      </c>
      <c r="E624" s="16">
        <v>7.476808386854827E-4</v>
      </c>
      <c r="F624" s="16">
        <v>0.9998843289467914</v>
      </c>
      <c r="G624" s="16"/>
      <c r="H624" s="16">
        <v>0.45454545454545453</v>
      </c>
      <c r="I624" s="16">
        <v>0.125</v>
      </c>
      <c r="J624" s="16">
        <v>1.0</v>
      </c>
      <c r="K624" s="4">
        <v>0.0</v>
      </c>
      <c r="M624" s="4" t="s">
        <v>32</v>
      </c>
    </row>
    <row r="625" ht="18.0" customHeight="1">
      <c r="A625" s="4" t="s">
        <v>63</v>
      </c>
      <c r="B625" s="4">
        <v>6.0</v>
      </c>
      <c r="C625" s="4" t="s">
        <v>258</v>
      </c>
      <c r="D625" s="4" t="s">
        <v>151</v>
      </c>
      <c r="E625" s="16">
        <v>0.0040102689526975155</v>
      </c>
      <c r="F625" s="16">
        <v>0.999186769593507</v>
      </c>
      <c r="G625" s="16"/>
      <c r="H625" s="16">
        <v>1.0</v>
      </c>
      <c r="I625" s="16">
        <v>0.3666666666666667</v>
      </c>
      <c r="J625" s="16">
        <v>1.0</v>
      </c>
      <c r="K625" s="4">
        <v>0.0</v>
      </c>
      <c r="M625" s="4" t="s">
        <v>32</v>
      </c>
    </row>
    <row r="626" ht="18.0" customHeight="1">
      <c r="A626" s="4" t="s">
        <v>63</v>
      </c>
      <c r="B626" s="4">
        <v>7.0</v>
      </c>
      <c r="C626" s="4" t="s">
        <v>806</v>
      </c>
      <c r="D626" s="4" t="s">
        <v>1036</v>
      </c>
      <c r="E626" s="16">
        <v>4.1266385233029723E-4</v>
      </c>
      <c r="F626" s="16">
        <v>0.9999456734440173</v>
      </c>
      <c r="G626" s="16"/>
      <c r="H626" s="16">
        <v>1.0</v>
      </c>
      <c r="I626" s="16">
        <v>0.39166666666666666</v>
      </c>
      <c r="J626" s="16">
        <v>1.0</v>
      </c>
      <c r="K626" s="4">
        <v>0.0</v>
      </c>
      <c r="M626" s="4" t="s">
        <v>32</v>
      </c>
    </row>
    <row r="627" ht="18.0" customHeight="1">
      <c r="A627" s="4" t="s">
        <v>63</v>
      </c>
      <c r="B627" s="4">
        <v>8.0</v>
      </c>
      <c r="C627" s="4" t="s">
        <v>151</v>
      </c>
      <c r="D627" s="4" t="s">
        <v>1037</v>
      </c>
      <c r="E627" s="16">
        <v>1.1956996604567394E-4</v>
      </c>
      <c r="F627" s="16">
        <v>0.9999872160947234</v>
      </c>
      <c r="G627" s="16"/>
      <c r="H627" s="16">
        <v>1.0</v>
      </c>
      <c r="I627" s="16">
        <v>0.2833333333333334</v>
      </c>
      <c r="J627" s="16">
        <v>0.2</v>
      </c>
      <c r="K627" s="4">
        <v>0.0</v>
      </c>
      <c r="M627" s="4" t="s">
        <v>32</v>
      </c>
    </row>
    <row r="628" ht="18.0" customHeight="1">
      <c r="A628" s="4" t="s">
        <v>63</v>
      </c>
      <c r="B628" s="4">
        <v>9.0</v>
      </c>
      <c r="C628" s="4" t="s">
        <v>461</v>
      </c>
      <c r="D628" s="4" t="s">
        <v>264</v>
      </c>
      <c r="E628" s="16">
        <v>7.975157495820895E-5</v>
      </c>
      <c r="F628" s="16">
        <v>0.9999938819304361</v>
      </c>
      <c r="G628" s="16"/>
      <c r="H628" s="16">
        <v>1.0</v>
      </c>
      <c r="I628" s="16">
        <v>0.4375</v>
      </c>
      <c r="J628" s="16">
        <v>0.23076923076923078</v>
      </c>
      <c r="K628" s="4">
        <v>0.0</v>
      </c>
      <c r="M628" s="4" t="s">
        <v>32</v>
      </c>
    </row>
    <row r="629" ht="18.0" customHeight="1">
      <c r="A629" s="4" t="s">
        <v>63</v>
      </c>
      <c r="B629" s="4">
        <v>10.0</v>
      </c>
      <c r="C629" s="4" t="s">
        <v>258</v>
      </c>
      <c r="D629" s="4" t="s">
        <v>225</v>
      </c>
      <c r="E629" s="16">
        <v>5.8073968830285594E-5</v>
      </c>
      <c r="F629" s="16">
        <v>0.9999937157317618</v>
      </c>
      <c r="G629" s="16"/>
      <c r="H629" s="16">
        <v>1.0</v>
      </c>
      <c r="I629" s="16">
        <v>0.4083333333333334</v>
      </c>
      <c r="J629" s="16">
        <v>1.0</v>
      </c>
      <c r="K629" s="4">
        <v>0.0</v>
      </c>
      <c r="M629" s="4" t="s">
        <v>32</v>
      </c>
    </row>
    <row r="630" ht="18.0" customHeight="1">
      <c r="A630" s="4" t="s">
        <v>63</v>
      </c>
      <c r="B630" s="4">
        <v>11.0</v>
      </c>
      <c r="C630" s="4" t="s">
        <v>962</v>
      </c>
      <c r="D630" s="4" t="s">
        <v>1038</v>
      </c>
      <c r="E630" s="16">
        <v>1.2653760495595634E-4</v>
      </c>
      <c r="F630" s="16">
        <v>0.9999882788015384</v>
      </c>
      <c r="G630" s="16"/>
      <c r="H630" s="16">
        <v>0.8181818181818182</v>
      </c>
      <c r="I630" s="16">
        <v>0.4083333333333334</v>
      </c>
      <c r="J630" s="16">
        <v>1.0</v>
      </c>
      <c r="K630" s="4">
        <v>0.0</v>
      </c>
      <c r="M630" s="4" t="s">
        <v>32</v>
      </c>
    </row>
    <row r="631" ht="18.0" customHeight="1">
      <c r="A631" s="4" t="s">
        <v>63</v>
      </c>
      <c r="B631" s="4">
        <v>12.0</v>
      </c>
      <c r="C631" s="4" t="s">
        <v>139</v>
      </c>
      <c r="D631" s="4" t="s">
        <v>169</v>
      </c>
      <c r="E631" s="16">
        <v>0.06412004679441452</v>
      </c>
      <c r="F631" s="16">
        <v>0.976868748664856</v>
      </c>
      <c r="G631" s="16"/>
      <c r="H631" s="16">
        <v>1.0</v>
      </c>
      <c r="I631" s="16">
        <v>0.34166666666666673</v>
      </c>
      <c r="J631" s="16">
        <v>0.5</v>
      </c>
      <c r="K631" s="4">
        <v>0.0</v>
      </c>
      <c r="M631" s="4" t="s">
        <v>32</v>
      </c>
    </row>
    <row r="632" ht="18.0" customHeight="1">
      <c r="A632" s="4" t="s">
        <v>63</v>
      </c>
      <c r="B632" s="4">
        <v>13.0</v>
      </c>
      <c r="C632" s="4" t="s">
        <v>232</v>
      </c>
      <c r="D632" s="4" t="s">
        <v>1039</v>
      </c>
      <c r="E632" s="16">
        <v>0.005425121635198593</v>
      </c>
      <c r="F632" s="16">
        <v>0.9992967147118179</v>
      </c>
      <c r="G632" s="16"/>
      <c r="H632" s="16">
        <v>1.0</v>
      </c>
      <c r="I632" s="16">
        <v>0.3291666666666667</v>
      </c>
      <c r="J632" s="16">
        <v>0.0</v>
      </c>
      <c r="K632" s="4">
        <v>0.0</v>
      </c>
      <c r="M632" s="4" t="s">
        <v>32</v>
      </c>
    </row>
    <row r="633" ht="18.0" customHeight="1">
      <c r="A633" s="4" t="s">
        <v>63</v>
      </c>
      <c r="B633" s="4">
        <v>14.0</v>
      </c>
      <c r="C633" s="4" t="s">
        <v>87</v>
      </c>
      <c r="D633" s="4" t="s">
        <v>163</v>
      </c>
      <c r="E633" s="16">
        <v>0.6638559103012085</v>
      </c>
      <c r="F633" s="16">
        <v>0.34951093792915344</v>
      </c>
      <c r="G633" s="16"/>
      <c r="H633" s="16">
        <v>1.0</v>
      </c>
      <c r="I633" s="16">
        <v>0.4708333333333334</v>
      </c>
      <c r="J633" s="16">
        <v>1.0</v>
      </c>
      <c r="K633" s="4">
        <v>1.0</v>
      </c>
      <c r="L633" s="4">
        <v>0.0</v>
      </c>
      <c r="M633" s="4" t="s">
        <v>239</v>
      </c>
    </row>
    <row r="634" ht="18.0" customHeight="1">
      <c r="A634" s="4" t="s">
        <v>63</v>
      </c>
      <c r="B634" s="4">
        <v>15.0</v>
      </c>
      <c r="C634" s="4" t="s">
        <v>232</v>
      </c>
      <c r="D634" s="4" t="s">
        <v>326</v>
      </c>
      <c r="E634" s="16">
        <v>2.581204171292484E-4</v>
      </c>
      <c r="F634" s="16">
        <v>0.9999763487085147</v>
      </c>
      <c r="G634" s="16"/>
      <c r="H634" s="16">
        <v>0.09090909090909091</v>
      </c>
      <c r="I634" s="16">
        <v>0.0</v>
      </c>
      <c r="J634" s="16">
        <v>0.0</v>
      </c>
      <c r="K634" s="4">
        <v>0.0</v>
      </c>
      <c r="M634" s="4" t="s">
        <v>32</v>
      </c>
    </row>
    <row r="635" ht="18.0" customHeight="1">
      <c r="A635" s="4" t="s">
        <v>63</v>
      </c>
      <c r="B635" s="4">
        <v>16.0</v>
      </c>
      <c r="C635" s="4" t="s">
        <v>1040</v>
      </c>
      <c r="D635" s="4" t="s">
        <v>1041</v>
      </c>
      <c r="E635" s="16">
        <v>1.1100985284429044E-4</v>
      </c>
      <c r="F635" s="16">
        <v>0.9999895674416166</v>
      </c>
      <c r="G635" s="16"/>
      <c r="H635" s="16">
        <v>1.0</v>
      </c>
      <c r="I635" s="16">
        <v>0.3916666666666668</v>
      </c>
      <c r="J635" s="16">
        <v>0.0</v>
      </c>
      <c r="K635" s="4">
        <v>0.0</v>
      </c>
      <c r="M635" s="4" t="s">
        <v>32</v>
      </c>
    </row>
    <row r="636" ht="18.0" customHeight="1">
      <c r="A636" s="4" t="s">
        <v>63</v>
      </c>
      <c r="B636" s="4">
        <v>17.0</v>
      </c>
      <c r="C636" s="4" t="s">
        <v>1042</v>
      </c>
      <c r="D636" s="4" t="s">
        <v>1043</v>
      </c>
      <c r="E636" s="16">
        <v>5.4939522669883445E-5</v>
      </c>
      <c r="F636" s="16">
        <v>0.999995150387349</v>
      </c>
      <c r="G636" s="16"/>
      <c r="H636" s="16">
        <v>0.0</v>
      </c>
      <c r="I636" s="16">
        <v>0.016666666666666666</v>
      </c>
      <c r="J636" s="16">
        <v>0.0</v>
      </c>
      <c r="K636" s="4">
        <v>0.0</v>
      </c>
      <c r="M636" s="4" t="s">
        <v>32</v>
      </c>
    </row>
    <row r="637" ht="18.0" customHeight="1">
      <c r="A637" s="4" t="s">
        <v>63</v>
      </c>
      <c r="B637" s="4">
        <v>18.0</v>
      </c>
      <c r="C637" s="4" t="s">
        <v>1044</v>
      </c>
      <c r="D637" s="4" t="s">
        <v>314</v>
      </c>
      <c r="E637" s="16">
        <v>1.1310728586977348E-4</v>
      </c>
      <c r="F637" s="16">
        <v>0.999990175900848</v>
      </c>
      <c r="G637" s="16"/>
      <c r="H637" s="16">
        <v>1.0</v>
      </c>
      <c r="I637" s="16">
        <v>0.41666666666666674</v>
      </c>
      <c r="J637" s="16">
        <v>0.0</v>
      </c>
      <c r="K637" s="4">
        <v>0.0</v>
      </c>
      <c r="M637" s="4" t="s">
        <v>32</v>
      </c>
    </row>
    <row r="638" ht="18.0" customHeight="1">
      <c r="A638" s="4" t="s">
        <v>63</v>
      </c>
      <c r="B638" s="4">
        <v>19.0</v>
      </c>
      <c r="C638" s="4" t="s">
        <v>309</v>
      </c>
      <c r="D638" s="4" t="s">
        <v>1045</v>
      </c>
      <c r="E638" s="16">
        <v>8.635812264401466E-5</v>
      </c>
      <c r="F638" s="16">
        <v>0.9999931875688617</v>
      </c>
      <c r="G638" s="16"/>
      <c r="H638" s="16">
        <v>1.0</v>
      </c>
      <c r="I638" s="16">
        <v>0.5833333333333334</v>
      </c>
      <c r="J638" s="16">
        <v>0.09090909090909091</v>
      </c>
      <c r="K638" s="4">
        <v>0.0</v>
      </c>
      <c r="M638" s="4" t="s">
        <v>32</v>
      </c>
    </row>
    <row r="639" ht="18.0" customHeight="1">
      <c r="A639" s="4" t="s">
        <v>63</v>
      </c>
      <c r="B639" s="4">
        <v>20.0</v>
      </c>
      <c r="C639" s="4" t="s">
        <v>1046</v>
      </c>
      <c r="D639" s="4" t="s">
        <v>1047</v>
      </c>
      <c r="E639" s="16">
        <v>1.1718990572262555E-4</v>
      </c>
      <c r="F639" s="16">
        <v>0.9999915660613397</v>
      </c>
      <c r="G639" s="16"/>
      <c r="H639" s="16">
        <v>1.0</v>
      </c>
      <c r="I639" s="16">
        <v>0.4166666666666667</v>
      </c>
      <c r="J639" s="16">
        <v>0.0</v>
      </c>
      <c r="K639" s="4">
        <v>0.0</v>
      </c>
      <c r="M639" s="4" t="s">
        <v>32</v>
      </c>
    </row>
    <row r="640" ht="18.0" customHeight="1">
      <c r="A640" s="4" t="s">
        <v>63</v>
      </c>
      <c r="B640" s="4">
        <v>21.0</v>
      </c>
      <c r="C640" s="4" t="s">
        <v>1048</v>
      </c>
      <c r="D640" s="4" t="s">
        <v>1034</v>
      </c>
      <c r="E640" s="16">
        <v>9.343350393464789E-5</v>
      </c>
      <c r="F640" s="16">
        <v>0.9999891541660872</v>
      </c>
      <c r="G640" s="16"/>
      <c r="H640" s="16">
        <v>1.0</v>
      </c>
      <c r="I640" s="16">
        <v>0.5333333333333333</v>
      </c>
      <c r="J640" s="16">
        <v>0.19186046511627908</v>
      </c>
      <c r="K640" s="4">
        <v>0.0</v>
      </c>
      <c r="M640" s="4" t="s">
        <v>32</v>
      </c>
    </row>
    <row r="641" ht="18.0" customHeight="1">
      <c r="A641" s="4" t="s">
        <v>63</v>
      </c>
      <c r="B641" s="4">
        <v>22.0</v>
      </c>
      <c r="C641" s="4" t="s">
        <v>1049</v>
      </c>
      <c r="D641" s="4" t="s">
        <v>122</v>
      </c>
      <c r="E641" s="16">
        <v>5.9967282140860334E-5</v>
      </c>
      <c r="F641" s="16">
        <v>0.9999952100571363</v>
      </c>
      <c r="G641" s="16"/>
      <c r="H641" s="16">
        <v>1.0</v>
      </c>
      <c r="I641" s="16">
        <v>0.47500000000000003</v>
      </c>
      <c r="J641" s="16">
        <v>0.22674418604651164</v>
      </c>
      <c r="K641" s="4">
        <v>0.0</v>
      </c>
      <c r="M641" s="4" t="s">
        <v>32</v>
      </c>
    </row>
    <row r="642" ht="18.0" customHeight="1">
      <c r="A642" s="4" t="s">
        <v>63</v>
      </c>
      <c r="B642" s="4">
        <v>23.0</v>
      </c>
      <c r="C642" s="4" t="s">
        <v>1050</v>
      </c>
      <c r="D642" s="4" t="s">
        <v>122</v>
      </c>
      <c r="E642" s="16">
        <v>2.6435698600835167E-5</v>
      </c>
      <c r="F642" s="16">
        <v>0.9999983474274643</v>
      </c>
      <c r="G642" s="16"/>
      <c r="H642" s="16">
        <v>1.0</v>
      </c>
      <c r="I642" s="16">
        <v>0.5416666666666666</v>
      </c>
      <c r="J642" s="16">
        <v>0.0</v>
      </c>
      <c r="K642" s="4">
        <v>0.0</v>
      </c>
      <c r="M642" s="4" t="s">
        <v>32</v>
      </c>
    </row>
    <row r="643" ht="18.0" customHeight="1">
      <c r="A643" s="4" t="s">
        <v>63</v>
      </c>
      <c r="B643" s="4">
        <v>24.0</v>
      </c>
      <c r="C643" s="4" t="s">
        <v>461</v>
      </c>
      <c r="D643" s="4" t="s">
        <v>122</v>
      </c>
      <c r="E643" s="16">
        <v>3.0035425879759714E-5</v>
      </c>
      <c r="F643" s="16">
        <v>0.9999979130451209</v>
      </c>
      <c r="G643" s="16"/>
      <c r="H643" s="16">
        <v>1.0</v>
      </c>
      <c r="I643" s="16">
        <v>0.7083333333333334</v>
      </c>
      <c r="J643" s="16">
        <v>0.16153846153846152</v>
      </c>
      <c r="K643" s="4">
        <v>0.0</v>
      </c>
      <c r="M643" s="4" t="s">
        <v>32</v>
      </c>
    </row>
    <row r="644" ht="18.0" customHeight="1">
      <c r="A644" s="4" t="s">
        <v>63</v>
      </c>
      <c r="B644" s="4">
        <v>25.0</v>
      </c>
      <c r="C644" s="4" t="s">
        <v>114</v>
      </c>
      <c r="D644" s="4" t="s">
        <v>115</v>
      </c>
      <c r="E644" s="16">
        <v>7.223533466458321E-4</v>
      </c>
      <c r="F644" s="16">
        <v>0.9999140022609936</v>
      </c>
      <c r="G644" s="16"/>
      <c r="H644" s="16">
        <v>1.0</v>
      </c>
      <c r="I644" s="16">
        <v>0.7916666666666666</v>
      </c>
      <c r="J644" s="16">
        <v>0.16666666666666663</v>
      </c>
      <c r="K644" s="4">
        <v>0.0</v>
      </c>
      <c r="M644" s="4" t="s">
        <v>32</v>
      </c>
    </row>
    <row r="645" ht="18.0" customHeight="1">
      <c r="A645" s="4" t="s">
        <v>63</v>
      </c>
      <c r="B645" s="4">
        <v>26.0</v>
      </c>
      <c r="C645" s="4" t="s">
        <v>232</v>
      </c>
      <c r="D645" s="4" t="s">
        <v>289</v>
      </c>
      <c r="E645" s="16">
        <v>1.0575421038083732E-4</v>
      </c>
      <c r="F645" s="16">
        <v>0.9999898994369687</v>
      </c>
      <c r="G645" s="16"/>
      <c r="H645" s="16">
        <v>1.0</v>
      </c>
      <c r="I645" s="16">
        <v>0.7708333333333334</v>
      </c>
      <c r="J645" s="16">
        <v>0.1611650485436893</v>
      </c>
      <c r="K645" s="4">
        <v>0.0</v>
      </c>
      <c r="M645" s="4" t="s">
        <v>32</v>
      </c>
    </row>
    <row r="646" ht="18.0" customHeight="1">
      <c r="A646" s="4" t="s">
        <v>63</v>
      </c>
      <c r="B646" s="4">
        <v>27.0</v>
      </c>
      <c r="C646" s="4" t="s">
        <v>163</v>
      </c>
      <c r="D646" s="4" t="s">
        <v>87</v>
      </c>
      <c r="E646" s="16">
        <v>0.02826637029647827</v>
      </c>
      <c r="F646" s="16">
        <v>0.9934359963517636</v>
      </c>
      <c r="G646" s="16"/>
      <c r="H646" s="16">
        <v>1.0</v>
      </c>
      <c r="I646" s="16">
        <v>0.6833333333333332</v>
      </c>
      <c r="J646" s="16">
        <v>0.4409340659340659</v>
      </c>
      <c r="K646" s="4">
        <v>0.0</v>
      </c>
      <c r="M646" s="4" t="s">
        <v>32</v>
      </c>
    </row>
    <row r="647" ht="18.0" customHeight="1">
      <c r="A647" s="4" t="s">
        <v>63</v>
      </c>
      <c r="B647" s="4">
        <v>28.0</v>
      </c>
      <c r="C647" s="4" t="s">
        <v>1048</v>
      </c>
      <c r="D647" s="4" t="s">
        <v>1034</v>
      </c>
      <c r="E647" s="16">
        <v>4.24960016971454E-4</v>
      </c>
      <c r="F647" s="16">
        <v>0.9999572841570625</v>
      </c>
      <c r="G647" s="16"/>
      <c r="H647" s="16">
        <v>0.0</v>
      </c>
      <c r="I647" s="16">
        <v>0.041666666666666664</v>
      </c>
      <c r="J647" s="16">
        <v>0.0</v>
      </c>
      <c r="K647" s="4">
        <v>0.0</v>
      </c>
      <c r="M647" s="4" t="s">
        <v>32</v>
      </c>
    </row>
    <row r="648" ht="18.0" customHeight="1">
      <c r="A648" s="4" t="s">
        <v>63</v>
      </c>
      <c r="B648" s="4">
        <v>29.0</v>
      </c>
      <c r="C648" s="4" t="s">
        <v>217</v>
      </c>
      <c r="D648" s="4" t="s">
        <v>1051</v>
      </c>
      <c r="E648" s="16">
        <v>1.8665701645659283E-5</v>
      </c>
      <c r="F648" s="16">
        <v>0.9999989147588622</v>
      </c>
      <c r="G648" s="16"/>
      <c r="H648" s="16">
        <v>1.0</v>
      </c>
      <c r="I648" s="16">
        <v>0.875</v>
      </c>
      <c r="J648" s="16">
        <v>0.36407766990291257</v>
      </c>
      <c r="K648" s="4">
        <v>0.0</v>
      </c>
      <c r="M648" s="4" t="s">
        <v>32</v>
      </c>
    </row>
    <row r="649" ht="18.0" customHeight="1">
      <c r="A649" s="4" t="s">
        <v>63</v>
      </c>
      <c r="B649" s="4">
        <v>30.0</v>
      </c>
      <c r="C649" s="4" t="s">
        <v>427</v>
      </c>
      <c r="D649" s="4" t="s">
        <v>181</v>
      </c>
      <c r="E649" s="16">
        <v>7.654512955923565E-6</v>
      </c>
      <c r="F649" s="16">
        <v>0.9999994132618752</v>
      </c>
      <c r="G649" s="16"/>
      <c r="H649" s="16">
        <v>0.0</v>
      </c>
      <c r="I649" s="16">
        <v>0.08333333333333333</v>
      </c>
      <c r="J649" s="16">
        <v>0.25</v>
      </c>
      <c r="K649" s="4">
        <v>0.0</v>
      </c>
      <c r="M649" s="4" t="s">
        <v>32</v>
      </c>
    </row>
    <row r="650" ht="18.0" customHeight="1">
      <c r="A650" s="4" t="s">
        <v>63</v>
      </c>
      <c r="B650" s="4">
        <v>31.0</v>
      </c>
      <c r="C650" s="4" t="s">
        <v>194</v>
      </c>
      <c r="D650" s="4" t="s">
        <v>409</v>
      </c>
      <c r="E650" s="16">
        <v>4.9002970627043396E-5</v>
      </c>
      <c r="F650" s="16">
        <v>0.999994967201701</v>
      </c>
      <c r="G650" s="16"/>
      <c r="H650" s="16">
        <v>0.0</v>
      </c>
      <c r="I650" s="16">
        <v>0.041666666666666664</v>
      </c>
      <c r="J650" s="16">
        <v>0.0</v>
      </c>
      <c r="K650" s="4">
        <v>0.0</v>
      </c>
      <c r="M650" s="4" t="s">
        <v>32</v>
      </c>
    </row>
    <row r="651" ht="18.0" customHeight="1">
      <c r="A651" s="4" t="s">
        <v>63</v>
      </c>
      <c r="B651" s="4">
        <v>32.0</v>
      </c>
      <c r="C651" s="4" t="s">
        <v>630</v>
      </c>
      <c r="D651" s="4" t="s">
        <v>629</v>
      </c>
      <c r="E651" s="16">
        <v>2.0425293769221753E-4</v>
      </c>
      <c r="F651" s="16">
        <v>0.9999691081811761</v>
      </c>
      <c r="G651" s="16"/>
      <c r="H651" s="16">
        <v>1.0</v>
      </c>
      <c r="I651" s="16">
        <v>0.85</v>
      </c>
      <c r="J651" s="16">
        <v>0.4</v>
      </c>
      <c r="K651" s="4">
        <v>0.0</v>
      </c>
      <c r="M651" s="4" t="s">
        <v>32</v>
      </c>
    </row>
    <row r="652" ht="18.0" customHeight="1">
      <c r="A652" s="4" t="s">
        <v>63</v>
      </c>
      <c r="B652" s="4">
        <v>33.0</v>
      </c>
      <c r="C652" s="4" t="s">
        <v>1048</v>
      </c>
      <c r="D652" s="4" t="s">
        <v>1034</v>
      </c>
      <c r="E652" s="16">
        <v>6.926865899004042E-5</v>
      </c>
      <c r="F652" s="16">
        <v>0.9999925890481336</v>
      </c>
      <c r="G652" s="16"/>
      <c r="H652" s="16">
        <v>0.5454545454545454</v>
      </c>
      <c r="I652" s="16">
        <v>0.4583333333333333</v>
      </c>
      <c r="J652" s="16">
        <v>0.20145631067961164</v>
      </c>
      <c r="K652" s="4">
        <v>0.0</v>
      </c>
      <c r="M652" s="4" t="s">
        <v>32</v>
      </c>
    </row>
    <row r="653" ht="18.0" customHeight="1">
      <c r="A653" s="4" t="s">
        <v>63</v>
      </c>
      <c r="B653" s="4">
        <v>34.0</v>
      </c>
      <c r="C653" s="4" t="s">
        <v>217</v>
      </c>
      <c r="D653" s="4" t="s">
        <v>542</v>
      </c>
      <c r="E653" s="16">
        <v>3.6996476410422474E-5</v>
      </c>
      <c r="F653" s="16">
        <v>0.9999974571351231</v>
      </c>
      <c r="G653" s="16"/>
      <c r="H653" s="16">
        <v>1.0</v>
      </c>
      <c r="I653" s="16">
        <v>0.8333333333333334</v>
      </c>
      <c r="J653" s="16">
        <v>0.36529126213592233</v>
      </c>
      <c r="K653" s="4">
        <v>0.0</v>
      </c>
      <c r="M653" s="4" t="s">
        <v>32</v>
      </c>
    </row>
    <row r="654" ht="18.0" customHeight="1">
      <c r="A654" s="4" t="s">
        <v>63</v>
      </c>
      <c r="B654" s="4">
        <v>35.0</v>
      </c>
      <c r="C654" s="4" t="s">
        <v>181</v>
      </c>
      <c r="D654" s="4" t="s">
        <v>160</v>
      </c>
      <c r="E654" s="16">
        <v>6.945048517081887E-5</v>
      </c>
      <c r="F654" s="16">
        <v>0.9999923293216852</v>
      </c>
      <c r="G654" s="16"/>
      <c r="H654" s="16">
        <v>0.09090909090909091</v>
      </c>
      <c r="I654" s="16">
        <v>0.16666666666666666</v>
      </c>
      <c r="J654" s="16">
        <v>0.5</v>
      </c>
      <c r="K654" s="4">
        <v>0.0</v>
      </c>
      <c r="M654" s="4" t="s">
        <v>32</v>
      </c>
    </row>
    <row r="655" ht="18.0" customHeight="1">
      <c r="A655" s="4" t="s">
        <v>63</v>
      </c>
      <c r="B655" s="4">
        <v>36.0</v>
      </c>
      <c r="C655" s="4" t="s">
        <v>194</v>
      </c>
      <c r="D655" s="4" t="s">
        <v>409</v>
      </c>
      <c r="E655" s="16">
        <v>6.610779382754117E-5</v>
      </c>
      <c r="F655" s="16">
        <v>0.9999920103032309</v>
      </c>
      <c r="G655" s="16"/>
      <c r="H655" s="16">
        <v>0.0</v>
      </c>
      <c r="I655" s="16">
        <v>0.041666666666666664</v>
      </c>
      <c r="J655" s="16">
        <v>0.0</v>
      </c>
      <c r="K655" s="4">
        <v>0.0</v>
      </c>
      <c r="M655" s="4" t="s">
        <v>32</v>
      </c>
    </row>
    <row r="656" ht="18.0" customHeight="1">
      <c r="A656" s="4" t="s">
        <v>63</v>
      </c>
      <c r="B656" s="4">
        <v>37.0</v>
      </c>
      <c r="C656" s="4" t="s">
        <v>629</v>
      </c>
      <c r="D656" s="4" t="s">
        <v>461</v>
      </c>
      <c r="E656" s="16">
        <v>6.543659401359037E-5</v>
      </c>
      <c r="F656" s="16">
        <v>0.9999952418961584</v>
      </c>
      <c r="G656" s="16"/>
      <c r="H656" s="16">
        <v>1.0</v>
      </c>
      <c r="I656" s="16">
        <v>0.9166666666666666</v>
      </c>
      <c r="J656" s="16">
        <v>0.21678321678321683</v>
      </c>
      <c r="K656" s="4">
        <v>1.0</v>
      </c>
      <c r="L656" s="4">
        <v>0.0</v>
      </c>
      <c r="M656" s="4" t="s">
        <v>239</v>
      </c>
    </row>
    <row r="657" ht="18.0" customHeight="1">
      <c r="A657" s="4" t="s">
        <v>63</v>
      </c>
      <c r="B657" s="4">
        <v>38.0</v>
      </c>
      <c r="C657" s="4" t="s">
        <v>461</v>
      </c>
      <c r="D657" s="4" t="s">
        <v>577</v>
      </c>
      <c r="E657" s="16">
        <v>3.4999087802134454E-5</v>
      </c>
      <c r="F657" s="16">
        <v>0.9999975702321819</v>
      </c>
      <c r="G657" s="16"/>
      <c r="H657" s="16">
        <v>0.0</v>
      </c>
      <c r="I657" s="16">
        <v>0.016666666666666666</v>
      </c>
      <c r="J657" s="16">
        <v>0.0</v>
      </c>
      <c r="K657" s="4">
        <v>0.0</v>
      </c>
      <c r="M657" s="4" t="s">
        <v>32</v>
      </c>
    </row>
    <row r="658" ht="18.0" customHeight="1">
      <c r="A658" s="4" t="s">
        <v>63</v>
      </c>
      <c r="B658" s="4">
        <v>39.0</v>
      </c>
      <c r="C658" s="4" t="s">
        <v>630</v>
      </c>
      <c r="D658" s="4" t="s">
        <v>632</v>
      </c>
      <c r="E658" s="16">
        <v>2.3023040557745844E-4</v>
      </c>
      <c r="F658" s="16">
        <v>0.9999706148464611</v>
      </c>
      <c r="G658" s="16"/>
      <c r="H658" s="16">
        <v>1.0</v>
      </c>
      <c r="I658" s="16">
        <v>0.9166666666666666</v>
      </c>
      <c r="J658" s="16">
        <v>0.4285714285714286</v>
      </c>
      <c r="K658" s="4">
        <v>1.0</v>
      </c>
      <c r="L658" s="4">
        <v>0.0</v>
      </c>
      <c r="M658" s="4" t="s">
        <v>239</v>
      </c>
    </row>
    <row r="659" ht="18.0" customHeight="1">
      <c r="A659" s="4" t="s">
        <v>63</v>
      </c>
      <c r="B659" s="4">
        <v>40.0</v>
      </c>
      <c r="C659" s="4" t="s">
        <v>1048</v>
      </c>
      <c r="D659" s="4" t="s">
        <v>1034</v>
      </c>
      <c r="E659" s="16">
        <v>1.49422645336017E-4</v>
      </c>
      <c r="F659" s="16">
        <v>0.9999813266322235</v>
      </c>
      <c r="G659" s="16"/>
      <c r="H659" s="16">
        <v>0.0</v>
      </c>
      <c r="I659" s="16">
        <v>0.041666666666666664</v>
      </c>
      <c r="J659" s="16">
        <v>0.0</v>
      </c>
      <c r="K659" s="4">
        <v>0.0</v>
      </c>
      <c r="M659" s="4" t="s">
        <v>32</v>
      </c>
    </row>
    <row r="660" ht="18.0" customHeight="1">
      <c r="A660" s="4" t="s">
        <v>63</v>
      </c>
      <c r="B660" s="4">
        <v>41.0</v>
      </c>
      <c r="C660" s="4" t="s">
        <v>217</v>
      </c>
      <c r="D660" s="4" t="s">
        <v>1051</v>
      </c>
      <c r="E660" s="16">
        <v>4.6312547056004405E-4</v>
      </c>
      <c r="F660" s="16">
        <v>0.9999477772907994</v>
      </c>
      <c r="G660" s="16"/>
      <c r="H660" s="16">
        <v>1.0</v>
      </c>
      <c r="I660" s="16">
        <v>0.5833333333333334</v>
      </c>
      <c r="J660" s="16">
        <v>0.3109756097560976</v>
      </c>
      <c r="K660" s="4">
        <v>0.0</v>
      </c>
      <c r="M660" s="4" t="s">
        <v>32</v>
      </c>
    </row>
    <row r="661" ht="18.0" customHeight="1">
      <c r="A661" s="4" t="s">
        <v>63</v>
      </c>
      <c r="B661" s="4">
        <v>42.0</v>
      </c>
      <c r="C661" s="4" t="s">
        <v>181</v>
      </c>
      <c r="D661" s="4" t="s">
        <v>160</v>
      </c>
      <c r="E661" s="16">
        <v>0.29018735885620117</v>
      </c>
      <c r="F661" s="16">
        <v>0.8320825770497322</v>
      </c>
      <c r="G661" s="16"/>
      <c r="H661" s="16">
        <v>0.0</v>
      </c>
      <c r="I661" s="16">
        <v>0.08333333333333333</v>
      </c>
      <c r="J661" s="16">
        <v>0.16666666666666663</v>
      </c>
      <c r="K661" s="4">
        <v>1.0</v>
      </c>
      <c r="L661" s="4">
        <v>0.0</v>
      </c>
      <c r="M661" s="4" t="s">
        <v>239</v>
      </c>
    </row>
    <row r="662" ht="18.0" customHeight="1">
      <c r="A662" s="4" t="s">
        <v>63</v>
      </c>
      <c r="B662" s="4">
        <v>43.0</v>
      </c>
      <c r="C662" s="4" t="s">
        <v>194</v>
      </c>
      <c r="D662" s="4" t="s">
        <v>409</v>
      </c>
      <c r="E662" s="16">
        <v>2.2008946689311415E-4</v>
      </c>
      <c r="F662" s="16">
        <v>0.999973298173245</v>
      </c>
      <c r="G662" s="16"/>
      <c r="H662" s="16">
        <v>0.0</v>
      </c>
      <c r="I662" s="16">
        <v>0.041666666666666664</v>
      </c>
      <c r="J662" s="16">
        <v>0.0</v>
      </c>
      <c r="K662" s="4">
        <v>0.0</v>
      </c>
      <c r="M662" s="4" t="s">
        <v>32</v>
      </c>
    </row>
    <row r="663" ht="18.0" customHeight="1">
      <c r="A663" s="4" t="s">
        <v>63</v>
      </c>
      <c r="B663" s="4">
        <v>44.0</v>
      </c>
      <c r="C663" s="4" t="s">
        <v>629</v>
      </c>
      <c r="D663" s="4" t="s">
        <v>630</v>
      </c>
      <c r="E663" s="16">
        <v>5.7601428125053644E-5</v>
      </c>
      <c r="F663" s="16">
        <v>0.9999952449376224</v>
      </c>
      <c r="G663" s="16"/>
      <c r="H663" s="16">
        <v>0.0</v>
      </c>
      <c r="I663" s="16">
        <v>0.08333333333333333</v>
      </c>
      <c r="J663" s="16">
        <v>0.0</v>
      </c>
      <c r="K663" s="4">
        <v>0.0</v>
      </c>
      <c r="M663" s="4" t="s">
        <v>32</v>
      </c>
    </row>
    <row r="664" ht="18.0" customHeight="1">
      <c r="A664" s="4" t="s">
        <v>63</v>
      </c>
      <c r="B664" s="4">
        <v>45.0</v>
      </c>
      <c r="C664" s="4" t="s">
        <v>461</v>
      </c>
      <c r="D664" s="4" t="s">
        <v>264</v>
      </c>
      <c r="E664" s="16">
        <v>4.679907578974962E-5</v>
      </c>
      <c r="F664" s="16">
        <v>0.9999967892406971</v>
      </c>
      <c r="G664" s="16"/>
      <c r="H664" s="16">
        <v>0.9090909090909091</v>
      </c>
      <c r="I664" s="16">
        <v>0.3458333333333334</v>
      </c>
      <c r="J664" s="16">
        <v>0.6281481481481482</v>
      </c>
      <c r="K664" s="4">
        <v>0.0</v>
      </c>
      <c r="M664" s="4" t="s">
        <v>32</v>
      </c>
    </row>
    <row r="665" ht="18.0" customHeight="1">
      <c r="A665" s="4" t="s">
        <v>63</v>
      </c>
      <c r="B665" s="4">
        <v>46.0</v>
      </c>
      <c r="C665" s="4" t="s">
        <v>632</v>
      </c>
      <c r="D665" s="4" t="s">
        <v>244</v>
      </c>
      <c r="E665" s="16">
        <v>0.0016918261535465717</v>
      </c>
      <c r="F665" s="16">
        <v>0.9996627777582034</v>
      </c>
      <c r="G665" s="16"/>
      <c r="H665" s="16">
        <v>0.2727272727272727</v>
      </c>
      <c r="I665" s="16">
        <v>0.1875</v>
      </c>
      <c r="J665" s="16">
        <v>0.33333333333333337</v>
      </c>
      <c r="K665" s="4">
        <v>0.0</v>
      </c>
      <c r="M665" s="4" t="s">
        <v>32</v>
      </c>
    </row>
    <row r="666" ht="18.0" customHeight="1">
      <c r="A666" s="4" t="s">
        <v>63</v>
      </c>
      <c r="B666" s="4">
        <v>47.0</v>
      </c>
      <c r="C666" s="4" t="s">
        <v>160</v>
      </c>
      <c r="D666" s="4" t="s">
        <v>122</v>
      </c>
      <c r="E666" s="16">
        <v>3.165140878991224E-5</v>
      </c>
      <c r="F666" s="16">
        <v>0.9999981946887715</v>
      </c>
      <c r="G666" s="16"/>
      <c r="H666" s="16">
        <v>1.0</v>
      </c>
      <c r="I666" s="16">
        <v>0.5</v>
      </c>
      <c r="J666" s="16">
        <v>0.038461538461538464</v>
      </c>
      <c r="K666" s="4">
        <v>0.0</v>
      </c>
      <c r="M666" s="4" t="s">
        <v>32</v>
      </c>
    </row>
    <row r="667" ht="18.0" customHeight="1">
      <c r="A667" s="4" t="s">
        <v>63</v>
      </c>
      <c r="B667" s="4">
        <v>48.0</v>
      </c>
      <c r="C667" s="4" t="s">
        <v>630</v>
      </c>
      <c r="D667" s="4" t="s">
        <v>890</v>
      </c>
      <c r="E667" s="16">
        <v>1.5678433555876836E-5</v>
      </c>
      <c r="F667" s="16">
        <v>0.999998974024976</v>
      </c>
      <c r="G667" s="16"/>
      <c r="H667" s="16">
        <v>0.0</v>
      </c>
      <c r="I667" s="16">
        <v>0.08333333333333333</v>
      </c>
      <c r="J667" s="16">
        <v>0.0</v>
      </c>
      <c r="K667" s="4">
        <v>0.0</v>
      </c>
      <c r="M667" s="4" t="s">
        <v>32</v>
      </c>
    </row>
    <row r="668" ht="18.0" customHeight="1">
      <c r="A668" s="4" t="s">
        <v>63</v>
      </c>
      <c r="B668" s="4">
        <v>49.0</v>
      </c>
      <c r="C668" s="4" t="s">
        <v>1052</v>
      </c>
      <c r="D668" s="4" t="s">
        <v>1053</v>
      </c>
      <c r="E668" s="16">
        <v>0.0072216857224702835</v>
      </c>
      <c r="F668" s="16">
        <v>0.9984233292052522</v>
      </c>
      <c r="G668" s="16"/>
      <c r="H668" s="16">
        <v>0.0</v>
      </c>
      <c r="I668" s="16">
        <v>0.041666666666666664</v>
      </c>
      <c r="J668" s="16">
        <v>0.0</v>
      </c>
      <c r="K668" s="4">
        <v>0.0</v>
      </c>
      <c r="M668" s="4" t="s">
        <v>32</v>
      </c>
    </row>
    <row r="669" ht="18.0" customHeight="1">
      <c r="A669" s="4" t="s">
        <v>63</v>
      </c>
      <c r="B669" s="4">
        <v>50.0</v>
      </c>
      <c r="C669" s="4" t="s">
        <v>1048</v>
      </c>
      <c r="D669" s="4" t="s">
        <v>1034</v>
      </c>
      <c r="E669" s="16">
        <v>2.781464718282223E-4</v>
      </c>
      <c r="F669" s="16">
        <v>0.9999596034540446</v>
      </c>
      <c r="G669" s="16"/>
      <c r="H669" s="16">
        <v>0.09090909090909091</v>
      </c>
      <c r="I669" s="16">
        <v>0.041666666666666664</v>
      </c>
      <c r="J669" s="16">
        <v>0.0</v>
      </c>
      <c r="K669" s="4">
        <v>0.0</v>
      </c>
      <c r="M669" s="4" t="s">
        <v>32</v>
      </c>
    </row>
    <row r="670" ht="18.0" customHeight="1">
      <c r="A670" s="4" t="s">
        <v>63</v>
      </c>
      <c r="B670" s="4">
        <v>51.0</v>
      </c>
      <c r="C670" s="4" t="s">
        <v>1051</v>
      </c>
      <c r="D670" s="4" t="s">
        <v>542</v>
      </c>
      <c r="E670" s="16">
        <v>1.4812244444328826E-5</v>
      </c>
      <c r="F670" s="16">
        <v>0.9999988786032503</v>
      </c>
      <c r="G670" s="16"/>
      <c r="H670" s="16">
        <v>0.7272727272727273</v>
      </c>
      <c r="I670" s="16">
        <v>0.2916666666666667</v>
      </c>
      <c r="J670" s="16">
        <v>0.19117647058823528</v>
      </c>
      <c r="K670" s="4">
        <v>0.0</v>
      </c>
      <c r="M670" s="4" t="s">
        <v>32</v>
      </c>
    </row>
    <row r="671" ht="18.0" customHeight="1">
      <c r="A671" s="4" t="s">
        <v>63</v>
      </c>
      <c r="B671" s="4">
        <v>52.0</v>
      </c>
      <c r="C671" s="4" t="s">
        <v>194</v>
      </c>
      <c r="D671" s="4" t="s">
        <v>412</v>
      </c>
      <c r="E671" s="16">
        <v>2.394447074038908E-4</v>
      </c>
      <c r="F671" s="16">
        <v>0.9999706354492446</v>
      </c>
      <c r="G671" s="16"/>
      <c r="H671" s="16">
        <v>0.9090909090909091</v>
      </c>
      <c r="I671" s="16">
        <v>0.47500000000000003</v>
      </c>
      <c r="J671" s="16">
        <v>0.5</v>
      </c>
      <c r="K671" s="4">
        <v>0.0</v>
      </c>
      <c r="M671" s="4" t="s">
        <v>32</v>
      </c>
    </row>
    <row r="672" ht="18.0" customHeight="1">
      <c r="A672" s="4" t="s">
        <v>63</v>
      </c>
      <c r="B672" s="4">
        <v>53.0</v>
      </c>
      <c r="C672" s="4" t="s">
        <v>629</v>
      </c>
      <c r="D672" s="4" t="s">
        <v>461</v>
      </c>
      <c r="E672" s="16">
        <v>8.785034879110754E-5</v>
      </c>
      <c r="F672" s="16">
        <v>0.9999909461873813</v>
      </c>
      <c r="G672" s="16"/>
      <c r="H672" s="16">
        <v>1.0</v>
      </c>
      <c r="I672" s="16">
        <v>0.5</v>
      </c>
      <c r="J672" s="16">
        <v>0.0</v>
      </c>
      <c r="K672" s="4">
        <v>0.0</v>
      </c>
      <c r="M672" s="4" t="s">
        <v>32</v>
      </c>
    </row>
    <row r="673" ht="18.0" customHeight="1">
      <c r="A673" s="4" t="s">
        <v>63</v>
      </c>
      <c r="B673" s="4">
        <v>54.0</v>
      </c>
      <c r="C673" s="4" t="s">
        <v>461</v>
      </c>
      <c r="D673" s="4" t="s">
        <v>1054</v>
      </c>
      <c r="E673" s="16">
        <v>4.366298162494786E-5</v>
      </c>
      <c r="F673" s="16">
        <v>0.9999968882472672</v>
      </c>
      <c r="G673" s="16"/>
      <c r="H673" s="16">
        <v>1.0</v>
      </c>
      <c r="I673" s="16">
        <v>0.43333333333333335</v>
      </c>
      <c r="J673" s="16">
        <v>0.4</v>
      </c>
      <c r="K673" s="4">
        <v>0.0</v>
      </c>
      <c r="M673" s="4" t="s">
        <v>32</v>
      </c>
    </row>
    <row r="674" ht="18.0" customHeight="1">
      <c r="A674" s="4" t="s">
        <v>63</v>
      </c>
      <c r="B674" s="4">
        <v>55.0</v>
      </c>
      <c r="C674" s="4" t="s">
        <v>1055</v>
      </c>
      <c r="D674" s="4" t="s">
        <v>1056</v>
      </c>
      <c r="E674" s="16">
        <v>4.006629387731664E-5</v>
      </c>
      <c r="F674" s="16">
        <v>0.9999968587001149</v>
      </c>
      <c r="G674" s="16"/>
      <c r="H674" s="16">
        <v>1.0</v>
      </c>
      <c r="I674" s="16">
        <v>0.4166666666666667</v>
      </c>
      <c r="J674" s="16">
        <v>0.5714285714285714</v>
      </c>
      <c r="K674" s="4">
        <v>0.0</v>
      </c>
      <c r="M674" s="4" t="s">
        <v>32</v>
      </c>
    </row>
    <row r="675" ht="18.0" customHeight="1">
      <c r="A675" s="4" t="s">
        <v>63</v>
      </c>
      <c r="B675" s="4">
        <v>56.0</v>
      </c>
      <c r="C675" s="4" t="s">
        <v>122</v>
      </c>
      <c r="D675" s="4" t="s">
        <v>220</v>
      </c>
      <c r="E675" s="16">
        <v>1.7496180953457952E-4</v>
      </c>
      <c r="F675" s="16">
        <v>0.9999864906828861</v>
      </c>
      <c r="G675" s="16"/>
      <c r="H675" s="16">
        <v>0.0</v>
      </c>
      <c r="I675" s="16">
        <v>0.0</v>
      </c>
      <c r="J675" s="16">
        <v>0.0</v>
      </c>
      <c r="K675" s="4">
        <v>0.0</v>
      </c>
      <c r="M675" s="4" t="s">
        <v>32</v>
      </c>
    </row>
    <row r="676" ht="18.0" customHeight="1">
      <c r="A676" s="4" t="s">
        <v>63</v>
      </c>
      <c r="B676" s="4">
        <v>57.0</v>
      </c>
      <c r="C676" s="4" t="s">
        <v>232</v>
      </c>
      <c r="D676" s="4" t="s">
        <v>763</v>
      </c>
      <c r="E676" s="16">
        <v>8.027585863601416E-5</v>
      </c>
      <c r="F676" s="16">
        <v>0.9999922910992609</v>
      </c>
      <c r="G676" s="16"/>
      <c r="H676" s="16">
        <v>0.0</v>
      </c>
      <c r="I676" s="16">
        <v>0.0</v>
      </c>
      <c r="J676" s="16">
        <v>0.0</v>
      </c>
      <c r="K676" s="4">
        <v>0.0</v>
      </c>
      <c r="M676" s="4" t="s">
        <v>32</v>
      </c>
    </row>
    <row r="677" ht="18.0" customHeight="1">
      <c r="A677" s="4" t="s">
        <v>63</v>
      </c>
      <c r="B677" s="4">
        <v>58.0</v>
      </c>
      <c r="C677" s="4" t="s">
        <v>87</v>
      </c>
      <c r="D677" s="4" t="s">
        <v>111</v>
      </c>
      <c r="E677" s="16">
        <v>3.103629278484732E-4</v>
      </c>
      <c r="F677" s="16">
        <v>0.9999623122757839</v>
      </c>
      <c r="G677" s="16"/>
      <c r="H677" s="16">
        <v>1.0</v>
      </c>
      <c r="I677" s="16">
        <v>0.5416666666666666</v>
      </c>
      <c r="J677" s="16">
        <v>0.0</v>
      </c>
      <c r="K677" s="4">
        <v>0.0</v>
      </c>
      <c r="M677" s="4" t="s">
        <v>32</v>
      </c>
    </row>
    <row r="678" ht="18.0" customHeight="1">
      <c r="A678" s="4" t="s">
        <v>63</v>
      </c>
      <c r="B678" s="4">
        <v>59.0</v>
      </c>
      <c r="C678" s="4" t="s">
        <v>232</v>
      </c>
      <c r="D678" s="4" t="s">
        <v>289</v>
      </c>
      <c r="E678" s="16">
        <v>1.5750862075947225E-4</v>
      </c>
      <c r="F678" s="16">
        <v>0.9999840979166947</v>
      </c>
      <c r="G678" s="16"/>
      <c r="H678" s="16">
        <v>1.0</v>
      </c>
      <c r="I678" s="16">
        <v>0.5625</v>
      </c>
      <c r="J678" s="16">
        <v>0.0</v>
      </c>
      <c r="K678" s="4">
        <v>0.0</v>
      </c>
      <c r="M678" s="4" t="s">
        <v>32</v>
      </c>
    </row>
    <row r="679" ht="18.0" customHeight="1">
      <c r="A679" s="4" t="s">
        <v>63</v>
      </c>
      <c r="B679" s="4">
        <v>60.0</v>
      </c>
      <c r="C679" s="4" t="s">
        <v>163</v>
      </c>
      <c r="D679" s="4" t="s">
        <v>281</v>
      </c>
      <c r="E679" s="16">
        <v>3.140183980576694E-4</v>
      </c>
      <c r="F679" s="16">
        <v>0.9999723864589214</v>
      </c>
      <c r="G679" s="16"/>
      <c r="H679" s="16">
        <v>0.9090909090909091</v>
      </c>
      <c r="I679" s="16">
        <v>0.6208333333333333</v>
      </c>
      <c r="J679" s="16">
        <v>0.7962962962962962</v>
      </c>
      <c r="K679" s="4">
        <v>0.0</v>
      </c>
      <c r="M679" s="4" t="s">
        <v>32</v>
      </c>
    </row>
    <row r="680" ht="18.0" customHeight="1">
      <c r="A680" s="4" t="s">
        <v>63</v>
      </c>
      <c r="B680" s="4">
        <v>61.0</v>
      </c>
      <c r="C680" s="4" t="s">
        <v>517</v>
      </c>
      <c r="D680" s="4" t="s">
        <v>1057</v>
      </c>
      <c r="E680" s="16">
        <v>1.5586524386890233E-4</v>
      </c>
      <c r="F680" s="16">
        <v>0.9999873258802836</v>
      </c>
      <c r="G680" s="16"/>
      <c r="H680" s="16">
        <v>1.0</v>
      </c>
      <c r="I680" s="16">
        <v>0.5499999999999999</v>
      </c>
      <c r="J680" s="16">
        <v>0.5714285714285714</v>
      </c>
      <c r="K680" s="4">
        <v>0.0</v>
      </c>
      <c r="M680" s="4" t="s">
        <v>32</v>
      </c>
    </row>
    <row r="681" ht="18.0" customHeight="1">
      <c r="A681" s="4" t="s">
        <v>63</v>
      </c>
      <c r="B681" s="4">
        <v>62.0</v>
      </c>
      <c r="C681" s="4" t="s">
        <v>985</v>
      </c>
      <c r="D681" s="4" t="s">
        <v>1058</v>
      </c>
      <c r="E681" s="16">
        <v>1.88511359738186E-4</v>
      </c>
      <c r="F681" s="16">
        <v>0.9999801519147695</v>
      </c>
      <c r="G681" s="16"/>
      <c r="H681" s="16">
        <v>1.0</v>
      </c>
      <c r="I681" s="16">
        <v>0.6666666666666666</v>
      </c>
      <c r="J681" s="16">
        <v>0.0</v>
      </c>
      <c r="K681" s="4">
        <v>0.0</v>
      </c>
      <c r="M681" s="4" t="s">
        <v>32</v>
      </c>
    </row>
    <row r="682" ht="18.0" customHeight="1">
      <c r="A682" s="4" t="s">
        <v>63</v>
      </c>
      <c r="B682" s="4">
        <v>63.0</v>
      </c>
      <c r="C682" s="4" t="s">
        <v>1059</v>
      </c>
      <c r="D682" s="4" t="s">
        <v>1060</v>
      </c>
      <c r="E682" s="16">
        <v>2.707374223973602E-4</v>
      </c>
      <c r="F682" s="16">
        <v>0.9999696045297242</v>
      </c>
      <c r="G682" s="16"/>
      <c r="H682" s="16">
        <v>0.0</v>
      </c>
      <c r="I682" s="16">
        <v>0.016666666666666666</v>
      </c>
      <c r="J682" s="16">
        <v>0.0</v>
      </c>
      <c r="K682" s="4">
        <v>0.0</v>
      </c>
      <c r="M682" s="4" t="s">
        <v>32</v>
      </c>
    </row>
    <row r="683" ht="18.0" customHeight="1">
      <c r="A683" s="4" t="s">
        <v>63</v>
      </c>
      <c r="B683" s="4">
        <v>64.0</v>
      </c>
      <c r="C683" s="4" t="s">
        <v>629</v>
      </c>
      <c r="D683" s="4" t="s">
        <v>630</v>
      </c>
      <c r="E683" s="16">
        <v>5.547294131247327E-5</v>
      </c>
      <c r="F683" s="16">
        <v>0.9999960532404089</v>
      </c>
      <c r="G683" s="16"/>
      <c r="H683" s="16">
        <v>1.0</v>
      </c>
      <c r="I683" s="16">
        <v>0.6750000000000002</v>
      </c>
      <c r="J683" s="16">
        <v>0.75</v>
      </c>
      <c r="K683" s="4">
        <v>1.0</v>
      </c>
      <c r="L683" s="4">
        <v>0.0</v>
      </c>
      <c r="M683" s="4" t="s">
        <v>239</v>
      </c>
    </row>
    <row r="684" ht="18.0" customHeight="1">
      <c r="A684" s="4" t="s">
        <v>63</v>
      </c>
      <c r="B684" s="4">
        <v>65.0</v>
      </c>
      <c r="C684" s="4" t="s">
        <v>1057</v>
      </c>
      <c r="D684" s="4" t="s">
        <v>461</v>
      </c>
      <c r="E684" s="16">
        <v>0.009706167504191399</v>
      </c>
      <c r="F684" s="16">
        <v>0.9978946092887782</v>
      </c>
      <c r="G684" s="16"/>
      <c r="H684" s="16">
        <v>0.9090909090909091</v>
      </c>
      <c r="I684" s="16">
        <v>0.6208333333333333</v>
      </c>
      <c r="J684" s="16">
        <v>0.6666666666666667</v>
      </c>
      <c r="K684" s="4">
        <v>0.0</v>
      </c>
      <c r="M684" s="4" t="s">
        <v>32</v>
      </c>
    </row>
    <row r="685" ht="18.0" customHeight="1">
      <c r="A685" s="4" t="s">
        <v>63</v>
      </c>
      <c r="B685" s="4">
        <v>66.0</v>
      </c>
      <c r="C685" s="4" t="s">
        <v>1061</v>
      </c>
      <c r="D685" s="4" t="s">
        <v>1019</v>
      </c>
      <c r="E685" s="16">
        <v>2.623948093969375E-4</v>
      </c>
      <c r="F685" s="16">
        <v>0.9999699048721595</v>
      </c>
      <c r="G685" s="16"/>
      <c r="H685" s="16">
        <v>0.0</v>
      </c>
      <c r="I685" s="16">
        <v>0.041666666666666664</v>
      </c>
      <c r="J685" s="16">
        <v>0.1633027522935779</v>
      </c>
      <c r="K685" s="4">
        <v>0.0</v>
      </c>
      <c r="M685" s="4" t="s">
        <v>32</v>
      </c>
    </row>
    <row r="686" ht="18.0" customHeight="1">
      <c r="A686" s="4" t="s">
        <v>63</v>
      </c>
      <c r="B686" s="4">
        <v>67.0</v>
      </c>
      <c r="C686" s="4" t="s">
        <v>155</v>
      </c>
      <c r="D686" s="4" t="s">
        <v>311</v>
      </c>
      <c r="E686" s="16">
        <v>5.643560871249065E-5</v>
      </c>
      <c r="F686" s="16">
        <v>0.9999944289952509</v>
      </c>
      <c r="G686" s="16"/>
      <c r="H686" s="16">
        <v>1.0</v>
      </c>
      <c r="I686" s="16">
        <v>0.5833333333333334</v>
      </c>
      <c r="J686" s="16">
        <v>0.11764705882352942</v>
      </c>
      <c r="K686" s="4">
        <v>0.0</v>
      </c>
      <c r="M686" s="4" t="s">
        <v>32</v>
      </c>
    </row>
    <row r="687" ht="18.0" customHeight="1">
      <c r="A687" s="4" t="s">
        <v>63</v>
      </c>
      <c r="B687" s="4">
        <v>68.0</v>
      </c>
      <c r="C687" s="4" t="s">
        <v>151</v>
      </c>
      <c r="D687" s="4" t="s">
        <v>1062</v>
      </c>
      <c r="E687" s="16">
        <v>5.8964182244380936E-5</v>
      </c>
      <c r="F687" s="16">
        <v>0.9999962413243111</v>
      </c>
      <c r="G687" s="16"/>
      <c r="H687" s="16">
        <v>1.0</v>
      </c>
      <c r="I687" s="16">
        <v>0.625</v>
      </c>
      <c r="J687" s="16">
        <v>0.25</v>
      </c>
      <c r="K687" s="4">
        <v>0.0</v>
      </c>
      <c r="M687" s="4" t="s">
        <v>32</v>
      </c>
    </row>
    <row r="688" ht="18.0" customHeight="1">
      <c r="A688" s="4" t="s">
        <v>63</v>
      </c>
      <c r="B688" s="4">
        <v>69.0</v>
      </c>
      <c r="C688" s="4" t="s">
        <v>147</v>
      </c>
      <c r="D688" s="4" t="s">
        <v>148</v>
      </c>
      <c r="E688" s="16">
        <v>2.019412931986153E-4</v>
      </c>
      <c r="F688" s="16">
        <v>0.9999752805651951</v>
      </c>
      <c r="G688" s="16"/>
      <c r="H688" s="16">
        <v>0.09090909090909091</v>
      </c>
      <c r="I688" s="16">
        <v>0.03333333333333333</v>
      </c>
      <c r="J688" s="16">
        <v>0.0</v>
      </c>
      <c r="K688" s="4">
        <v>0.0</v>
      </c>
      <c r="M688" s="4" t="s">
        <v>32</v>
      </c>
    </row>
    <row r="689" ht="18.0" customHeight="1">
      <c r="A689" s="4" t="s">
        <v>63</v>
      </c>
      <c r="B689" s="4">
        <v>70.0</v>
      </c>
      <c r="C689" s="4" t="s">
        <v>169</v>
      </c>
      <c r="D689" s="4" t="s">
        <v>591</v>
      </c>
      <c r="E689" s="16">
        <v>4.201265255687758E-5</v>
      </c>
      <c r="F689" s="16">
        <v>0.9999958429172011</v>
      </c>
      <c r="G689" s="16"/>
      <c r="H689" s="16">
        <v>1.0</v>
      </c>
      <c r="I689" s="16">
        <v>0.5833333333333334</v>
      </c>
      <c r="J689" s="16">
        <v>0.0</v>
      </c>
      <c r="K689" s="4">
        <v>0.0</v>
      </c>
      <c r="M689" s="4" t="s">
        <v>32</v>
      </c>
    </row>
    <row r="690" ht="18.0" customHeight="1">
      <c r="A690" s="4" t="s">
        <v>63</v>
      </c>
      <c r="B690" s="4">
        <v>71.0</v>
      </c>
      <c r="C690" s="4" t="s">
        <v>453</v>
      </c>
      <c r="D690" s="4" t="s">
        <v>159</v>
      </c>
      <c r="E690" s="16">
        <v>8.25980314402841E-5</v>
      </c>
      <c r="F690" s="16">
        <v>0.9999924767448647</v>
      </c>
      <c r="G690" s="16"/>
      <c r="H690" s="16">
        <v>1.0</v>
      </c>
      <c r="I690" s="16">
        <v>0.5791666666666667</v>
      </c>
      <c r="J690" s="16">
        <v>0.0</v>
      </c>
      <c r="K690" s="4">
        <v>0.0</v>
      </c>
      <c r="M690" s="4" t="s">
        <v>32</v>
      </c>
    </row>
    <row r="691" ht="18.0" customHeight="1">
      <c r="A691" s="4" t="s">
        <v>63</v>
      </c>
      <c r="B691" s="4">
        <v>72.0</v>
      </c>
      <c r="C691" s="4" t="s">
        <v>147</v>
      </c>
      <c r="D691" s="4" t="s">
        <v>159</v>
      </c>
      <c r="E691" s="16">
        <v>3.158447361784056E-5</v>
      </c>
      <c r="F691" s="16">
        <v>0.9999978630329167</v>
      </c>
      <c r="G691" s="16"/>
      <c r="H691" s="16">
        <v>1.0</v>
      </c>
      <c r="I691" s="16">
        <v>0.5375</v>
      </c>
      <c r="J691" s="16">
        <v>0.2175324675324675</v>
      </c>
      <c r="K691" s="4">
        <v>0.0</v>
      </c>
      <c r="M691" s="4" t="s">
        <v>32</v>
      </c>
    </row>
    <row r="692" ht="18.0" customHeight="1">
      <c r="A692" s="4" t="s">
        <v>63</v>
      </c>
      <c r="B692" s="4">
        <v>73.0</v>
      </c>
      <c r="C692" s="4" t="s">
        <v>151</v>
      </c>
      <c r="D692" s="4" t="s">
        <v>1037</v>
      </c>
      <c r="E692" s="16">
        <v>2.2002144760335796E-5</v>
      </c>
      <c r="F692" s="16">
        <v>0.9999980797969101</v>
      </c>
      <c r="G692" s="16"/>
      <c r="H692" s="16">
        <v>1.0</v>
      </c>
      <c r="I692" s="16">
        <v>0.5166666666666667</v>
      </c>
      <c r="J692" s="16">
        <v>0.0</v>
      </c>
      <c r="K692" s="4">
        <v>0.0</v>
      </c>
      <c r="M692" s="4" t="s">
        <v>32</v>
      </c>
    </row>
    <row r="693" ht="18.0" customHeight="1">
      <c r="A693" s="4" t="s">
        <v>63</v>
      </c>
      <c r="B693" s="4">
        <v>74.0</v>
      </c>
      <c r="C693" s="4" t="s">
        <v>1060</v>
      </c>
      <c r="D693" s="4" t="s">
        <v>1063</v>
      </c>
      <c r="E693" s="16">
        <v>1.100525405490771E-4</v>
      </c>
      <c r="F693" s="16">
        <v>0.9999904856574631</v>
      </c>
      <c r="G693" s="16"/>
      <c r="H693" s="16">
        <v>0.0</v>
      </c>
      <c r="I693" s="16">
        <v>0.016666666666666666</v>
      </c>
      <c r="J693" s="16">
        <v>0.0</v>
      </c>
      <c r="K693" s="4">
        <v>0.0</v>
      </c>
      <c r="M693" s="4" t="s">
        <v>32</v>
      </c>
    </row>
    <row r="694" ht="18.0" customHeight="1">
      <c r="A694" s="4" t="s">
        <v>63</v>
      </c>
      <c r="B694" s="4">
        <v>75.0</v>
      </c>
      <c r="C694" s="4" t="s">
        <v>172</v>
      </c>
      <c r="D694" s="4" t="s">
        <v>159</v>
      </c>
      <c r="E694" s="16">
        <v>1.5356414951384068E-4</v>
      </c>
      <c r="F694" s="16">
        <v>0.9999876934957683</v>
      </c>
      <c r="G694" s="16"/>
      <c r="H694" s="16">
        <v>1.0</v>
      </c>
      <c r="I694" s="16">
        <v>0.47500000000000003</v>
      </c>
      <c r="J694" s="16">
        <v>0.0</v>
      </c>
      <c r="K694" s="4">
        <v>0.0</v>
      </c>
      <c r="M694" s="4" t="s">
        <v>32</v>
      </c>
    </row>
    <row r="695" ht="18.0" customHeight="1">
      <c r="A695" s="4" t="s">
        <v>63</v>
      </c>
      <c r="B695" s="4">
        <v>76.0</v>
      </c>
      <c r="C695" s="4" t="s">
        <v>175</v>
      </c>
      <c r="D695" s="4" t="s">
        <v>176</v>
      </c>
      <c r="E695" s="16">
        <v>6.461588782258332E-5</v>
      </c>
      <c r="F695" s="16">
        <v>0.999992641244944</v>
      </c>
      <c r="G695" s="16"/>
      <c r="H695" s="16">
        <v>0.0</v>
      </c>
      <c r="I695" s="16">
        <v>0.016666666666666666</v>
      </c>
      <c r="J695" s="16">
        <v>0.0</v>
      </c>
      <c r="K695" s="4">
        <v>0.0</v>
      </c>
      <c r="M695" s="4" t="s">
        <v>32</v>
      </c>
    </row>
    <row r="696" ht="18.0" customHeight="1">
      <c r="A696" s="4" t="s">
        <v>63</v>
      </c>
      <c r="B696" s="4">
        <v>77.0</v>
      </c>
      <c r="C696" s="4" t="s">
        <v>1034</v>
      </c>
      <c r="D696" s="4" t="s">
        <v>1048</v>
      </c>
      <c r="E696" s="16">
        <v>9.426150063518435E-5</v>
      </c>
      <c r="F696" s="16">
        <v>0.9999876703436712</v>
      </c>
      <c r="G696" s="16"/>
      <c r="H696" s="16">
        <v>1.0</v>
      </c>
      <c r="I696" s="16">
        <v>0.39166666666666666</v>
      </c>
      <c r="J696" s="16">
        <v>0.0</v>
      </c>
      <c r="K696" s="4">
        <v>0.0</v>
      </c>
      <c r="M696" s="4" t="s">
        <v>32</v>
      </c>
    </row>
    <row r="697" ht="18.0" customHeight="1">
      <c r="A697" s="4" t="s">
        <v>63</v>
      </c>
      <c r="B697" s="4">
        <v>78.0</v>
      </c>
      <c r="C697" s="4" t="s">
        <v>1064</v>
      </c>
      <c r="D697" s="4" t="s">
        <v>1065</v>
      </c>
      <c r="E697" s="16">
        <v>0.04596637189388275</v>
      </c>
      <c r="F697" s="16">
        <v>0.9883252298459411</v>
      </c>
      <c r="G697" s="16"/>
      <c r="H697" s="16">
        <v>1.0</v>
      </c>
      <c r="I697" s="16">
        <v>0.3666666666666667</v>
      </c>
      <c r="J697" s="16">
        <v>0.0</v>
      </c>
      <c r="K697" s="4">
        <v>0.0</v>
      </c>
      <c r="M697" s="4" t="s">
        <v>32</v>
      </c>
    </row>
    <row r="698" ht="18.0" customHeight="1">
      <c r="A698" s="4" t="s">
        <v>63</v>
      </c>
      <c r="B698" s="4">
        <v>79.0</v>
      </c>
      <c r="C698" s="4" t="s">
        <v>1066</v>
      </c>
      <c r="D698" s="4" t="s">
        <v>618</v>
      </c>
      <c r="E698" s="16">
        <v>0.006492022890597582</v>
      </c>
      <c r="F698" s="16">
        <v>0.9985945462249219</v>
      </c>
      <c r="G698" s="16"/>
      <c r="H698" s="16">
        <v>0.0</v>
      </c>
      <c r="I698" s="16">
        <v>0.0</v>
      </c>
      <c r="J698" s="16">
        <v>0.0</v>
      </c>
      <c r="K698" s="4">
        <v>0.0</v>
      </c>
      <c r="M698" s="4" t="s">
        <v>32</v>
      </c>
    </row>
    <row r="699" ht="18.0" customHeight="1">
      <c r="A699" s="4" t="s">
        <v>63</v>
      </c>
      <c r="B699" s="4">
        <v>80.0</v>
      </c>
      <c r="C699" s="4" t="s">
        <v>231</v>
      </c>
      <c r="D699" s="4" t="s">
        <v>234</v>
      </c>
      <c r="E699" s="16">
        <v>0.002223504474386573</v>
      </c>
      <c r="F699" s="16">
        <v>0.9996629339002538</v>
      </c>
      <c r="G699" s="16"/>
      <c r="H699" s="16">
        <v>1.0</v>
      </c>
      <c r="I699" s="16">
        <v>0.44583333333333336</v>
      </c>
      <c r="J699" s="16">
        <v>0.6</v>
      </c>
      <c r="K699" s="4">
        <v>0.0</v>
      </c>
      <c r="M699" s="4" t="s">
        <v>32</v>
      </c>
    </row>
    <row r="700" ht="18.0" customHeight="1">
      <c r="A700" s="4" t="s">
        <v>63</v>
      </c>
      <c r="B700" s="4">
        <v>81.0</v>
      </c>
      <c r="C700" s="4" t="s">
        <v>621</v>
      </c>
      <c r="D700" s="4" t="s">
        <v>1067</v>
      </c>
      <c r="E700" s="16">
        <v>0.015736376866698265</v>
      </c>
      <c r="F700" s="16">
        <v>0.9981924669700675</v>
      </c>
      <c r="G700" s="16"/>
      <c r="H700" s="16">
        <v>0.8181818181818182</v>
      </c>
      <c r="I700" s="16">
        <v>0.2166666666666667</v>
      </c>
      <c r="J700" s="16">
        <v>1.0</v>
      </c>
      <c r="K700" s="4">
        <v>0.0</v>
      </c>
      <c r="M700" s="4" t="s">
        <v>32</v>
      </c>
    </row>
    <row r="701" ht="18.0" customHeight="1">
      <c r="A701" s="4" t="s">
        <v>63</v>
      </c>
      <c r="B701" s="4">
        <v>82.0</v>
      </c>
      <c r="C701" s="4" t="s">
        <v>1068</v>
      </c>
      <c r="D701" s="4" t="s">
        <v>1069</v>
      </c>
      <c r="E701" s="16">
        <v>1.4416281192097813E-4</v>
      </c>
      <c r="F701" s="16">
        <v>0.9999871227382755</v>
      </c>
      <c r="G701" s="16"/>
      <c r="H701" s="16">
        <v>0.0</v>
      </c>
      <c r="I701" s="16">
        <v>0.016666666666666666</v>
      </c>
      <c r="J701" s="16">
        <v>1.0</v>
      </c>
      <c r="K701" s="4">
        <v>0.0</v>
      </c>
      <c r="M701" s="4" t="s">
        <v>32</v>
      </c>
    </row>
    <row r="702" ht="18.0" customHeight="1">
      <c r="A702" s="4" t="s">
        <v>63</v>
      </c>
      <c r="B702" s="4">
        <v>83.0</v>
      </c>
      <c r="C702" s="4" t="s">
        <v>1034</v>
      </c>
      <c r="D702" s="4" t="s">
        <v>1048</v>
      </c>
      <c r="E702" s="16">
        <v>7.005514635238796E-5</v>
      </c>
      <c r="F702" s="16">
        <v>0.9999942261109709</v>
      </c>
      <c r="G702" s="16"/>
      <c r="H702" s="16">
        <v>0.0</v>
      </c>
      <c r="I702" s="16">
        <v>0.041666666666666664</v>
      </c>
      <c r="J702" s="16">
        <v>0.0</v>
      </c>
      <c r="K702" s="4">
        <v>0.0</v>
      </c>
      <c r="M702" s="4" t="s">
        <v>32</v>
      </c>
    </row>
    <row r="703" ht="18.0" customHeight="1">
      <c r="A703" s="4" t="s">
        <v>63</v>
      </c>
      <c r="B703" s="4">
        <v>84.0</v>
      </c>
      <c r="C703" s="4" t="s">
        <v>258</v>
      </c>
      <c r="D703" s="4" t="s">
        <v>139</v>
      </c>
      <c r="E703" s="16">
        <v>0.0029874297324568033</v>
      </c>
      <c r="F703" s="16">
        <v>0.999397249543108</v>
      </c>
      <c r="G703" s="16"/>
      <c r="H703" s="16">
        <v>1.0</v>
      </c>
      <c r="I703" s="16">
        <v>0.2541666666666667</v>
      </c>
      <c r="J703" s="16">
        <v>1.0</v>
      </c>
      <c r="K703" s="4">
        <v>0.0</v>
      </c>
      <c r="M703" s="4" t="s">
        <v>32</v>
      </c>
    </row>
    <row r="704" ht="18.0" customHeight="1">
      <c r="A704" s="4" t="s">
        <v>63</v>
      </c>
      <c r="B704" s="4">
        <v>85.0</v>
      </c>
      <c r="C704" s="4" t="s">
        <v>806</v>
      </c>
      <c r="D704" s="4" t="s">
        <v>1036</v>
      </c>
      <c r="E704" s="16">
        <v>4.0062957850750536E-5</v>
      </c>
      <c r="F704" s="16">
        <v>0.99999703076179</v>
      </c>
      <c r="G704" s="16"/>
      <c r="H704" s="16">
        <v>1.0</v>
      </c>
      <c r="I704" s="16">
        <v>0.3166666666666667</v>
      </c>
      <c r="J704" s="16">
        <v>1.0</v>
      </c>
      <c r="K704" s="4">
        <v>0.0</v>
      </c>
      <c r="M704" s="4" t="s">
        <v>32</v>
      </c>
    </row>
    <row r="705" ht="18.0" customHeight="1">
      <c r="A705" s="4" t="s">
        <v>63</v>
      </c>
      <c r="B705" s="4">
        <v>86.0</v>
      </c>
      <c r="C705" s="4" t="s">
        <v>139</v>
      </c>
      <c r="D705" s="4" t="s">
        <v>169</v>
      </c>
      <c r="E705" s="16">
        <v>0.03003452531993389</v>
      </c>
      <c r="F705" s="16">
        <v>0.9910464058630168</v>
      </c>
      <c r="G705" s="16"/>
      <c r="H705" s="16">
        <v>1.0</v>
      </c>
      <c r="I705" s="16">
        <v>0.2750000000000001</v>
      </c>
      <c r="J705" s="16">
        <v>1.0</v>
      </c>
      <c r="K705" s="4">
        <v>0.0</v>
      </c>
      <c r="M705" s="4" t="s">
        <v>32</v>
      </c>
    </row>
    <row r="706" ht="18.0" customHeight="1">
      <c r="A706" s="4" t="s">
        <v>63</v>
      </c>
      <c r="B706" s="4">
        <v>87.0</v>
      </c>
      <c r="C706" s="4" t="s">
        <v>232</v>
      </c>
      <c r="D706" s="4" t="s">
        <v>289</v>
      </c>
      <c r="E706" s="16">
        <v>0.0015235745813697577</v>
      </c>
      <c r="F706" s="16">
        <v>0.9998269468014769</v>
      </c>
      <c r="G706" s="16"/>
      <c r="H706" s="16">
        <v>1.0</v>
      </c>
      <c r="I706" s="16">
        <v>0.3875</v>
      </c>
      <c r="J706" s="16">
        <v>1.0</v>
      </c>
      <c r="K706" s="4">
        <v>0.0</v>
      </c>
      <c r="M706" s="4" t="s">
        <v>32</v>
      </c>
    </row>
    <row r="707" ht="18.0" customHeight="1">
      <c r="A707" s="4" t="s">
        <v>63</v>
      </c>
      <c r="B707" s="4">
        <v>88.0</v>
      </c>
      <c r="C707" s="4" t="s">
        <v>111</v>
      </c>
      <c r="D707" s="4" t="s">
        <v>87</v>
      </c>
      <c r="E707" s="16">
        <v>0.16099779307842255</v>
      </c>
      <c r="F707" s="16">
        <v>0.951221039518714</v>
      </c>
      <c r="G707" s="16"/>
      <c r="H707" s="16">
        <v>1.0</v>
      </c>
      <c r="I707" s="16">
        <v>0.19999999999999998</v>
      </c>
      <c r="J707" s="16">
        <v>0.0</v>
      </c>
      <c r="K707" s="4">
        <v>0.0</v>
      </c>
      <c r="M707" s="4" t="s">
        <v>32</v>
      </c>
    </row>
    <row r="708" ht="18.0" customHeight="1">
      <c r="A708" s="4" t="s">
        <v>63</v>
      </c>
      <c r="B708" s="4">
        <v>89.0</v>
      </c>
      <c r="C708" s="4" t="s">
        <v>1048</v>
      </c>
      <c r="D708" s="4" t="s">
        <v>264</v>
      </c>
      <c r="E708" s="16">
        <v>0.02524503320455551</v>
      </c>
      <c r="F708" s="16">
        <v>0.9946782155893743</v>
      </c>
      <c r="G708" s="16"/>
      <c r="H708" s="16">
        <v>0.9090909090909091</v>
      </c>
      <c r="I708" s="16">
        <v>0.20833333333333334</v>
      </c>
      <c r="J708" s="16">
        <v>0.0</v>
      </c>
      <c r="K708" s="4">
        <v>0.0</v>
      </c>
      <c r="M708" s="4" t="s">
        <v>32</v>
      </c>
    </row>
    <row r="709" ht="18.0" customHeight="1">
      <c r="A709" s="4" t="s">
        <v>63</v>
      </c>
      <c r="B709" s="4">
        <v>90.0</v>
      </c>
      <c r="C709" s="4" t="s">
        <v>1070</v>
      </c>
      <c r="D709" s="4" t="s">
        <v>83</v>
      </c>
      <c r="E709" s="16">
        <v>1.2572627747431397E-4</v>
      </c>
      <c r="F709" s="16">
        <v>0.9999870548172112</v>
      </c>
      <c r="G709" s="16"/>
      <c r="H709" s="16">
        <v>1.0</v>
      </c>
      <c r="I709" s="16">
        <v>0.2833333333333334</v>
      </c>
      <c r="J709" s="16">
        <v>0.5</v>
      </c>
      <c r="K709" s="4">
        <v>0.0</v>
      </c>
      <c r="M709" s="4" t="s">
        <v>32</v>
      </c>
    </row>
    <row r="710" ht="18.0" customHeight="1">
      <c r="A710" s="4" t="s">
        <v>63</v>
      </c>
      <c r="B710" s="4">
        <v>91.0</v>
      </c>
      <c r="C710" s="4" t="s">
        <v>1046</v>
      </c>
      <c r="D710" s="4" t="s">
        <v>1071</v>
      </c>
      <c r="E710" s="16">
        <v>8.483482815790921E-5</v>
      </c>
      <c r="F710" s="16">
        <v>0.9999933709000288</v>
      </c>
      <c r="G710" s="16"/>
      <c r="H710" s="16">
        <v>1.0</v>
      </c>
      <c r="I710" s="16">
        <v>0.19166666666666668</v>
      </c>
      <c r="J710" s="16">
        <v>0.0</v>
      </c>
      <c r="K710" s="4">
        <v>0.0</v>
      </c>
      <c r="M710" s="4" t="s">
        <v>32</v>
      </c>
    </row>
    <row r="711" ht="18.0" customHeight="1">
      <c r="A711" s="4" t="s">
        <v>63</v>
      </c>
      <c r="B711" s="4">
        <v>92.0</v>
      </c>
      <c r="C711" s="4" t="s">
        <v>364</v>
      </c>
      <c r="D711" s="4" t="s">
        <v>159</v>
      </c>
      <c r="E711" s="16">
        <v>6.540355389006436E-5</v>
      </c>
      <c r="F711" s="16">
        <v>0.9999944252764408</v>
      </c>
      <c r="G711" s="16"/>
      <c r="H711" s="16">
        <v>1.0</v>
      </c>
      <c r="I711" s="16">
        <v>0.19583333333333333</v>
      </c>
      <c r="J711" s="16">
        <v>0.0</v>
      </c>
      <c r="K711" s="4">
        <v>0.0</v>
      </c>
      <c r="M711" s="4" t="s">
        <v>32</v>
      </c>
    </row>
    <row r="712" ht="18.0" customHeight="1">
      <c r="A712" s="4" t="s">
        <v>63</v>
      </c>
      <c r="B712" s="4">
        <v>93.0</v>
      </c>
      <c r="C712" s="4" t="s">
        <v>314</v>
      </c>
      <c r="D712" s="4" t="s">
        <v>1044</v>
      </c>
      <c r="E712" s="16">
        <v>2.635851524246391E-5</v>
      </c>
      <c r="F712" s="16">
        <v>0.9999975546441533</v>
      </c>
      <c r="G712" s="16"/>
      <c r="H712" s="16">
        <v>1.0</v>
      </c>
      <c r="I712" s="16">
        <v>0.2416666666666666</v>
      </c>
      <c r="J712" s="16">
        <v>0.0</v>
      </c>
      <c r="K712" s="4">
        <v>0.0</v>
      </c>
      <c r="M712" s="4" t="s">
        <v>32</v>
      </c>
    </row>
    <row r="713" ht="18.0" customHeight="1">
      <c r="A713" s="4" t="s">
        <v>63</v>
      </c>
      <c r="B713" s="4">
        <v>94.0</v>
      </c>
      <c r="C713" s="4" t="s">
        <v>1044</v>
      </c>
      <c r="D713" s="4" t="s">
        <v>1072</v>
      </c>
      <c r="E713" s="16">
        <v>0.001446446985937655</v>
      </c>
      <c r="F713" s="16">
        <v>0.9998053146191523</v>
      </c>
      <c r="G713" s="16"/>
      <c r="H713" s="16">
        <v>0.0</v>
      </c>
      <c r="I713" s="16">
        <v>0.016666666666666666</v>
      </c>
      <c r="J713" s="16">
        <v>0.0</v>
      </c>
      <c r="K713" s="4">
        <v>0.0</v>
      </c>
      <c r="M713" s="4" t="s">
        <v>32</v>
      </c>
    </row>
    <row r="714" ht="18.0" customHeight="1">
      <c r="A714" s="4" t="s">
        <v>63</v>
      </c>
      <c r="B714" s="4">
        <v>95.0</v>
      </c>
      <c r="C714" s="4" t="s">
        <v>114</v>
      </c>
      <c r="D714" s="4" t="s">
        <v>115</v>
      </c>
      <c r="E714" s="16">
        <v>0.0018241350771859288</v>
      </c>
      <c r="F714" s="16">
        <v>0.999691988399718</v>
      </c>
      <c r="G714" s="16"/>
      <c r="H714" s="16">
        <v>1.0</v>
      </c>
      <c r="I714" s="16">
        <v>0.32916666666666666</v>
      </c>
      <c r="J714" s="16">
        <v>0.0</v>
      </c>
      <c r="K714" s="4">
        <v>0.0</v>
      </c>
      <c r="M714" s="4" t="s">
        <v>32</v>
      </c>
    </row>
    <row r="715" ht="18.0" customHeight="1">
      <c r="A715" s="4" t="s">
        <v>63</v>
      </c>
      <c r="B715" s="4">
        <v>96.0</v>
      </c>
      <c r="C715" s="4" t="s">
        <v>232</v>
      </c>
      <c r="D715" s="4" t="s">
        <v>326</v>
      </c>
      <c r="E715" s="16">
        <v>3.658540372271091E-4</v>
      </c>
      <c r="F715" s="16">
        <v>0.9999456937057403</v>
      </c>
      <c r="G715" s="16"/>
      <c r="H715" s="16">
        <v>0.0</v>
      </c>
      <c r="I715" s="16">
        <v>0.0</v>
      </c>
      <c r="J715" s="16">
        <v>0.0</v>
      </c>
      <c r="K715" s="4">
        <v>0.0</v>
      </c>
      <c r="M715" s="4" t="s">
        <v>32</v>
      </c>
    </row>
    <row r="716" ht="18.0" customHeight="1">
      <c r="A716" s="4" t="s">
        <v>63</v>
      </c>
      <c r="B716" s="4">
        <v>97.0</v>
      </c>
      <c r="C716" s="4" t="s">
        <v>621</v>
      </c>
      <c r="D716" s="4" t="s">
        <v>287</v>
      </c>
      <c r="E716" s="16">
        <v>4.589915042743087E-4</v>
      </c>
      <c r="F716" s="16">
        <v>0.9999424945581268</v>
      </c>
      <c r="G716" s="16"/>
      <c r="H716" s="16">
        <v>1.0</v>
      </c>
      <c r="I716" s="16">
        <v>0.375</v>
      </c>
      <c r="J716" s="16">
        <v>0.26699834162520736</v>
      </c>
      <c r="K716" s="4">
        <v>0.0</v>
      </c>
      <c r="M716" s="4" t="s">
        <v>32</v>
      </c>
    </row>
    <row r="717" ht="18.0" customHeight="1">
      <c r="A717" s="4" t="s">
        <v>63</v>
      </c>
      <c r="B717" s="4">
        <v>98.0</v>
      </c>
      <c r="C717" s="4" t="s">
        <v>1068</v>
      </c>
      <c r="D717" s="4" t="s">
        <v>1073</v>
      </c>
      <c r="E717" s="16">
        <v>8.229637023760006E-5</v>
      </c>
      <c r="F717" s="16">
        <v>0.9999932724380187</v>
      </c>
      <c r="G717" s="16"/>
      <c r="H717" s="16">
        <v>0.0</v>
      </c>
      <c r="I717" s="16">
        <v>0.016666666666666666</v>
      </c>
      <c r="J717" s="16">
        <v>0.0</v>
      </c>
      <c r="K717" s="4">
        <v>0.0</v>
      </c>
      <c r="M717" s="4" t="s">
        <v>32</v>
      </c>
    </row>
    <row r="718" ht="18.0" customHeight="1">
      <c r="A718" s="4" t="s">
        <v>63</v>
      </c>
      <c r="B718" s="4">
        <v>99.0</v>
      </c>
      <c r="C718" s="4" t="s">
        <v>621</v>
      </c>
      <c r="D718" s="4" t="s">
        <v>622</v>
      </c>
      <c r="E718" s="16">
        <v>0.13949035108089447</v>
      </c>
      <c r="F718" s="16">
        <v>0.9376557301729918</v>
      </c>
      <c r="G718" s="16"/>
      <c r="H718" s="16">
        <v>0.0</v>
      </c>
      <c r="I718" s="16">
        <v>0.016666666666666666</v>
      </c>
      <c r="J718" s="16">
        <v>0.0</v>
      </c>
      <c r="K718" s="4">
        <v>1.0</v>
      </c>
      <c r="L718" s="4">
        <v>0.0</v>
      </c>
      <c r="M718" s="4" t="s">
        <v>239</v>
      </c>
    </row>
    <row r="719" ht="18.0" customHeight="1">
      <c r="A719" s="4" t="s">
        <v>63</v>
      </c>
      <c r="B719" s="4">
        <v>100.0</v>
      </c>
      <c r="C719" s="4" t="s">
        <v>461</v>
      </c>
      <c r="D719" s="4" t="s">
        <v>314</v>
      </c>
      <c r="E719" s="16">
        <v>1.3687837054021657E-4</v>
      </c>
      <c r="F719" s="16">
        <v>0.9999895430682955</v>
      </c>
      <c r="G719" s="16"/>
      <c r="H719" s="16">
        <v>1.0</v>
      </c>
      <c r="I719" s="16">
        <v>0.3125</v>
      </c>
      <c r="J719" s="16">
        <v>0.2929292929292929</v>
      </c>
      <c r="K719" s="4">
        <v>0.0</v>
      </c>
      <c r="M719" s="4" t="s">
        <v>32</v>
      </c>
    </row>
    <row r="720" ht="18.0" customHeight="1">
      <c r="A720" s="4" t="s">
        <v>63</v>
      </c>
      <c r="B720" s="4">
        <v>101.0</v>
      </c>
      <c r="C720" s="4" t="s">
        <v>1074</v>
      </c>
      <c r="D720" s="4" t="s">
        <v>1075</v>
      </c>
      <c r="E720" s="16">
        <v>8.684084605192766E-6</v>
      </c>
      <c r="F720" s="16">
        <v>0.9999992124432708</v>
      </c>
      <c r="G720" s="16"/>
      <c r="H720" s="16">
        <v>0.0</v>
      </c>
      <c r="I720" s="16">
        <v>0.016666666666666666</v>
      </c>
      <c r="J720" s="16">
        <v>0.0</v>
      </c>
      <c r="K720" s="4">
        <v>0.0</v>
      </c>
      <c r="M720" s="4" t="s">
        <v>32</v>
      </c>
    </row>
    <row r="721" ht="18.0" customHeight="1">
      <c r="A721" s="4" t="s">
        <v>63</v>
      </c>
      <c r="B721" s="4">
        <v>102.0</v>
      </c>
      <c r="C721" s="4" t="s">
        <v>301</v>
      </c>
      <c r="D721" s="4" t="s">
        <v>1076</v>
      </c>
      <c r="E721" s="16">
        <v>2.345860775676556E-5</v>
      </c>
      <c r="F721" s="16">
        <v>0.9999983990755936</v>
      </c>
      <c r="G721" s="16"/>
      <c r="H721" s="16">
        <v>0.0</v>
      </c>
      <c r="I721" s="16">
        <v>0.016666666666666666</v>
      </c>
      <c r="J721" s="16">
        <v>0.0</v>
      </c>
      <c r="K721" s="4">
        <v>0.0</v>
      </c>
      <c r="M721" s="4" t="s">
        <v>32</v>
      </c>
    </row>
    <row r="722" ht="18.0" customHeight="1">
      <c r="A722" s="4" t="s">
        <v>63</v>
      </c>
      <c r="B722" s="4">
        <v>103.0</v>
      </c>
      <c r="C722" s="4" t="s">
        <v>1033</v>
      </c>
      <c r="D722" s="4" t="s">
        <v>1077</v>
      </c>
      <c r="E722" s="16">
        <v>7.56226945668459E-5</v>
      </c>
      <c r="F722" s="16">
        <v>0.9999938117399552</v>
      </c>
      <c r="G722" s="16"/>
      <c r="H722" s="16">
        <v>1.0</v>
      </c>
      <c r="I722" s="16">
        <v>0.47500000000000003</v>
      </c>
      <c r="J722" s="16">
        <v>0.07692307692307693</v>
      </c>
      <c r="K722" s="4">
        <v>0.0</v>
      </c>
      <c r="M722" s="4" t="s">
        <v>32</v>
      </c>
    </row>
    <row r="723" ht="18.0" customHeight="1">
      <c r="A723" s="4" t="s">
        <v>63</v>
      </c>
      <c r="B723" s="4">
        <v>104.0</v>
      </c>
      <c r="C723" s="4" t="s">
        <v>155</v>
      </c>
      <c r="D723" s="4" t="s">
        <v>1034</v>
      </c>
      <c r="E723" s="16">
        <v>1.0044792725238949E-4</v>
      </c>
      <c r="F723" s="16">
        <v>0.9999854179236536</v>
      </c>
      <c r="G723" s="16"/>
      <c r="H723" s="16">
        <v>0.0</v>
      </c>
      <c r="I723" s="16">
        <v>0.041666666666666664</v>
      </c>
      <c r="J723" s="16">
        <v>0.0</v>
      </c>
      <c r="K723" s="4">
        <v>0.0</v>
      </c>
      <c r="M723" s="4" t="s">
        <v>32</v>
      </c>
    </row>
    <row r="724" ht="18.0" customHeight="1">
      <c r="A724" s="4" t="s">
        <v>63</v>
      </c>
      <c r="B724" s="4">
        <v>105.0</v>
      </c>
      <c r="C724" s="4" t="s">
        <v>169</v>
      </c>
      <c r="D724" s="4" t="s">
        <v>591</v>
      </c>
      <c r="E724" s="16">
        <v>4.199222894385457E-5</v>
      </c>
      <c r="F724" s="16">
        <v>0.9999954440388592</v>
      </c>
      <c r="G724" s="16"/>
      <c r="H724" s="16">
        <v>1.0</v>
      </c>
      <c r="I724" s="16">
        <v>0.5</v>
      </c>
      <c r="J724" s="16">
        <v>0.11111111111111112</v>
      </c>
      <c r="K724" s="4">
        <v>0.0</v>
      </c>
      <c r="M724" s="4" t="s">
        <v>32</v>
      </c>
    </row>
    <row r="725" ht="18.0" customHeight="1">
      <c r="A725" s="4" t="s">
        <v>63</v>
      </c>
      <c r="B725" s="4">
        <v>106.0</v>
      </c>
      <c r="C725" s="4" t="s">
        <v>180</v>
      </c>
      <c r="D725" s="4" t="s">
        <v>143</v>
      </c>
      <c r="E725" s="16">
        <v>1.0263179137837142E-4</v>
      </c>
      <c r="F725" s="16">
        <v>0.9999865126728764</v>
      </c>
      <c r="G725" s="16"/>
      <c r="H725" s="16">
        <v>0.0</v>
      </c>
      <c r="I725" s="16">
        <v>0.08333333333333333</v>
      </c>
      <c r="J725" s="16">
        <v>0.6666666666666667</v>
      </c>
      <c r="K725" s="4">
        <v>0.0</v>
      </c>
      <c r="M725" s="4" t="s">
        <v>32</v>
      </c>
    </row>
    <row r="726" ht="18.0" customHeight="1">
      <c r="A726" s="4" t="s">
        <v>63</v>
      </c>
      <c r="B726" s="4">
        <v>107.0</v>
      </c>
      <c r="C726" s="4" t="s">
        <v>159</v>
      </c>
      <c r="D726" s="4" t="s">
        <v>461</v>
      </c>
      <c r="E726" s="16">
        <v>1.526229243609123E-5</v>
      </c>
      <c r="F726" s="16">
        <v>0.9999990520262685</v>
      </c>
      <c r="G726" s="16"/>
      <c r="H726" s="16">
        <v>1.0</v>
      </c>
      <c r="I726" s="16">
        <v>0.24583333333333332</v>
      </c>
      <c r="J726" s="16">
        <v>0.0</v>
      </c>
      <c r="K726" s="4">
        <v>0.0</v>
      </c>
      <c r="M726" s="4" t="s">
        <v>32</v>
      </c>
    </row>
    <row r="727" ht="18.0" customHeight="1">
      <c r="A727" s="4" t="s">
        <v>63</v>
      </c>
      <c r="B727" s="4">
        <v>108.0</v>
      </c>
      <c r="C727" s="4" t="s">
        <v>427</v>
      </c>
      <c r="D727" s="4" t="s">
        <v>181</v>
      </c>
      <c r="E727" s="16">
        <v>1.2453983799787238E-5</v>
      </c>
      <c r="F727" s="16">
        <v>0.9999986811196777</v>
      </c>
      <c r="G727" s="16"/>
      <c r="H727" s="16">
        <v>0.0</v>
      </c>
      <c r="I727" s="16">
        <v>0.08333333333333333</v>
      </c>
      <c r="J727" s="16">
        <v>0.0</v>
      </c>
      <c r="K727" s="4">
        <v>0.0</v>
      </c>
      <c r="M727" s="4" t="s">
        <v>32</v>
      </c>
    </row>
    <row r="728" ht="18.0" customHeight="1">
      <c r="A728" s="4" t="s">
        <v>63</v>
      </c>
      <c r="B728" s="4">
        <v>109.0</v>
      </c>
      <c r="C728" s="4" t="s">
        <v>114</v>
      </c>
      <c r="D728" s="4" t="s">
        <v>115</v>
      </c>
      <c r="E728" s="16">
        <v>9.030637447722256E-4</v>
      </c>
      <c r="F728" s="16">
        <v>0.9998471617291216</v>
      </c>
      <c r="G728" s="16"/>
      <c r="H728" s="16">
        <v>1.0</v>
      </c>
      <c r="I728" s="16">
        <v>0.5</v>
      </c>
      <c r="J728" s="16">
        <v>0.16666666666666669</v>
      </c>
      <c r="K728" s="4">
        <v>0.0</v>
      </c>
      <c r="M728" s="4" t="s">
        <v>32</v>
      </c>
    </row>
    <row r="729" ht="18.0" customHeight="1">
      <c r="A729" s="4" t="s">
        <v>63</v>
      </c>
      <c r="B729" s="4">
        <v>110.0</v>
      </c>
      <c r="C729" s="4" t="s">
        <v>232</v>
      </c>
      <c r="D729" s="4" t="s">
        <v>763</v>
      </c>
      <c r="E729" s="16">
        <v>7.353343244176358E-5</v>
      </c>
      <c r="F729" s="16">
        <v>0.9999931772995296</v>
      </c>
      <c r="G729" s="16"/>
      <c r="H729" s="16">
        <v>0.0</v>
      </c>
      <c r="I729" s="16">
        <v>0.0</v>
      </c>
      <c r="J729" s="16">
        <v>0.0</v>
      </c>
      <c r="K729" s="4">
        <v>0.0</v>
      </c>
      <c r="M729" s="4" t="s">
        <v>32</v>
      </c>
    </row>
    <row r="730" ht="18.0" customHeight="1">
      <c r="A730" s="4" t="s">
        <v>63</v>
      </c>
      <c r="B730" s="4">
        <v>111.0</v>
      </c>
      <c r="C730" s="4" t="s">
        <v>621</v>
      </c>
      <c r="D730" s="4" t="s">
        <v>87</v>
      </c>
      <c r="E730" s="16">
        <v>3.273041220381856E-4</v>
      </c>
      <c r="F730" s="16">
        <v>0.9999649134670108</v>
      </c>
      <c r="G730" s="16"/>
      <c r="H730" s="16">
        <v>1.0</v>
      </c>
      <c r="I730" s="16">
        <v>0.6</v>
      </c>
      <c r="J730" s="16">
        <v>0.8333333333333334</v>
      </c>
      <c r="K730" s="4">
        <v>0.0</v>
      </c>
      <c r="M730" s="4" t="s">
        <v>32</v>
      </c>
    </row>
    <row r="731" ht="18.0" customHeight="1">
      <c r="A731" s="4" t="s">
        <v>63</v>
      </c>
      <c r="B731" s="4">
        <v>112.0</v>
      </c>
      <c r="C731" s="4" t="s">
        <v>1068</v>
      </c>
      <c r="D731" s="4" t="s">
        <v>1078</v>
      </c>
      <c r="E731" s="16">
        <v>6.40555372228846E-5</v>
      </c>
      <c r="F731" s="16">
        <v>0.9999953734760538</v>
      </c>
      <c r="G731" s="16"/>
      <c r="H731" s="16">
        <v>0.0</v>
      </c>
      <c r="I731" s="16">
        <v>0.041666666666666664</v>
      </c>
      <c r="J731" s="16">
        <v>0.5</v>
      </c>
      <c r="K731" s="4">
        <v>0.0</v>
      </c>
      <c r="M731" s="4" t="s">
        <v>32</v>
      </c>
    </row>
    <row r="732" ht="18.0" customHeight="1">
      <c r="A732" s="4" t="s">
        <v>63</v>
      </c>
      <c r="B732" s="4">
        <v>113.0</v>
      </c>
      <c r="C732" s="4" t="s">
        <v>753</v>
      </c>
      <c r="D732" s="4" t="s">
        <v>610</v>
      </c>
      <c r="E732" s="16">
        <v>0.0017116033704951406</v>
      </c>
      <c r="F732" s="16">
        <v>0.9996614667761605</v>
      </c>
      <c r="G732" s="16"/>
      <c r="H732" s="16">
        <v>0.09090909090909091</v>
      </c>
      <c r="I732" s="16">
        <v>0.03333333333333333</v>
      </c>
      <c r="J732" s="16">
        <v>0.0</v>
      </c>
      <c r="K732" s="4">
        <v>0.0</v>
      </c>
      <c r="M732" s="4" t="s">
        <v>32</v>
      </c>
    </row>
    <row r="733" ht="18.0" customHeight="1">
      <c r="A733" s="4" t="s">
        <v>63</v>
      </c>
      <c r="B733" s="4">
        <v>114.0</v>
      </c>
      <c r="C733" s="4" t="s">
        <v>610</v>
      </c>
      <c r="D733" s="4" t="s">
        <v>609</v>
      </c>
      <c r="E733" s="16">
        <v>6.031381199136376E-4</v>
      </c>
      <c r="F733" s="16">
        <v>0.9999218284756353</v>
      </c>
      <c r="G733" s="16"/>
      <c r="H733" s="16">
        <v>0.09090909090909091</v>
      </c>
      <c r="I733" s="16">
        <v>0.03333333333333333</v>
      </c>
      <c r="J733" s="16">
        <v>0.0</v>
      </c>
      <c r="K733" s="4">
        <v>0.0</v>
      </c>
      <c r="M733" s="4" t="s">
        <v>32</v>
      </c>
    </row>
    <row r="734" ht="18.0" customHeight="1">
      <c r="A734" s="4" t="s">
        <v>63</v>
      </c>
      <c r="B734" s="4">
        <v>115.0</v>
      </c>
      <c r="C734" s="4" t="s">
        <v>609</v>
      </c>
      <c r="D734" s="4" t="s">
        <v>610</v>
      </c>
      <c r="E734" s="16">
        <v>0.745757520198822</v>
      </c>
      <c r="F734" s="16">
        <v>0.06949225068092346</v>
      </c>
      <c r="G734" s="16"/>
      <c r="H734" s="16">
        <v>0.0</v>
      </c>
      <c r="I734" s="16">
        <v>0.016666666666666666</v>
      </c>
      <c r="J734" s="16">
        <v>0.0</v>
      </c>
      <c r="K734" s="4">
        <v>1.0</v>
      </c>
      <c r="L734" s="4">
        <v>0.0</v>
      </c>
      <c r="M734" s="4" t="s">
        <v>239</v>
      </c>
    </row>
    <row r="735" ht="18.0" customHeight="1">
      <c r="A735" s="4" t="s">
        <v>63</v>
      </c>
      <c r="B735" s="4">
        <v>116.0</v>
      </c>
      <c r="C735" s="4" t="s">
        <v>1073</v>
      </c>
      <c r="D735" s="4" t="s">
        <v>1079</v>
      </c>
      <c r="E735" s="16">
        <v>1.520138612249866E-4</v>
      </c>
      <c r="F735" s="16">
        <v>0.999987183030953</v>
      </c>
      <c r="G735" s="16"/>
      <c r="H735" s="16">
        <v>0.0</v>
      </c>
      <c r="I735" s="16">
        <v>0.016666666666666666</v>
      </c>
      <c r="J735" s="16">
        <v>0.0</v>
      </c>
      <c r="K735" s="4">
        <v>0.0</v>
      </c>
      <c r="M735" s="4" t="s">
        <v>32</v>
      </c>
    </row>
    <row r="736" ht="18.0" customHeight="1">
      <c r="A736" s="4" t="s">
        <v>63</v>
      </c>
      <c r="B736" s="4">
        <v>117.0</v>
      </c>
      <c r="C736" s="4" t="s">
        <v>1050</v>
      </c>
      <c r="D736" s="4" t="s">
        <v>151</v>
      </c>
      <c r="E736" s="16">
        <v>8.294120198115706E-5</v>
      </c>
      <c r="F736" s="16">
        <v>0.9999919948072602</v>
      </c>
      <c r="G736" s="16"/>
      <c r="H736" s="16">
        <v>1.0</v>
      </c>
      <c r="I736" s="16">
        <v>0.42500000000000004</v>
      </c>
      <c r="J736" s="16">
        <v>0.0</v>
      </c>
      <c r="K736" s="4">
        <v>0.0</v>
      </c>
      <c r="M736" s="4" t="s">
        <v>32</v>
      </c>
    </row>
    <row r="737" ht="18.0" customHeight="1">
      <c r="A737" s="4" t="s">
        <v>63</v>
      </c>
      <c r="B737" s="4">
        <v>118.0</v>
      </c>
      <c r="C737" s="4" t="s">
        <v>151</v>
      </c>
      <c r="D737" s="4" t="s">
        <v>114</v>
      </c>
      <c r="E737" s="16">
        <v>0.0015062120510265231</v>
      </c>
      <c r="F737" s="16">
        <v>0.9997316731605679</v>
      </c>
      <c r="G737" s="16"/>
      <c r="H737" s="16">
        <v>1.0</v>
      </c>
      <c r="I737" s="16">
        <v>0.3333333333333334</v>
      </c>
      <c r="J737" s="16">
        <v>0.26063829787234044</v>
      </c>
      <c r="K737" s="4">
        <v>0.0</v>
      </c>
      <c r="M737" s="4" t="s">
        <v>32</v>
      </c>
    </row>
    <row r="738" ht="18.0" customHeight="1">
      <c r="A738" s="4" t="s">
        <v>63</v>
      </c>
      <c r="B738" s="4">
        <v>119.0</v>
      </c>
      <c r="C738" s="4" t="s">
        <v>566</v>
      </c>
      <c r="D738" s="4" t="s">
        <v>467</v>
      </c>
      <c r="E738" s="16">
        <v>2.158632705686614E-4</v>
      </c>
      <c r="F738" s="16">
        <v>0.9999819041270257</v>
      </c>
      <c r="G738" s="16"/>
      <c r="H738" s="16">
        <v>1.0</v>
      </c>
      <c r="I738" s="16">
        <v>0.43750000000000006</v>
      </c>
      <c r="J738" s="16">
        <v>0.7727272727272727</v>
      </c>
      <c r="K738" s="4">
        <v>0.0</v>
      </c>
      <c r="M738" s="4" t="s">
        <v>32</v>
      </c>
    </row>
    <row r="739" ht="18.0" customHeight="1">
      <c r="A739" s="4" t="s">
        <v>63</v>
      </c>
      <c r="B739" s="4">
        <v>120.0</v>
      </c>
      <c r="C739" s="4" t="s">
        <v>94</v>
      </c>
      <c r="D739" s="4" t="s">
        <v>122</v>
      </c>
      <c r="E739" s="16">
        <v>7.081521471263841E-5</v>
      </c>
      <c r="F739" s="16">
        <v>0.9999946654988889</v>
      </c>
      <c r="G739" s="16"/>
      <c r="H739" s="16">
        <v>1.0</v>
      </c>
      <c r="I739" s="16">
        <v>0.3583333333333334</v>
      </c>
      <c r="J739" s="16">
        <v>0.0</v>
      </c>
      <c r="K739" s="4">
        <v>0.0</v>
      </c>
      <c r="M739" s="4" t="s">
        <v>32</v>
      </c>
    </row>
    <row r="740" ht="18.0" customHeight="1">
      <c r="A740" s="4" t="s">
        <v>63</v>
      </c>
      <c r="B740" s="4">
        <v>121.0</v>
      </c>
      <c r="C740" s="4" t="s">
        <v>1080</v>
      </c>
      <c r="D740" s="4" t="s">
        <v>122</v>
      </c>
      <c r="E740" s="16">
        <v>4.434436414157972E-5</v>
      </c>
      <c r="F740" s="16">
        <v>0.9999967327391346</v>
      </c>
      <c r="G740" s="16"/>
      <c r="H740" s="16">
        <v>1.0</v>
      </c>
      <c r="I740" s="16">
        <v>0.29166666666666674</v>
      </c>
      <c r="J740" s="16">
        <v>0.0</v>
      </c>
      <c r="K740" s="4">
        <v>0.0</v>
      </c>
      <c r="M740" s="4" t="s">
        <v>32</v>
      </c>
    </row>
    <row r="741" ht="18.0" customHeight="1">
      <c r="A741" s="4" t="s">
        <v>63</v>
      </c>
      <c r="B741" s="4">
        <v>122.0</v>
      </c>
      <c r="C741" s="4" t="s">
        <v>1070</v>
      </c>
      <c r="D741" s="4" t="s">
        <v>122</v>
      </c>
      <c r="E741" s="16">
        <v>1.405637594871223E-4</v>
      </c>
      <c r="F741" s="16">
        <v>0.9999826839734851</v>
      </c>
      <c r="G741" s="16"/>
      <c r="H741" s="16">
        <v>1.0</v>
      </c>
      <c r="I741" s="16">
        <v>0.29166666666666674</v>
      </c>
      <c r="J741" s="16">
        <v>0.0</v>
      </c>
      <c r="K741" s="4">
        <v>0.0</v>
      </c>
      <c r="M741" s="4" t="s">
        <v>32</v>
      </c>
    </row>
    <row r="742" ht="18.0" customHeight="1">
      <c r="A742" s="4" t="s">
        <v>63</v>
      </c>
      <c r="B742" s="4">
        <v>123.0</v>
      </c>
      <c r="C742" s="4" t="s">
        <v>1081</v>
      </c>
      <c r="D742" s="4" t="s">
        <v>1082</v>
      </c>
      <c r="E742" s="16">
        <v>4.0123090730048716E-4</v>
      </c>
      <c r="F742" s="16">
        <v>0.9999385098199127</v>
      </c>
      <c r="G742" s="16"/>
      <c r="H742" s="16">
        <v>0.0</v>
      </c>
      <c r="I742" s="16">
        <v>0.016666666666666666</v>
      </c>
      <c r="J742" s="16">
        <v>0.0</v>
      </c>
      <c r="K742" s="4">
        <v>0.0</v>
      </c>
      <c r="M742" s="4" t="s">
        <v>32</v>
      </c>
    </row>
    <row r="743" ht="18.0" customHeight="1">
      <c r="A743" s="4" t="s">
        <v>63</v>
      </c>
      <c r="B743" s="4">
        <v>124.0</v>
      </c>
      <c r="C743" s="4" t="s">
        <v>114</v>
      </c>
      <c r="D743" s="4" t="s">
        <v>115</v>
      </c>
      <c r="E743" s="16">
        <v>6.287162541411817E-4</v>
      </c>
      <c r="F743" s="16">
        <v>0.999923827499515</v>
      </c>
      <c r="G743" s="16"/>
      <c r="H743" s="16">
        <v>1.0</v>
      </c>
      <c r="I743" s="16">
        <v>0.24166666666666672</v>
      </c>
      <c r="J743" s="16">
        <v>0.0</v>
      </c>
      <c r="K743" s="4">
        <v>0.0</v>
      </c>
      <c r="M743" s="4" t="s">
        <v>32</v>
      </c>
    </row>
    <row r="744" ht="18.0" customHeight="1">
      <c r="A744" s="4" t="s">
        <v>63</v>
      </c>
      <c r="B744" s="4">
        <v>125.0</v>
      </c>
      <c r="C744" s="4" t="s">
        <v>232</v>
      </c>
      <c r="D744" s="4" t="s">
        <v>289</v>
      </c>
      <c r="E744" s="16">
        <v>2.3096255972632207E-5</v>
      </c>
      <c r="F744" s="16">
        <v>0.9999981480906683</v>
      </c>
      <c r="G744" s="16"/>
      <c r="H744" s="16">
        <v>1.0</v>
      </c>
      <c r="I744" s="16">
        <v>0.23750000000000004</v>
      </c>
      <c r="J744" s="16">
        <v>0.0</v>
      </c>
      <c r="K744" s="4">
        <v>0.0</v>
      </c>
      <c r="M744" s="4" t="s">
        <v>32</v>
      </c>
    </row>
    <row r="745" ht="18.0" customHeight="1">
      <c r="A745" s="4" t="s">
        <v>63</v>
      </c>
      <c r="B745" s="4">
        <v>126.0</v>
      </c>
      <c r="C745" s="4" t="s">
        <v>1083</v>
      </c>
      <c r="D745" s="4" t="s">
        <v>1084</v>
      </c>
      <c r="E745" s="16">
        <v>0.0012939195148646832</v>
      </c>
      <c r="F745" s="16">
        <v>0.9998091066299821</v>
      </c>
      <c r="G745" s="16"/>
      <c r="H745" s="16">
        <v>0.0</v>
      </c>
      <c r="I745" s="16">
        <v>0.016666666666666666</v>
      </c>
      <c r="J745" s="16">
        <v>0.0</v>
      </c>
      <c r="K745" s="4">
        <v>0.0</v>
      </c>
      <c r="M745" s="4" t="s">
        <v>32</v>
      </c>
    </row>
    <row r="746" ht="18.0" customHeight="1">
      <c r="A746" s="4" t="s">
        <v>63</v>
      </c>
      <c r="B746" s="4">
        <v>127.0</v>
      </c>
      <c r="C746" s="4" t="s">
        <v>151</v>
      </c>
      <c r="D746" s="4" t="s">
        <v>621</v>
      </c>
      <c r="E746" s="16">
        <v>2.5915167498169467E-5</v>
      </c>
      <c r="F746" s="16">
        <v>0.9999973908861648</v>
      </c>
      <c r="G746" s="16"/>
      <c r="H746" s="16">
        <v>1.0</v>
      </c>
      <c r="I746" s="16">
        <v>0.22916666666666666</v>
      </c>
      <c r="J746" s="16">
        <v>0.0</v>
      </c>
      <c r="K746" s="4">
        <v>0.0</v>
      </c>
      <c r="M746" s="4" t="s">
        <v>32</v>
      </c>
    </row>
    <row r="747" ht="18.0" customHeight="1">
      <c r="A747" s="4" t="s">
        <v>63</v>
      </c>
      <c r="B747" s="4">
        <v>128.0</v>
      </c>
      <c r="C747" s="4" t="s">
        <v>621</v>
      </c>
      <c r="D747" s="4" t="s">
        <v>1085</v>
      </c>
      <c r="E747" s="16">
        <v>8.968017209554091E-5</v>
      </c>
      <c r="F747" s="16">
        <v>0.9999920283721622</v>
      </c>
      <c r="G747" s="16"/>
      <c r="H747" s="16">
        <v>0.0</v>
      </c>
      <c r="I747" s="16">
        <v>0.016666666666666666</v>
      </c>
      <c r="J747" s="16">
        <v>0.0</v>
      </c>
      <c r="K747" s="4">
        <v>0.0</v>
      </c>
      <c r="M747" s="4" t="s">
        <v>32</v>
      </c>
    </row>
    <row r="748" ht="18.0" customHeight="1">
      <c r="A748" s="4" t="s">
        <v>63</v>
      </c>
      <c r="B748" s="4">
        <v>129.0</v>
      </c>
      <c r="C748" s="4" t="s">
        <v>1068</v>
      </c>
      <c r="D748" s="4" t="s">
        <v>1086</v>
      </c>
      <c r="E748" s="16">
        <v>1.1666005593724549E-4</v>
      </c>
      <c r="F748" s="16">
        <v>0.9999915074357659</v>
      </c>
      <c r="G748" s="16"/>
      <c r="H748" s="16">
        <v>0.0</v>
      </c>
      <c r="I748" s="16">
        <v>0.016666666666666666</v>
      </c>
      <c r="J748" s="16">
        <v>0.0</v>
      </c>
      <c r="K748" s="4">
        <v>0.0</v>
      </c>
      <c r="M748" s="4" t="s">
        <v>32</v>
      </c>
    </row>
    <row r="749" ht="18.0" customHeight="1">
      <c r="A749" s="4" t="s">
        <v>63</v>
      </c>
      <c r="B749" s="4">
        <v>130.0</v>
      </c>
      <c r="C749" s="4" t="s">
        <v>610</v>
      </c>
      <c r="D749" s="4" t="s">
        <v>752</v>
      </c>
      <c r="E749" s="16">
        <v>3.771431802306324E-4</v>
      </c>
      <c r="F749" s="16">
        <v>0.9999479621637875</v>
      </c>
      <c r="G749" s="16"/>
      <c r="H749" s="16">
        <v>0.09090909090909091</v>
      </c>
      <c r="I749" s="16">
        <v>0.03333333333333333</v>
      </c>
      <c r="J749" s="16">
        <v>0.0</v>
      </c>
      <c r="K749" s="4">
        <v>0.0</v>
      </c>
      <c r="M749" s="4" t="s">
        <v>32</v>
      </c>
    </row>
    <row r="750" ht="18.0" customHeight="1">
      <c r="A750" s="4" t="s">
        <v>63</v>
      </c>
      <c r="B750" s="4">
        <v>131.0</v>
      </c>
      <c r="C750" s="4" t="s">
        <v>752</v>
      </c>
      <c r="D750" s="4" t="s">
        <v>1087</v>
      </c>
      <c r="E750" s="16">
        <v>1.1099396215286106E-4</v>
      </c>
      <c r="F750" s="16">
        <v>0.9999885256847847</v>
      </c>
      <c r="G750" s="16"/>
      <c r="H750" s="16">
        <v>0.0</v>
      </c>
      <c r="I750" s="16">
        <v>0.016666666666666666</v>
      </c>
      <c r="J750" s="16">
        <v>0.0</v>
      </c>
      <c r="K750" s="4">
        <v>0.0</v>
      </c>
      <c r="M750" s="4" t="s">
        <v>32</v>
      </c>
    </row>
    <row r="751" ht="18.0" customHeight="1">
      <c r="A751" s="4" t="s">
        <v>63</v>
      </c>
      <c r="B751" s="4">
        <v>132.0</v>
      </c>
      <c r="C751" s="4" t="s">
        <v>806</v>
      </c>
      <c r="D751" s="4" t="s">
        <v>314</v>
      </c>
      <c r="E751" s="16">
        <v>0.023549240082502365</v>
      </c>
      <c r="F751" s="16">
        <v>0.9947143173776567</v>
      </c>
      <c r="G751" s="16"/>
      <c r="H751" s="16">
        <v>1.0</v>
      </c>
      <c r="I751" s="16">
        <v>0.2833333333333333</v>
      </c>
      <c r="J751" s="16">
        <v>0.0</v>
      </c>
      <c r="K751" s="4">
        <v>0.0</v>
      </c>
      <c r="M751" s="4" t="s">
        <v>32</v>
      </c>
    </row>
    <row r="752" ht="18.0" customHeight="1">
      <c r="A752" s="4" t="s">
        <v>63</v>
      </c>
      <c r="B752" s="4">
        <v>133.0</v>
      </c>
      <c r="C752" s="4" t="s">
        <v>1048</v>
      </c>
      <c r="D752" s="4" t="s">
        <v>1034</v>
      </c>
      <c r="E752" s="16">
        <v>7.925198588054627E-5</v>
      </c>
      <c r="F752" s="16">
        <v>0.9999915939936272</v>
      </c>
      <c r="G752" s="16"/>
      <c r="H752" s="16">
        <v>1.0</v>
      </c>
      <c r="I752" s="16">
        <v>0.30833333333333335</v>
      </c>
      <c r="J752" s="16">
        <v>0.0</v>
      </c>
      <c r="K752" s="4">
        <v>0.0</v>
      </c>
      <c r="M752" s="4" t="s">
        <v>32</v>
      </c>
    </row>
    <row r="753" ht="18.0" customHeight="1">
      <c r="A753" s="4" t="s">
        <v>63</v>
      </c>
      <c r="B753" s="4">
        <v>134.0</v>
      </c>
      <c r="C753" s="4" t="s">
        <v>1088</v>
      </c>
      <c r="D753" s="4" t="s">
        <v>309</v>
      </c>
      <c r="E753" s="16">
        <v>3.263480612076819E-4</v>
      </c>
      <c r="F753" s="16">
        <v>0.9999555641916231</v>
      </c>
      <c r="G753" s="16"/>
      <c r="H753" s="16">
        <v>0.0</v>
      </c>
      <c r="I753" s="16">
        <v>0.08333333333333333</v>
      </c>
      <c r="J753" s="16">
        <v>0.5</v>
      </c>
      <c r="K753" s="4">
        <v>0.0</v>
      </c>
      <c r="M753" s="4" t="s">
        <v>32</v>
      </c>
    </row>
    <row r="754" ht="18.0" customHeight="1">
      <c r="A754" s="4" t="s">
        <v>63</v>
      </c>
      <c r="B754" s="4">
        <v>135.0</v>
      </c>
      <c r="C754" s="4" t="s">
        <v>566</v>
      </c>
      <c r="D754" s="4" t="s">
        <v>1089</v>
      </c>
      <c r="E754" s="16">
        <v>0.015704600140452385</v>
      </c>
      <c r="F754" s="16">
        <v>0.9956767875701189</v>
      </c>
      <c r="G754" s="16"/>
      <c r="H754" s="16">
        <v>1.0</v>
      </c>
      <c r="I754" s="16">
        <v>0.325</v>
      </c>
      <c r="J754" s="16">
        <v>0.6666666666666667</v>
      </c>
      <c r="K754" s="4">
        <v>0.0</v>
      </c>
      <c r="M754" s="4" t="s">
        <v>32</v>
      </c>
    </row>
    <row r="755" ht="18.0" customHeight="1">
      <c r="A755" s="4" t="s">
        <v>63</v>
      </c>
      <c r="B755" s="4">
        <v>136.0</v>
      </c>
      <c r="C755" s="4" t="s">
        <v>1090</v>
      </c>
      <c r="D755" s="4" t="s">
        <v>122</v>
      </c>
      <c r="E755" s="16">
        <v>7.673884101677686E-5</v>
      </c>
      <c r="F755" s="16">
        <v>0.9999916448609838</v>
      </c>
      <c r="G755" s="16"/>
      <c r="H755" s="16">
        <v>0.36363636363636365</v>
      </c>
      <c r="I755" s="16">
        <v>0.09999999999999999</v>
      </c>
      <c r="J755" s="16">
        <v>0.0</v>
      </c>
      <c r="K755" s="4">
        <v>0.0</v>
      </c>
      <c r="M755" s="4" t="s">
        <v>32</v>
      </c>
    </row>
    <row r="756" ht="18.0" customHeight="1">
      <c r="A756" s="4" t="s">
        <v>63</v>
      </c>
      <c r="B756" s="4">
        <v>137.0</v>
      </c>
      <c r="C756" s="4" t="s">
        <v>364</v>
      </c>
      <c r="D756" s="4" t="s">
        <v>122</v>
      </c>
      <c r="E756" s="16">
        <v>3.165918751619756E-4</v>
      </c>
      <c r="F756" s="16">
        <v>0.9999572248325421</v>
      </c>
      <c r="G756" s="16"/>
      <c r="H756" s="16">
        <v>0.2727272727272727</v>
      </c>
      <c r="I756" s="16">
        <v>0.08333333333333333</v>
      </c>
      <c r="J756" s="16">
        <v>0.0</v>
      </c>
      <c r="K756" s="4">
        <v>0.0</v>
      </c>
      <c r="M756" s="4" t="s">
        <v>32</v>
      </c>
    </row>
    <row r="757" ht="18.0" customHeight="1">
      <c r="A757" s="4" t="s">
        <v>63</v>
      </c>
      <c r="B757" s="4">
        <v>138.0</v>
      </c>
      <c r="C757" s="4" t="s">
        <v>1046</v>
      </c>
      <c r="D757" s="4" t="s">
        <v>122</v>
      </c>
      <c r="E757" s="16">
        <v>5.799466744065285E-4</v>
      </c>
      <c r="F757" s="16">
        <v>0.9999239741591737</v>
      </c>
      <c r="G757" s="16"/>
      <c r="H757" s="16">
        <v>0.18181818181818182</v>
      </c>
      <c r="I757" s="16">
        <v>0.041666666666666664</v>
      </c>
      <c r="J757" s="16">
        <v>0.0</v>
      </c>
      <c r="K757" s="4">
        <v>0.0</v>
      </c>
      <c r="M757" s="4" t="s">
        <v>32</v>
      </c>
    </row>
    <row r="758" ht="18.0" customHeight="1">
      <c r="A758" s="4" t="s">
        <v>63</v>
      </c>
      <c r="B758" s="4">
        <v>139.0</v>
      </c>
      <c r="C758" s="4" t="s">
        <v>122</v>
      </c>
      <c r="D758" s="4" t="s">
        <v>467</v>
      </c>
      <c r="E758" s="16">
        <v>0.0030033309012651443</v>
      </c>
      <c r="F758" s="16">
        <v>0.9994941382319666</v>
      </c>
      <c r="G758" s="16"/>
      <c r="H758" s="16">
        <v>1.0</v>
      </c>
      <c r="I758" s="16">
        <v>0.425</v>
      </c>
      <c r="J758" s="16">
        <v>0.0</v>
      </c>
      <c r="K758" s="4">
        <v>1.0</v>
      </c>
      <c r="L758" s="4">
        <v>0.0</v>
      </c>
      <c r="M758" s="4" t="s">
        <v>239</v>
      </c>
    </row>
    <row r="759" ht="18.0" customHeight="1">
      <c r="A759" s="4" t="s">
        <v>63</v>
      </c>
      <c r="B759" s="4">
        <v>140.0</v>
      </c>
      <c r="C759" s="4" t="s">
        <v>232</v>
      </c>
      <c r="D759" s="4" t="s">
        <v>592</v>
      </c>
      <c r="E759" s="16">
        <v>8.945131412474439E-5</v>
      </c>
      <c r="F759" s="16">
        <v>0.9999916930457857</v>
      </c>
      <c r="G759" s="16"/>
      <c r="H759" s="16">
        <v>0.0</v>
      </c>
      <c r="I759" s="16">
        <v>0.0</v>
      </c>
      <c r="J759" s="16">
        <v>0.0</v>
      </c>
      <c r="K759" s="4">
        <v>0.0</v>
      </c>
      <c r="M759" s="4" t="s">
        <v>32</v>
      </c>
    </row>
    <row r="760" ht="18.0" customHeight="1">
      <c r="A760" s="4" t="s">
        <v>63</v>
      </c>
      <c r="B760" s="4">
        <v>141.0</v>
      </c>
      <c r="C760" s="4" t="s">
        <v>467</v>
      </c>
      <c r="D760" s="4" t="s">
        <v>87</v>
      </c>
      <c r="E760" s="16">
        <v>1.730200892779976E-4</v>
      </c>
      <c r="F760" s="16">
        <v>0.9999845023344278</v>
      </c>
      <c r="G760" s="16"/>
      <c r="H760" s="16">
        <v>1.0</v>
      </c>
      <c r="I760" s="16">
        <v>0.5166666666666667</v>
      </c>
      <c r="J760" s="16">
        <v>1.0</v>
      </c>
      <c r="K760" s="4">
        <v>0.0</v>
      </c>
      <c r="M760" s="4" t="s">
        <v>32</v>
      </c>
    </row>
    <row r="761" ht="18.0" customHeight="1">
      <c r="A761" s="4" t="s">
        <v>63</v>
      </c>
      <c r="B761" s="4">
        <v>142.0</v>
      </c>
      <c r="C761" s="4" t="s">
        <v>1091</v>
      </c>
      <c r="D761" s="4" t="s">
        <v>290</v>
      </c>
      <c r="E761" s="16">
        <v>0.007969116792082787</v>
      </c>
      <c r="F761" s="16">
        <v>0.9982073626015335</v>
      </c>
      <c r="G761" s="16"/>
      <c r="H761" s="16">
        <v>1.0</v>
      </c>
      <c r="I761" s="16">
        <v>0.32916666666666666</v>
      </c>
      <c r="J761" s="16">
        <v>0.0</v>
      </c>
      <c r="K761" s="4">
        <v>0.0</v>
      </c>
      <c r="M761" s="4" t="s">
        <v>32</v>
      </c>
    </row>
    <row r="762" ht="18.0" customHeight="1">
      <c r="A762" s="4" t="s">
        <v>63</v>
      </c>
      <c r="B762" s="4">
        <v>143.0</v>
      </c>
      <c r="C762" s="4" t="s">
        <v>1092</v>
      </c>
      <c r="D762" s="4" t="s">
        <v>1093</v>
      </c>
      <c r="E762" s="16">
        <v>4.8592931125313044E-4</v>
      </c>
      <c r="F762" s="16">
        <v>0.9999481339746126</v>
      </c>
      <c r="G762" s="16"/>
      <c r="H762" s="16">
        <v>1.0</v>
      </c>
      <c r="I762" s="16">
        <v>0.3666666666666667</v>
      </c>
      <c r="J762" s="16">
        <v>0.5</v>
      </c>
      <c r="K762" s="4">
        <v>0.0</v>
      </c>
      <c r="M762" s="4" t="s">
        <v>32</v>
      </c>
    </row>
    <row r="763" ht="18.0" customHeight="1">
      <c r="A763" s="4" t="s">
        <v>63</v>
      </c>
      <c r="B763" s="4">
        <v>144.0</v>
      </c>
      <c r="C763" s="4" t="s">
        <v>1073</v>
      </c>
      <c r="D763" s="4" t="s">
        <v>1078</v>
      </c>
      <c r="E763" s="16">
        <v>0.020954757928848267</v>
      </c>
      <c r="F763" s="16">
        <v>0.9939172714948654</v>
      </c>
      <c r="G763" s="16"/>
      <c r="H763" s="16">
        <v>0.0</v>
      </c>
      <c r="I763" s="16">
        <v>0.041666666666666664</v>
      </c>
      <c r="J763" s="16">
        <v>0.33333333333333337</v>
      </c>
      <c r="K763" s="4">
        <v>0.0</v>
      </c>
      <c r="M763" s="4" t="s">
        <v>32</v>
      </c>
    </row>
    <row r="764" ht="18.0" customHeight="1">
      <c r="A764" s="4" t="s">
        <v>63</v>
      </c>
      <c r="B764" s="4">
        <v>145.0</v>
      </c>
      <c r="C764" s="4" t="s">
        <v>1093</v>
      </c>
      <c r="D764" s="4" t="s">
        <v>1060</v>
      </c>
      <c r="E764" s="16">
        <v>5.49387710634619E-4</v>
      </c>
      <c r="F764" s="16">
        <v>0.9999254046397255</v>
      </c>
      <c r="G764" s="16"/>
      <c r="H764" s="16">
        <v>1.0</v>
      </c>
      <c r="I764" s="16">
        <v>0.3666666666666667</v>
      </c>
      <c r="J764" s="16">
        <v>0.1743295019157088</v>
      </c>
      <c r="K764" s="4">
        <v>0.0</v>
      </c>
      <c r="M764" s="4" t="s">
        <v>32</v>
      </c>
    </row>
    <row r="765" ht="18.0" customHeight="1">
      <c r="A765" s="4" t="s">
        <v>63</v>
      </c>
      <c r="B765" s="4">
        <v>146.0</v>
      </c>
      <c r="C765" s="4" t="s">
        <v>338</v>
      </c>
      <c r="D765" s="4" t="s">
        <v>83</v>
      </c>
      <c r="E765" s="16">
        <v>4.182462580502033E-4</v>
      </c>
      <c r="F765" s="16">
        <v>0.9999671902501177</v>
      </c>
      <c r="G765" s="16"/>
      <c r="H765" s="16">
        <v>0.0</v>
      </c>
      <c r="I765" s="16">
        <v>0.08333333333333333</v>
      </c>
      <c r="J765" s="16">
        <v>0.5</v>
      </c>
      <c r="K765" s="4">
        <v>0.0</v>
      </c>
      <c r="M765" s="4" t="s">
        <v>32</v>
      </c>
    </row>
    <row r="766" ht="18.0" customHeight="1">
      <c r="A766" s="4" t="s">
        <v>63</v>
      </c>
      <c r="B766" s="4">
        <v>147.0</v>
      </c>
      <c r="C766" s="4" t="s">
        <v>1094</v>
      </c>
      <c r="D766" s="4" t="s">
        <v>1095</v>
      </c>
      <c r="E766" s="16">
        <v>0.0019499915651977062</v>
      </c>
      <c r="F766" s="16">
        <v>0.9997072406913503</v>
      </c>
      <c r="G766" s="16"/>
      <c r="H766" s="16">
        <v>0.0</v>
      </c>
      <c r="I766" s="16">
        <v>0.016666666666666666</v>
      </c>
      <c r="J766" s="16">
        <v>0.0</v>
      </c>
      <c r="K766" s="4">
        <v>0.0</v>
      </c>
      <c r="M766" s="4" t="s">
        <v>32</v>
      </c>
    </row>
    <row r="767" ht="18.0" customHeight="1">
      <c r="A767" s="4" t="s">
        <v>63</v>
      </c>
      <c r="B767" s="4">
        <v>148.0</v>
      </c>
      <c r="C767" s="4" t="s">
        <v>1096</v>
      </c>
      <c r="D767" s="4" t="s">
        <v>1097</v>
      </c>
      <c r="E767" s="16">
        <v>5.772057920694351E-4</v>
      </c>
      <c r="F767" s="16">
        <v>0.9999142067426874</v>
      </c>
      <c r="G767" s="16"/>
      <c r="H767" s="16">
        <v>0.0</v>
      </c>
      <c r="I767" s="16">
        <v>0.016666666666666666</v>
      </c>
      <c r="J767" s="16">
        <v>0.0</v>
      </c>
      <c r="K767" s="4">
        <v>0.0</v>
      </c>
      <c r="M767" s="4" t="s">
        <v>32</v>
      </c>
    </row>
    <row r="768" ht="18.0" customHeight="1">
      <c r="A768" s="4" t="s">
        <v>63</v>
      </c>
      <c r="B768" s="4">
        <v>149.0</v>
      </c>
      <c r="C768" s="4" t="s">
        <v>122</v>
      </c>
      <c r="D768" s="4" t="s">
        <v>314</v>
      </c>
      <c r="E768" s="16">
        <v>0.048919860273599625</v>
      </c>
      <c r="F768" s="16">
        <v>0.9833054142072797</v>
      </c>
      <c r="G768" s="16"/>
      <c r="H768" s="16">
        <v>1.0</v>
      </c>
      <c r="I768" s="16">
        <v>0.37083333333333335</v>
      </c>
      <c r="J768" s="16">
        <v>0.0</v>
      </c>
      <c r="K768" s="4">
        <v>0.0</v>
      </c>
      <c r="M768" s="4" t="s">
        <v>32</v>
      </c>
    </row>
    <row r="769" ht="18.0" customHeight="1">
      <c r="A769" s="4" t="s">
        <v>63</v>
      </c>
      <c r="B769" s="4">
        <v>150.0</v>
      </c>
      <c r="C769" s="4" t="s">
        <v>232</v>
      </c>
      <c r="D769" s="4" t="s">
        <v>592</v>
      </c>
      <c r="E769" s="16">
        <v>1.935390755534172E-4</v>
      </c>
      <c r="F769" s="16">
        <v>0.9999800986120135</v>
      </c>
      <c r="G769" s="16"/>
      <c r="H769" s="16">
        <v>0.0</v>
      </c>
      <c r="I769" s="16">
        <v>0.0</v>
      </c>
      <c r="J769" s="16">
        <v>0.0</v>
      </c>
      <c r="K769" s="4">
        <v>0.0</v>
      </c>
      <c r="M769" s="4" t="s">
        <v>32</v>
      </c>
    </row>
    <row r="770" ht="18.0" customHeight="1">
      <c r="A770" s="4" t="s">
        <v>63</v>
      </c>
      <c r="B770" s="4">
        <v>151.0</v>
      </c>
      <c r="C770" s="4" t="s">
        <v>314</v>
      </c>
      <c r="D770" s="4" t="s">
        <v>87</v>
      </c>
      <c r="E770" s="16">
        <v>2.840558881871402E-4</v>
      </c>
      <c r="F770" s="16">
        <v>0.999965579032505</v>
      </c>
      <c r="G770" s="16"/>
      <c r="H770" s="16">
        <v>1.0</v>
      </c>
      <c r="I770" s="16">
        <v>0.4791666666666667</v>
      </c>
      <c r="J770" s="16">
        <v>1.0</v>
      </c>
      <c r="K770" s="4">
        <v>0.0</v>
      </c>
      <c r="M770" s="4" t="s">
        <v>32</v>
      </c>
    </row>
    <row r="771" ht="18.0" customHeight="1">
      <c r="A771" s="4" t="s">
        <v>63</v>
      </c>
      <c r="B771" s="4">
        <v>152.0</v>
      </c>
      <c r="C771" s="4" t="s">
        <v>1098</v>
      </c>
      <c r="D771" s="4" t="s">
        <v>1099</v>
      </c>
      <c r="E771" s="16">
        <v>4.0542404167354107E-4</v>
      </c>
      <c r="F771" s="16">
        <v>0.9999631058926752</v>
      </c>
      <c r="G771" s="16"/>
      <c r="H771" s="16">
        <v>0.0</v>
      </c>
      <c r="I771" s="16">
        <v>0.016666666666666666</v>
      </c>
      <c r="J771" s="16">
        <v>0.0</v>
      </c>
      <c r="K771" s="4">
        <v>0.0</v>
      </c>
      <c r="M771" s="4" t="s">
        <v>32</v>
      </c>
    </row>
    <row r="772" ht="18.0" customHeight="1">
      <c r="A772" s="4" t="s">
        <v>63</v>
      </c>
      <c r="B772" s="4">
        <v>153.0</v>
      </c>
      <c r="C772" s="4" t="s">
        <v>114</v>
      </c>
      <c r="D772" s="4" t="s">
        <v>457</v>
      </c>
      <c r="E772" s="16">
        <v>0.004188775550574064</v>
      </c>
      <c r="F772" s="16">
        <v>0.9993032258935273</v>
      </c>
      <c r="G772" s="16"/>
      <c r="H772" s="16">
        <v>0.9090909090909091</v>
      </c>
      <c r="I772" s="16">
        <v>0.49583333333333335</v>
      </c>
      <c r="J772" s="16">
        <v>0.5197183098591549</v>
      </c>
      <c r="K772" s="4">
        <v>0.0</v>
      </c>
      <c r="M772" s="4" t="s">
        <v>32</v>
      </c>
    </row>
    <row r="773" ht="18.0" customHeight="1">
      <c r="A773" s="4" t="s">
        <v>63</v>
      </c>
      <c r="B773" s="4">
        <v>154.0</v>
      </c>
      <c r="C773" s="4" t="s">
        <v>232</v>
      </c>
      <c r="D773" s="4" t="s">
        <v>289</v>
      </c>
      <c r="E773" s="16">
        <v>0.0012443313607946038</v>
      </c>
      <c r="F773" s="16">
        <v>0.99977053769544</v>
      </c>
      <c r="G773" s="16"/>
      <c r="H773" s="16">
        <v>1.0</v>
      </c>
      <c r="I773" s="16">
        <v>0.5</v>
      </c>
      <c r="J773" s="16">
        <v>0.0</v>
      </c>
      <c r="K773" s="4">
        <v>0.0</v>
      </c>
      <c r="M773" s="4" t="s">
        <v>32</v>
      </c>
    </row>
    <row r="774" ht="18.0" customHeight="1">
      <c r="A774" s="4" t="s">
        <v>63</v>
      </c>
      <c r="B774" s="4">
        <v>155.0</v>
      </c>
      <c r="C774" s="4" t="s">
        <v>464</v>
      </c>
      <c r="D774" s="4" t="s">
        <v>87</v>
      </c>
      <c r="E774" s="16">
        <v>0.23831315338611603</v>
      </c>
      <c r="F774" s="16">
        <v>0.874079130589962</v>
      </c>
      <c r="G774" s="16"/>
      <c r="H774" s="16">
        <v>0.7272727272727273</v>
      </c>
      <c r="I774" s="16">
        <v>0.5166666666666667</v>
      </c>
      <c r="J774" s="16">
        <v>0.4555555555555556</v>
      </c>
      <c r="K774" s="4">
        <v>1.0</v>
      </c>
      <c r="L774" s="4">
        <v>0.0</v>
      </c>
      <c r="M774" s="4" t="s">
        <v>239</v>
      </c>
    </row>
    <row r="775" ht="18.0" customHeight="1">
      <c r="A775" s="4" t="s">
        <v>63</v>
      </c>
      <c r="B775" s="4">
        <v>156.0</v>
      </c>
      <c r="C775" s="4" t="s">
        <v>818</v>
      </c>
      <c r="D775" s="4" t="s">
        <v>1100</v>
      </c>
      <c r="E775" s="16">
        <v>2.0514303469099104E-4</v>
      </c>
      <c r="F775" s="16">
        <v>0.9999799150864419</v>
      </c>
      <c r="G775" s="16"/>
      <c r="H775" s="16">
        <v>1.0</v>
      </c>
      <c r="I775" s="16">
        <v>0.5583333333333333</v>
      </c>
      <c r="J775" s="16">
        <v>0.16078431372549018</v>
      </c>
      <c r="K775" s="4">
        <v>0.0</v>
      </c>
      <c r="M775" s="4" t="s">
        <v>32</v>
      </c>
    </row>
    <row r="776" ht="18.0" customHeight="1">
      <c r="A776" s="4" t="s">
        <v>63</v>
      </c>
      <c r="B776" s="4">
        <v>157.0</v>
      </c>
      <c r="C776" s="4" t="s">
        <v>602</v>
      </c>
      <c r="D776" s="4" t="s">
        <v>603</v>
      </c>
      <c r="E776" s="16">
        <v>6.058149301679805E-5</v>
      </c>
      <c r="F776" s="16">
        <v>0.9999942780324318</v>
      </c>
      <c r="G776" s="16"/>
      <c r="H776" s="16">
        <v>0.0</v>
      </c>
      <c r="I776" s="16">
        <v>0.041666666666666664</v>
      </c>
      <c r="J776" s="16">
        <v>0.25</v>
      </c>
      <c r="K776" s="4">
        <v>1.0</v>
      </c>
      <c r="L776" s="4">
        <v>0.0</v>
      </c>
      <c r="M776" s="4" t="s">
        <v>239</v>
      </c>
    </row>
    <row r="777" ht="18.0" customHeight="1">
      <c r="A777" s="4" t="s">
        <v>63</v>
      </c>
      <c r="B777" s="4">
        <v>158.0</v>
      </c>
      <c r="C777" s="4" t="s">
        <v>1068</v>
      </c>
      <c r="D777" s="4" t="s">
        <v>1069</v>
      </c>
      <c r="E777" s="16">
        <v>1.0498755727894604E-4</v>
      </c>
      <c r="F777" s="16">
        <v>0.9999916713926496</v>
      </c>
      <c r="G777" s="16"/>
      <c r="H777" s="16">
        <v>0.0</v>
      </c>
      <c r="I777" s="16">
        <v>0.016666666666666666</v>
      </c>
      <c r="J777" s="16">
        <v>0.5</v>
      </c>
      <c r="K777" s="4">
        <v>0.0</v>
      </c>
      <c r="M777" s="4" t="s">
        <v>32</v>
      </c>
    </row>
    <row r="778" ht="18.0" customHeight="1">
      <c r="A778" s="4" t="s">
        <v>63</v>
      </c>
      <c r="B778" s="4">
        <v>159.0</v>
      </c>
      <c r="C778" s="4" t="s">
        <v>985</v>
      </c>
      <c r="D778" s="4" t="s">
        <v>1101</v>
      </c>
      <c r="E778" s="16">
        <v>1.4335768355522305E-4</v>
      </c>
      <c r="F778" s="16">
        <v>0.9999790598094478</v>
      </c>
      <c r="G778" s="16"/>
      <c r="H778" s="16">
        <v>0.8181818181818182</v>
      </c>
      <c r="I778" s="16">
        <v>0.625</v>
      </c>
      <c r="J778" s="16">
        <v>0.8333333333333334</v>
      </c>
      <c r="K778" s="4">
        <v>0.0</v>
      </c>
      <c r="M778" s="4" t="s">
        <v>32</v>
      </c>
    </row>
    <row r="779" ht="18.0" customHeight="1">
      <c r="A779" s="4" t="s">
        <v>63</v>
      </c>
      <c r="B779" s="4">
        <v>160.0</v>
      </c>
      <c r="C779" s="4" t="s">
        <v>181</v>
      </c>
      <c r="D779" s="4" t="s">
        <v>160</v>
      </c>
      <c r="E779" s="16">
        <v>1.1895679926965386E-4</v>
      </c>
      <c r="F779" s="16">
        <v>0.9999860325356167</v>
      </c>
      <c r="G779" s="16"/>
      <c r="H779" s="16">
        <v>0.18181818181818182</v>
      </c>
      <c r="I779" s="16">
        <v>0.1875</v>
      </c>
      <c r="J779" s="16">
        <v>0.6</v>
      </c>
      <c r="K779" s="4">
        <v>0.0</v>
      </c>
      <c r="M779" s="4" t="s">
        <v>32</v>
      </c>
    </row>
    <row r="780" ht="18.0" customHeight="1">
      <c r="A780" s="4" t="s">
        <v>63</v>
      </c>
      <c r="B780" s="4">
        <v>161.0</v>
      </c>
      <c r="C780" s="4" t="s">
        <v>151</v>
      </c>
      <c r="D780" s="4" t="s">
        <v>115</v>
      </c>
      <c r="E780" s="16">
        <v>3.18312959279865E-5</v>
      </c>
      <c r="F780" s="16">
        <v>0.9999969400249711</v>
      </c>
      <c r="G780" s="16"/>
      <c r="H780" s="16">
        <v>0.9090909090909091</v>
      </c>
      <c r="I780" s="16">
        <v>0.5833333333333334</v>
      </c>
      <c r="J780" s="16">
        <v>0.75</v>
      </c>
      <c r="K780" s="4">
        <v>0.0</v>
      </c>
      <c r="M780" s="4" t="s">
        <v>32</v>
      </c>
    </row>
    <row r="781" ht="18.0" customHeight="1">
      <c r="A781" s="4" t="s">
        <v>63</v>
      </c>
      <c r="B781" s="4">
        <v>162.0</v>
      </c>
      <c r="C781" s="4" t="s">
        <v>159</v>
      </c>
      <c r="D781" s="4" t="s">
        <v>86</v>
      </c>
      <c r="E781" s="16">
        <v>4.3566362001001835E-4</v>
      </c>
      <c r="F781" s="16">
        <v>0.9999294138251571</v>
      </c>
      <c r="G781" s="16"/>
      <c r="H781" s="16">
        <v>0.0</v>
      </c>
      <c r="I781" s="16">
        <v>0.020833333333333332</v>
      </c>
      <c r="J781" s="16">
        <v>0.25</v>
      </c>
      <c r="K781" s="4">
        <v>0.0</v>
      </c>
      <c r="M781" s="4" t="s">
        <v>32</v>
      </c>
    </row>
    <row r="782" ht="18.0" customHeight="1">
      <c r="A782" s="4" t="s">
        <v>63</v>
      </c>
      <c r="B782" s="4">
        <v>163.0</v>
      </c>
      <c r="C782" s="4" t="s">
        <v>160</v>
      </c>
      <c r="D782" s="4" t="s">
        <v>181</v>
      </c>
      <c r="E782" s="16">
        <v>4.235980668454431E-5</v>
      </c>
      <c r="F782" s="16">
        <v>0.9999963901562978</v>
      </c>
      <c r="G782" s="16"/>
      <c r="H782" s="16">
        <v>0.0</v>
      </c>
      <c r="I782" s="16">
        <v>0.08333333333333333</v>
      </c>
      <c r="J782" s="16">
        <v>0.0</v>
      </c>
      <c r="K782" s="4">
        <v>0.0</v>
      </c>
      <c r="M782" s="4" t="s">
        <v>32</v>
      </c>
    </row>
    <row r="783" ht="18.0" customHeight="1">
      <c r="A783" s="4" t="s">
        <v>63</v>
      </c>
      <c r="B783" s="4">
        <v>164.0</v>
      </c>
      <c r="C783" s="4" t="s">
        <v>1102</v>
      </c>
      <c r="D783" s="4" t="s">
        <v>151</v>
      </c>
      <c r="E783" s="16">
        <v>4.6406814362853765E-5</v>
      </c>
      <c r="F783" s="16">
        <v>0.999996567477865</v>
      </c>
      <c r="G783" s="16"/>
      <c r="H783" s="16">
        <v>0.9090909090909091</v>
      </c>
      <c r="I783" s="16">
        <v>0.6041666666666666</v>
      </c>
      <c r="J783" s="16">
        <v>0.8333333333333334</v>
      </c>
      <c r="K783" s="4">
        <v>0.0</v>
      </c>
      <c r="M783" s="4" t="s">
        <v>32</v>
      </c>
    </row>
    <row r="784" ht="18.0" customHeight="1">
      <c r="A784" s="4" t="s">
        <v>63</v>
      </c>
      <c r="B784" s="4">
        <v>165.0</v>
      </c>
      <c r="C784" s="4" t="s">
        <v>159</v>
      </c>
      <c r="D784" s="4" t="s">
        <v>264</v>
      </c>
      <c r="E784" s="16">
        <v>3.3138123399112374E-5</v>
      </c>
      <c r="F784" s="16">
        <v>0.9999974894173533</v>
      </c>
      <c r="G784" s="16"/>
      <c r="H784" s="16">
        <v>1.0</v>
      </c>
      <c r="I784" s="16">
        <v>0.5833333333333334</v>
      </c>
      <c r="J784" s="16">
        <v>0.019607843137254905</v>
      </c>
      <c r="K784" s="4">
        <v>0.0</v>
      </c>
      <c r="M784" s="4" t="s">
        <v>32</v>
      </c>
    </row>
    <row r="785" ht="18.0" customHeight="1">
      <c r="A785" s="4" t="s">
        <v>63</v>
      </c>
      <c r="B785" s="4">
        <v>166.0</v>
      </c>
      <c r="C785" s="4" t="s">
        <v>160</v>
      </c>
      <c r="D785" s="4" t="s">
        <v>270</v>
      </c>
      <c r="E785" s="16">
        <v>1.5815658844076097E-4</v>
      </c>
      <c r="F785" s="16">
        <v>0.9999851254917758</v>
      </c>
      <c r="G785" s="16"/>
      <c r="H785" s="16">
        <v>0.0</v>
      </c>
      <c r="I785" s="16">
        <v>0.08333333333333333</v>
      </c>
      <c r="J785" s="16">
        <v>0.16666666666666663</v>
      </c>
      <c r="K785" s="4">
        <v>0.0</v>
      </c>
      <c r="M785" s="4" t="s">
        <v>32</v>
      </c>
    </row>
    <row r="786" ht="18.0" customHeight="1">
      <c r="A786" s="4" t="s">
        <v>63</v>
      </c>
      <c r="B786" s="4">
        <v>167.0</v>
      </c>
      <c r="C786" s="4" t="s">
        <v>169</v>
      </c>
      <c r="D786" s="4" t="s">
        <v>591</v>
      </c>
      <c r="E786" s="16">
        <v>0.004692980088293552</v>
      </c>
      <c r="F786" s="16">
        <v>0.9989080816158094</v>
      </c>
      <c r="G786" s="16"/>
      <c r="H786" s="16">
        <v>1.0</v>
      </c>
      <c r="I786" s="16">
        <v>0.5583333333333333</v>
      </c>
      <c r="J786" s="16">
        <v>1.0</v>
      </c>
      <c r="K786" s="4">
        <v>0.0</v>
      </c>
      <c r="M786" s="4" t="s">
        <v>32</v>
      </c>
    </row>
    <row r="787" ht="18.0" customHeight="1">
      <c r="A787" s="4" t="s">
        <v>63</v>
      </c>
      <c r="B787" s="4">
        <v>168.0</v>
      </c>
      <c r="C787" s="4" t="s">
        <v>625</v>
      </c>
      <c r="D787" s="4" t="s">
        <v>159</v>
      </c>
      <c r="E787" s="16">
        <v>0.004474733490496874</v>
      </c>
      <c r="F787" s="16">
        <v>0.9991746286395937</v>
      </c>
      <c r="G787" s="16"/>
      <c r="H787" s="16">
        <v>1.0</v>
      </c>
      <c r="I787" s="16">
        <v>0.5</v>
      </c>
      <c r="J787" s="16">
        <v>0.0</v>
      </c>
      <c r="K787" s="4">
        <v>1.0</v>
      </c>
      <c r="L787" s="4">
        <v>0.0</v>
      </c>
      <c r="M787" s="4" t="s">
        <v>239</v>
      </c>
    </row>
    <row r="788" ht="18.0" customHeight="1">
      <c r="A788" s="4" t="s">
        <v>63</v>
      </c>
      <c r="B788" s="4">
        <v>169.0</v>
      </c>
      <c r="C788" s="4" t="s">
        <v>637</v>
      </c>
      <c r="D788" s="4" t="s">
        <v>461</v>
      </c>
      <c r="E788" s="16">
        <v>1.7190839571412653E-4</v>
      </c>
      <c r="F788" s="16">
        <v>0.9999850276240068</v>
      </c>
      <c r="G788" s="16"/>
      <c r="H788" s="16">
        <v>1.0</v>
      </c>
      <c r="I788" s="16">
        <v>0.6</v>
      </c>
      <c r="J788" s="16">
        <v>0.8333333333333334</v>
      </c>
      <c r="K788" s="4">
        <v>0.0</v>
      </c>
      <c r="M788" s="4" t="s">
        <v>32</v>
      </c>
    </row>
    <row r="789" ht="18.0" customHeight="1">
      <c r="A789" s="4" t="s">
        <v>63</v>
      </c>
      <c r="B789" s="4">
        <v>170.0</v>
      </c>
      <c r="C789" s="4" t="s">
        <v>155</v>
      </c>
      <c r="D789" s="4" t="s">
        <v>311</v>
      </c>
      <c r="E789" s="16">
        <v>1.638252979319077E-5</v>
      </c>
      <c r="F789" s="16">
        <v>0.9999985976274957</v>
      </c>
      <c r="G789" s="16"/>
      <c r="H789" s="16">
        <v>1.0</v>
      </c>
      <c r="I789" s="16">
        <v>0.625</v>
      </c>
      <c r="J789" s="16">
        <v>0.01234567901234568</v>
      </c>
      <c r="K789" s="4">
        <v>0.0</v>
      </c>
      <c r="M789" s="4" t="s">
        <v>32</v>
      </c>
    </row>
    <row r="790" ht="18.0" customHeight="1">
      <c r="A790" s="4" t="s">
        <v>63</v>
      </c>
      <c r="B790" s="4">
        <v>171.0</v>
      </c>
      <c r="C790" s="4" t="s">
        <v>169</v>
      </c>
      <c r="D790" s="4" t="s">
        <v>591</v>
      </c>
      <c r="E790" s="16">
        <v>6.92925532348454E-5</v>
      </c>
      <c r="F790" s="16">
        <v>0.9999916477581792</v>
      </c>
      <c r="G790" s="16"/>
      <c r="H790" s="16">
        <v>1.0</v>
      </c>
      <c r="I790" s="16">
        <v>0.6458333333333334</v>
      </c>
      <c r="J790" s="16">
        <v>0.009900990099009901</v>
      </c>
      <c r="K790" s="4">
        <v>0.0</v>
      </c>
      <c r="M790" s="4" t="s">
        <v>32</v>
      </c>
    </row>
    <row r="791" ht="18.0" customHeight="1">
      <c r="A791" s="4" t="s">
        <v>63</v>
      </c>
      <c r="B791" s="4">
        <v>172.0</v>
      </c>
      <c r="C791" s="4" t="s">
        <v>180</v>
      </c>
      <c r="D791" s="4" t="s">
        <v>159</v>
      </c>
      <c r="E791" s="16">
        <v>2.448631130391732E-5</v>
      </c>
      <c r="F791" s="16">
        <v>0.9999981858014166</v>
      </c>
      <c r="G791" s="16"/>
      <c r="H791" s="16">
        <v>1.0</v>
      </c>
      <c r="I791" s="16">
        <v>0.4791666666666667</v>
      </c>
      <c r="J791" s="16">
        <v>0.19999999999999996</v>
      </c>
      <c r="K791" s="4">
        <v>0.0</v>
      </c>
      <c r="M791" s="4" t="s">
        <v>32</v>
      </c>
    </row>
    <row r="792" ht="18.0" customHeight="1">
      <c r="A792" s="4" t="s">
        <v>63</v>
      </c>
      <c r="B792" s="4">
        <v>173.0</v>
      </c>
      <c r="C792" s="4" t="s">
        <v>159</v>
      </c>
      <c r="D792" s="4" t="s">
        <v>461</v>
      </c>
      <c r="E792" s="16">
        <v>1.58703449415043E-4</v>
      </c>
      <c r="F792" s="16">
        <v>0.9999780465395816</v>
      </c>
      <c r="G792" s="16"/>
      <c r="H792" s="16">
        <v>0.9090909090909091</v>
      </c>
      <c r="I792" s="16">
        <v>0.3541666666666667</v>
      </c>
      <c r="J792" s="16">
        <v>0.6666666666666667</v>
      </c>
      <c r="K792" s="4">
        <v>0.0</v>
      </c>
      <c r="M792" s="4" t="s">
        <v>32</v>
      </c>
    </row>
    <row r="793" ht="18.0" customHeight="1">
      <c r="A793" s="4" t="s">
        <v>63</v>
      </c>
      <c r="B793" s="4">
        <v>174.0</v>
      </c>
      <c r="C793" s="4" t="s">
        <v>181</v>
      </c>
      <c r="D793" s="4" t="s">
        <v>427</v>
      </c>
      <c r="E793" s="16">
        <v>1.176279238279676E-5</v>
      </c>
      <c r="F793" s="16">
        <v>0.9999986845324713</v>
      </c>
      <c r="G793" s="16"/>
      <c r="H793" s="16">
        <v>0.0</v>
      </c>
      <c r="I793" s="16">
        <v>0.08333333333333333</v>
      </c>
      <c r="J793" s="16">
        <v>0.4</v>
      </c>
      <c r="K793" s="4">
        <v>0.0</v>
      </c>
      <c r="M793" s="4" t="s">
        <v>32</v>
      </c>
    </row>
    <row r="794" ht="18.0" customHeight="1">
      <c r="A794" s="4" t="s">
        <v>63</v>
      </c>
      <c r="B794" s="4">
        <v>175.0</v>
      </c>
      <c r="C794" s="4" t="s">
        <v>630</v>
      </c>
      <c r="D794" s="4" t="s">
        <v>86</v>
      </c>
      <c r="E794" s="16">
        <v>3.486061541480012E-5</v>
      </c>
      <c r="F794" s="16">
        <v>0.9999969045989587</v>
      </c>
      <c r="G794" s="16"/>
      <c r="H794" s="16">
        <v>0.0</v>
      </c>
      <c r="I794" s="16">
        <v>0.08333333333333333</v>
      </c>
      <c r="J794" s="16">
        <v>0.33333333333333337</v>
      </c>
      <c r="K794" s="4">
        <v>0.0</v>
      </c>
      <c r="M794" s="4" t="s">
        <v>32</v>
      </c>
    </row>
    <row r="795" ht="18.0" customHeight="1">
      <c r="A795" s="4" t="s">
        <v>63</v>
      </c>
      <c r="B795" s="4">
        <v>176.0</v>
      </c>
      <c r="C795" s="4" t="s">
        <v>159</v>
      </c>
      <c r="D795" s="4" t="s">
        <v>461</v>
      </c>
      <c r="E795" s="16">
        <v>7.033841393422335E-5</v>
      </c>
      <c r="F795" s="16">
        <v>0.999990148510733</v>
      </c>
      <c r="G795" s="16"/>
      <c r="H795" s="16">
        <v>0.9090909090909091</v>
      </c>
      <c r="I795" s="16">
        <v>0.3125</v>
      </c>
      <c r="J795" s="16">
        <v>0.24356435643564353</v>
      </c>
      <c r="K795" s="4">
        <v>0.0</v>
      </c>
      <c r="M795" s="4" t="s">
        <v>32</v>
      </c>
    </row>
    <row r="796" ht="18.0" customHeight="1">
      <c r="A796" s="4" t="s">
        <v>63</v>
      </c>
      <c r="B796" s="4">
        <v>177.0</v>
      </c>
      <c r="C796" s="4" t="s">
        <v>160</v>
      </c>
      <c r="D796" s="4" t="s">
        <v>181</v>
      </c>
      <c r="E796" s="16">
        <v>6.516173016279936E-6</v>
      </c>
      <c r="F796" s="16">
        <v>0.9999995270379713</v>
      </c>
      <c r="G796" s="16"/>
      <c r="H796" s="16">
        <v>0.18181818181818182</v>
      </c>
      <c r="I796" s="16">
        <v>0.25</v>
      </c>
      <c r="J796" s="16">
        <v>0.5</v>
      </c>
      <c r="K796" s="4">
        <v>0.0</v>
      </c>
      <c r="M796" s="4" t="s">
        <v>32</v>
      </c>
    </row>
    <row r="797" ht="18.0" customHeight="1">
      <c r="A797" s="4" t="s">
        <v>63</v>
      </c>
      <c r="B797" s="4">
        <v>178.0</v>
      </c>
      <c r="C797" s="4" t="s">
        <v>577</v>
      </c>
      <c r="D797" s="4" t="s">
        <v>1103</v>
      </c>
      <c r="E797" s="16">
        <v>2.9081065440550447E-4</v>
      </c>
      <c r="F797" s="16">
        <v>0.9999617117337039</v>
      </c>
      <c r="G797" s="16"/>
      <c r="H797" s="16">
        <v>0.0</v>
      </c>
      <c r="I797" s="16">
        <v>0.041666666666666664</v>
      </c>
      <c r="J797" s="16">
        <v>0.19999999999999996</v>
      </c>
      <c r="K797" s="4">
        <v>0.0</v>
      </c>
      <c r="M797" s="4" t="s">
        <v>32</v>
      </c>
    </row>
    <row r="798" ht="18.0" customHeight="1">
      <c r="A798" s="4" t="s">
        <v>63</v>
      </c>
      <c r="B798" s="4">
        <v>179.0</v>
      </c>
      <c r="C798" s="4" t="s">
        <v>122</v>
      </c>
      <c r="D798" s="4" t="s">
        <v>264</v>
      </c>
      <c r="E798" s="16">
        <v>4.435277369339019E-4</v>
      </c>
      <c r="F798" s="16">
        <v>0.9999683009061755</v>
      </c>
      <c r="G798" s="16"/>
      <c r="H798" s="16">
        <v>0.0</v>
      </c>
      <c r="I798" s="16">
        <v>0.0</v>
      </c>
      <c r="J798" s="16">
        <v>0.0</v>
      </c>
      <c r="K798" s="4">
        <v>0.0</v>
      </c>
      <c r="M798" s="4" t="s">
        <v>32</v>
      </c>
    </row>
    <row r="799" ht="18.0" customHeight="1">
      <c r="A799" s="4" t="s">
        <v>63</v>
      </c>
      <c r="B799" s="4">
        <v>180.0</v>
      </c>
      <c r="C799" s="4" t="s">
        <v>232</v>
      </c>
      <c r="D799" s="4" t="s">
        <v>326</v>
      </c>
      <c r="E799" s="16">
        <v>1.760858722263947E-4</v>
      </c>
      <c r="F799" s="16">
        <v>0.9999846514026558</v>
      </c>
      <c r="G799" s="16"/>
      <c r="H799" s="16">
        <v>0.0</v>
      </c>
      <c r="I799" s="16">
        <v>0.0</v>
      </c>
      <c r="J799" s="16">
        <v>0.0</v>
      </c>
      <c r="K799" s="4">
        <v>0.0</v>
      </c>
      <c r="M799" s="4" t="s">
        <v>32</v>
      </c>
    </row>
    <row r="800" ht="18.0" customHeight="1">
      <c r="A800" s="4" t="s">
        <v>63</v>
      </c>
      <c r="B800" s="4">
        <v>181.0</v>
      </c>
      <c r="C800" s="4" t="s">
        <v>86</v>
      </c>
      <c r="D800" s="4" t="s">
        <v>159</v>
      </c>
      <c r="E800" s="16">
        <v>3.917190188076347E-4</v>
      </c>
      <c r="F800" s="16">
        <v>0.9999563963838227</v>
      </c>
      <c r="G800" s="16"/>
      <c r="H800" s="16">
        <v>0.0</v>
      </c>
      <c r="I800" s="16">
        <v>0.020833333333333332</v>
      </c>
      <c r="J800" s="16">
        <v>0.0</v>
      </c>
      <c r="K800" s="4">
        <v>0.0</v>
      </c>
      <c r="M800" s="4" t="s">
        <v>32</v>
      </c>
    </row>
    <row r="801" ht="18.0" customHeight="1">
      <c r="A801" s="4" t="s">
        <v>63</v>
      </c>
      <c r="B801" s="4">
        <v>182.0</v>
      </c>
      <c r="C801" s="4" t="s">
        <v>427</v>
      </c>
      <c r="D801" s="4" t="s">
        <v>181</v>
      </c>
      <c r="E801" s="16">
        <v>1.8165577785111964E-4</v>
      </c>
      <c r="F801" s="16">
        <v>0.999974990147166</v>
      </c>
      <c r="G801" s="16"/>
      <c r="H801" s="16">
        <v>0.09090909090909091</v>
      </c>
      <c r="I801" s="16">
        <v>0.16666666666666666</v>
      </c>
      <c r="J801" s="16">
        <v>0.2857142857142857</v>
      </c>
      <c r="K801" s="4">
        <v>0.0</v>
      </c>
      <c r="M801" s="4" t="s">
        <v>32</v>
      </c>
    </row>
    <row r="802" ht="18.0" customHeight="1">
      <c r="A802" s="4" t="s">
        <v>63</v>
      </c>
      <c r="B802" s="4">
        <v>183.0</v>
      </c>
      <c r="C802" s="4" t="s">
        <v>115</v>
      </c>
      <c r="D802" s="4" t="s">
        <v>761</v>
      </c>
      <c r="E802" s="16">
        <v>1.5644785889890045E-5</v>
      </c>
      <c r="F802" s="16">
        <v>0.9999988380735658</v>
      </c>
      <c r="G802" s="16"/>
      <c r="H802" s="16">
        <v>1.0</v>
      </c>
      <c r="I802" s="16">
        <v>0.5</v>
      </c>
      <c r="J802" s="16">
        <v>0.2857142857142857</v>
      </c>
      <c r="K802" s="4">
        <v>0.0</v>
      </c>
      <c r="M802" s="4" t="s">
        <v>32</v>
      </c>
    </row>
    <row r="803" ht="18.0" customHeight="1">
      <c r="A803" s="4" t="s">
        <v>63</v>
      </c>
      <c r="B803" s="4">
        <v>184.0</v>
      </c>
      <c r="C803" s="4" t="s">
        <v>761</v>
      </c>
      <c r="D803" s="4" t="s">
        <v>634</v>
      </c>
      <c r="E803" s="16">
        <v>1.838257048802916E-5</v>
      </c>
      <c r="F803" s="16">
        <v>0.9999985343304445</v>
      </c>
      <c r="G803" s="16"/>
      <c r="H803" s="16">
        <v>1.0</v>
      </c>
      <c r="I803" s="16">
        <v>0.5</v>
      </c>
      <c r="J803" s="16">
        <v>0.33379120879120877</v>
      </c>
      <c r="K803" s="4">
        <v>0.0</v>
      </c>
      <c r="M803" s="4" t="s">
        <v>32</v>
      </c>
    </row>
    <row r="804" ht="18.0" customHeight="1">
      <c r="A804" s="4" t="s">
        <v>63</v>
      </c>
      <c r="B804" s="4">
        <v>185.0</v>
      </c>
      <c r="C804" s="4" t="s">
        <v>122</v>
      </c>
      <c r="D804" s="4" t="s">
        <v>427</v>
      </c>
      <c r="E804" s="16">
        <v>4.619382962118834E-4</v>
      </c>
      <c r="F804" s="16">
        <v>0.9999409232896141</v>
      </c>
      <c r="G804" s="16"/>
      <c r="H804" s="16">
        <v>0.9090909090909091</v>
      </c>
      <c r="I804" s="16">
        <v>0.4166666666666667</v>
      </c>
      <c r="J804" s="16">
        <v>0.375</v>
      </c>
      <c r="K804" s="4">
        <v>0.0</v>
      </c>
      <c r="M804" s="4" t="s">
        <v>32</v>
      </c>
    </row>
    <row r="805" ht="18.0" customHeight="1">
      <c r="A805" s="4" t="s">
        <v>63</v>
      </c>
      <c r="B805" s="4">
        <v>186.0</v>
      </c>
      <c r="C805" s="4" t="s">
        <v>232</v>
      </c>
      <c r="D805" s="4" t="s">
        <v>592</v>
      </c>
      <c r="E805" s="16">
        <v>1.6748821508372203E-5</v>
      </c>
      <c r="F805" s="16">
        <v>0.9999986314609828</v>
      </c>
      <c r="G805" s="16"/>
      <c r="H805" s="16">
        <v>0.0</v>
      </c>
      <c r="I805" s="16">
        <v>0.0</v>
      </c>
      <c r="J805" s="16">
        <v>0.0</v>
      </c>
      <c r="K805" s="4">
        <v>0.0</v>
      </c>
      <c r="M805" s="4" t="s">
        <v>32</v>
      </c>
    </row>
    <row r="806" ht="18.0" customHeight="1">
      <c r="A806" s="4" t="s">
        <v>63</v>
      </c>
      <c r="B806" s="4">
        <v>187.0</v>
      </c>
      <c r="C806" s="4" t="s">
        <v>464</v>
      </c>
      <c r="D806" s="4" t="s">
        <v>87</v>
      </c>
      <c r="E806" s="16">
        <v>3.858049458358437E-4</v>
      </c>
      <c r="F806" s="16">
        <v>0.9999362609232776</v>
      </c>
      <c r="G806" s="16"/>
      <c r="H806" s="16">
        <v>1.0</v>
      </c>
      <c r="I806" s="16">
        <v>0.7291666666666666</v>
      </c>
      <c r="J806" s="16">
        <v>0.33956043956043963</v>
      </c>
      <c r="K806" s="4">
        <v>0.0</v>
      </c>
      <c r="M806" s="4" t="s">
        <v>32</v>
      </c>
    </row>
    <row r="807" ht="18.0" customHeight="1">
      <c r="A807" s="4" t="s">
        <v>63</v>
      </c>
      <c r="B807" s="4">
        <v>188.0</v>
      </c>
      <c r="C807" s="4" t="s">
        <v>818</v>
      </c>
      <c r="D807" s="4" t="s">
        <v>621</v>
      </c>
      <c r="E807" s="16">
        <v>2.903373388107866E-5</v>
      </c>
      <c r="F807" s="16">
        <v>0.9999975437098669</v>
      </c>
      <c r="G807" s="16"/>
      <c r="H807" s="16">
        <v>0.9090909090909091</v>
      </c>
      <c r="I807" s="16">
        <v>0.6416666666666667</v>
      </c>
      <c r="J807" s="16">
        <v>0.19999999999999996</v>
      </c>
      <c r="K807" s="4">
        <v>0.0</v>
      </c>
      <c r="M807" s="4" t="s">
        <v>32</v>
      </c>
    </row>
    <row r="808" ht="18.0" customHeight="1">
      <c r="A808" s="4" t="s">
        <v>63</v>
      </c>
      <c r="B808" s="4">
        <v>189.0</v>
      </c>
      <c r="C808" s="4" t="s">
        <v>602</v>
      </c>
      <c r="D808" s="4" t="s">
        <v>603</v>
      </c>
      <c r="E808" s="16">
        <v>1.8753607946564443E-5</v>
      </c>
      <c r="F808" s="16">
        <v>0.9999982452671361</v>
      </c>
      <c r="G808" s="16"/>
      <c r="H808" s="16">
        <v>0.0</v>
      </c>
      <c r="I808" s="16">
        <v>0.041666666666666664</v>
      </c>
      <c r="J808" s="16">
        <v>0.19999999999999996</v>
      </c>
      <c r="K808" s="4">
        <v>0.0</v>
      </c>
      <c r="M808" s="4" t="s">
        <v>32</v>
      </c>
    </row>
    <row r="809" ht="18.0" customHeight="1">
      <c r="A809" s="4" t="s">
        <v>63</v>
      </c>
      <c r="B809" s="4">
        <v>190.0</v>
      </c>
      <c r="C809" s="4" t="s">
        <v>1068</v>
      </c>
      <c r="D809" s="4" t="s">
        <v>1078</v>
      </c>
      <c r="E809" s="16">
        <v>5.310216220095754E-4</v>
      </c>
      <c r="F809" s="16">
        <v>0.9999569607407466</v>
      </c>
      <c r="G809" s="16"/>
      <c r="H809" s="16">
        <v>0.0</v>
      </c>
      <c r="I809" s="16">
        <v>0.041666666666666664</v>
      </c>
      <c r="J809" s="16">
        <v>0.4</v>
      </c>
      <c r="K809" s="4">
        <v>0.0</v>
      </c>
      <c r="M809" s="4" t="s">
        <v>32</v>
      </c>
    </row>
    <row r="810" ht="18.0" customHeight="1">
      <c r="A810" s="4" t="s">
        <v>63</v>
      </c>
      <c r="B810" s="4">
        <v>191.0</v>
      </c>
      <c r="C810" s="4" t="s">
        <v>1101</v>
      </c>
      <c r="D810" s="4" t="s">
        <v>985</v>
      </c>
      <c r="E810" s="16">
        <v>2.9346494557103142E-5</v>
      </c>
      <c r="F810" s="16">
        <v>0.999996185377654</v>
      </c>
      <c r="G810" s="16"/>
      <c r="H810" s="16">
        <v>0.9090909090909091</v>
      </c>
      <c r="I810" s="16">
        <v>0.625</v>
      </c>
      <c r="J810" s="16">
        <v>0.556473829201102</v>
      </c>
      <c r="K810" s="4">
        <v>0.0</v>
      </c>
      <c r="M810" s="4" t="s">
        <v>32</v>
      </c>
    </row>
    <row r="811" ht="18.0" customHeight="1">
      <c r="A811" s="4" t="s">
        <v>63</v>
      </c>
      <c r="B811" s="4">
        <v>192.0</v>
      </c>
      <c r="C811" s="4" t="s">
        <v>634</v>
      </c>
      <c r="D811" s="4" t="s">
        <v>181</v>
      </c>
      <c r="E811" s="16">
        <v>2.683423736016266E-5</v>
      </c>
      <c r="F811" s="16">
        <v>0.9999974399381699</v>
      </c>
      <c r="G811" s="16"/>
      <c r="H811" s="16">
        <v>0.8181818181818182</v>
      </c>
      <c r="I811" s="16">
        <v>0.6041666666666666</v>
      </c>
      <c r="J811" s="16">
        <v>0.6683168316831684</v>
      </c>
      <c r="K811" s="4">
        <v>0.0</v>
      </c>
      <c r="M811" s="4" t="s">
        <v>32</v>
      </c>
    </row>
    <row r="812" ht="18.0" customHeight="1">
      <c r="A812" s="4" t="s">
        <v>63</v>
      </c>
      <c r="B812" s="4">
        <v>193.0</v>
      </c>
      <c r="C812" s="4" t="s">
        <v>151</v>
      </c>
      <c r="D812" s="4" t="s">
        <v>115</v>
      </c>
      <c r="E812" s="16">
        <v>5.332062937668525E-5</v>
      </c>
      <c r="F812" s="16">
        <v>0.9999962797013495</v>
      </c>
      <c r="G812" s="16"/>
      <c r="H812" s="16">
        <v>1.0</v>
      </c>
      <c r="I812" s="16">
        <v>0.7083333333333334</v>
      </c>
      <c r="J812" s="16">
        <v>0.40493827160493834</v>
      </c>
      <c r="K812" s="4">
        <v>0.0</v>
      </c>
      <c r="M812" s="4" t="s">
        <v>32</v>
      </c>
    </row>
    <row r="813" ht="18.0" customHeight="1">
      <c r="A813" s="4" t="s">
        <v>63</v>
      </c>
      <c r="B813" s="4">
        <v>194.0</v>
      </c>
      <c r="C813" s="4" t="s">
        <v>159</v>
      </c>
      <c r="D813" s="4" t="s">
        <v>86</v>
      </c>
      <c r="E813" s="16">
        <v>8.304502262035385E-5</v>
      </c>
      <c r="F813" s="16">
        <v>0.9999887464105086</v>
      </c>
      <c r="G813" s="16"/>
      <c r="H813" s="16">
        <v>0.09090909090909091</v>
      </c>
      <c r="I813" s="16">
        <v>0.041666666666666664</v>
      </c>
      <c r="J813" s="16">
        <v>0.0</v>
      </c>
      <c r="K813" s="4">
        <v>0.0</v>
      </c>
      <c r="M813" s="4" t="s">
        <v>32</v>
      </c>
    </row>
    <row r="814" ht="18.0" customHeight="1">
      <c r="A814" s="4" t="s">
        <v>63</v>
      </c>
      <c r="B814" s="4">
        <v>195.0</v>
      </c>
      <c r="C814" s="4" t="s">
        <v>181</v>
      </c>
      <c r="D814" s="4" t="s">
        <v>427</v>
      </c>
      <c r="E814" s="16">
        <v>1.4773308066651225E-5</v>
      </c>
      <c r="F814" s="16">
        <v>0.9999988695475679</v>
      </c>
      <c r="G814" s="16"/>
      <c r="H814" s="16">
        <v>1.0</v>
      </c>
      <c r="I814" s="16">
        <v>0.625</v>
      </c>
      <c r="J814" s="16">
        <v>0.6683168316831684</v>
      </c>
      <c r="K814" s="4">
        <v>0.0</v>
      </c>
      <c r="M814" s="4" t="s">
        <v>32</v>
      </c>
    </row>
    <row r="815" ht="18.0" customHeight="1">
      <c r="A815" s="4" t="s">
        <v>63</v>
      </c>
      <c r="B815" s="4">
        <v>196.0</v>
      </c>
      <c r="C815" s="4" t="s">
        <v>181</v>
      </c>
      <c r="D815" s="4" t="s">
        <v>160</v>
      </c>
      <c r="E815" s="16">
        <v>1.599276583874598E-5</v>
      </c>
      <c r="F815" s="16">
        <v>0.9999989005574292</v>
      </c>
      <c r="G815" s="16"/>
      <c r="H815" s="16">
        <v>0.0</v>
      </c>
      <c r="I815" s="16">
        <v>0.08333333333333333</v>
      </c>
      <c r="J815" s="16">
        <v>0.0</v>
      </c>
      <c r="K815" s="4">
        <v>0.0</v>
      </c>
      <c r="M815" s="4" t="s">
        <v>32</v>
      </c>
    </row>
    <row r="816" ht="18.0" customHeight="1">
      <c r="A816" s="4" t="s">
        <v>63</v>
      </c>
      <c r="B816" s="4">
        <v>197.0</v>
      </c>
      <c r="C816" s="4" t="s">
        <v>151</v>
      </c>
      <c r="D816" s="4" t="s">
        <v>616</v>
      </c>
      <c r="E816" s="16">
        <v>1.8868398910854012E-5</v>
      </c>
      <c r="F816" s="16">
        <v>0.9999983731993893</v>
      </c>
      <c r="G816" s="16"/>
      <c r="H816" s="16">
        <v>1.0</v>
      </c>
      <c r="I816" s="16">
        <v>0.5833333333333334</v>
      </c>
      <c r="J816" s="16">
        <v>0.0</v>
      </c>
      <c r="K816" s="4">
        <v>0.0</v>
      </c>
      <c r="M816" s="4" t="s">
        <v>32</v>
      </c>
    </row>
    <row r="817" ht="18.0" customHeight="1">
      <c r="A817" s="4" t="s">
        <v>63</v>
      </c>
      <c r="B817" s="4">
        <v>198.0</v>
      </c>
      <c r="C817" s="4" t="s">
        <v>86</v>
      </c>
      <c r="D817" s="4" t="s">
        <v>159</v>
      </c>
      <c r="E817" s="16">
        <v>4.052173608215526E-5</v>
      </c>
      <c r="F817" s="16">
        <v>0.999994391122982</v>
      </c>
      <c r="G817" s="16"/>
      <c r="H817" s="16">
        <v>0.09090909090909091</v>
      </c>
      <c r="I817" s="16">
        <v>0.041666666666666664</v>
      </c>
      <c r="J817" s="16">
        <v>0.0</v>
      </c>
      <c r="K817" s="4">
        <v>0.0</v>
      </c>
      <c r="M817" s="4" t="s">
        <v>32</v>
      </c>
    </row>
    <row r="818" ht="18.0" customHeight="1">
      <c r="A818" s="4" t="s">
        <v>63</v>
      </c>
      <c r="B818" s="4">
        <v>199.0</v>
      </c>
      <c r="C818" s="4" t="s">
        <v>634</v>
      </c>
      <c r="D818" s="4" t="s">
        <v>181</v>
      </c>
      <c r="E818" s="16">
        <v>4.0025488488026895E-6</v>
      </c>
      <c r="F818" s="16">
        <v>0.9999997783262629</v>
      </c>
      <c r="G818" s="16"/>
      <c r="H818" s="16">
        <v>1.0</v>
      </c>
      <c r="I818" s="16">
        <v>0.7083333333333334</v>
      </c>
      <c r="J818" s="16">
        <v>0.7142857142857143</v>
      </c>
      <c r="K818" s="4">
        <v>1.0</v>
      </c>
      <c r="L818" s="4">
        <v>0.0</v>
      </c>
      <c r="M818" s="4" t="s">
        <v>239</v>
      </c>
    </row>
    <row r="819" ht="18.0" customHeight="1">
      <c r="A819" s="4" t="s">
        <v>63</v>
      </c>
      <c r="B819" s="4">
        <v>200.0</v>
      </c>
      <c r="C819" s="4" t="s">
        <v>151</v>
      </c>
      <c r="D819" s="4" t="s">
        <v>1102</v>
      </c>
      <c r="E819" s="16">
        <v>4.435359369381331E-5</v>
      </c>
      <c r="F819" s="16">
        <v>0.9999945774229673</v>
      </c>
      <c r="G819" s="16"/>
      <c r="H819" s="16">
        <v>0.9090909090909091</v>
      </c>
      <c r="I819" s="16">
        <v>0.6041666666666666</v>
      </c>
      <c r="J819" s="16">
        <v>0.25</v>
      </c>
      <c r="K819" s="4">
        <v>0.0</v>
      </c>
      <c r="M819" s="4" t="s">
        <v>32</v>
      </c>
    </row>
    <row r="820" ht="18.0" customHeight="1">
      <c r="A820" s="4" t="s">
        <v>63</v>
      </c>
      <c r="B820" s="4">
        <v>201.0</v>
      </c>
      <c r="C820" s="4" t="s">
        <v>159</v>
      </c>
      <c r="D820" s="4" t="s">
        <v>86</v>
      </c>
      <c r="E820" s="16">
        <v>5.175957994651981E-5</v>
      </c>
      <c r="F820" s="16">
        <v>0.9999949692362406</v>
      </c>
      <c r="G820" s="16"/>
      <c r="H820" s="16">
        <v>0.0</v>
      </c>
      <c r="I820" s="16">
        <v>0.020833333333333332</v>
      </c>
      <c r="J820" s="16">
        <v>0.0</v>
      </c>
      <c r="K820" s="4">
        <v>0.0</v>
      </c>
      <c r="M820" s="4" t="s">
        <v>32</v>
      </c>
    </row>
    <row r="821" ht="18.0" customHeight="1">
      <c r="A821" s="4" t="s">
        <v>63</v>
      </c>
      <c r="B821" s="4">
        <v>202.0</v>
      </c>
      <c r="C821" s="4" t="s">
        <v>181</v>
      </c>
      <c r="D821" s="4" t="s">
        <v>427</v>
      </c>
      <c r="E821" s="16">
        <v>7.463493147952249E-6</v>
      </c>
      <c r="F821" s="16">
        <v>0.9999993317340454</v>
      </c>
      <c r="G821" s="16"/>
      <c r="H821" s="16">
        <v>0.9090909090909091</v>
      </c>
      <c r="I821" s="16">
        <v>0.6666666666666666</v>
      </c>
      <c r="J821" s="16">
        <v>0.25</v>
      </c>
      <c r="K821" s="4">
        <v>0.0</v>
      </c>
      <c r="M821" s="4" t="s">
        <v>32</v>
      </c>
    </row>
    <row r="822" ht="18.0" customHeight="1">
      <c r="A822" s="4" t="s">
        <v>63</v>
      </c>
      <c r="B822" s="4">
        <v>203.0</v>
      </c>
      <c r="C822" s="4" t="s">
        <v>1102</v>
      </c>
      <c r="D822" s="4" t="s">
        <v>1104</v>
      </c>
      <c r="E822" s="16">
        <v>4.04441416321788E-5</v>
      </c>
      <c r="F822" s="16">
        <v>0.9999964617536534</v>
      </c>
      <c r="G822" s="16"/>
      <c r="H822" s="16">
        <v>0.0</v>
      </c>
      <c r="I822" s="16">
        <v>0.041666666666666664</v>
      </c>
      <c r="J822" s="16">
        <v>0.0</v>
      </c>
      <c r="K822" s="4">
        <v>0.0</v>
      </c>
      <c r="M822" s="4" t="s">
        <v>32</v>
      </c>
    </row>
    <row r="823" ht="18.0" customHeight="1">
      <c r="A823" s="4" t="s">
        <v>63</v>
      </c>
      <c r="B823" s="4">
        <v>204.0</v>
      </c>
      <c r="C823" s="4" t="s">
        <v>159</v>
      </c>
      <c r="D823" s="4" t="s">
        <v>264</v>
      </c>
      <c r="E823" s="16">
        <v>3.810548150795512E-5</v>
      </c>
      <c r="F823" s="16">
        <v>0.9999962756478453</v>
      </c>
      <c r="G823" s="16"/>
      <c r="H823" s="16">
        <v>1.0</v>
      </c>
      <c r="I823" s="16">
        <v>0.6041666666666666</v>
      </c>
      <c r="J823" s="16">
        <v>0.01234567901234568</v>
      </c>
      <c r="K823" s="4">
        <v>0.0</v>
      </c>
      <c r="M823" s="4" t="s">
        <v>32</v>
      </c>
    </row>
    <row r="824" ht="18.0" customHeight="1">
      <c r="A824" s="4" t="s">
        <v>63</v>
      </c>
      <c r="B824" s="4">
        <v>205.0</v>
      </c>
      <c r="C824" s="4" t="s">
        <v>160</v>
      </c>
      <c r="D824" s="4" t="s">
        <v>851</v>
      </c>
      <c r="E824" s="16">
        <v>6.82435929775238E-5</v>
      </c>
      <c r="F824" s="16">
        <v>0.9999937097090879</v>
      </c>
      <c r="G824" s="16"/>
      <c r="H824" s="16">
        <v>0.0</v>
      </c>
      <c r="I824" s="16">
        <v>0.08333333333333333</v>
      </c>
      <c r="J824" s="16">
        <v>0.4</v>
      </c>
      <c r="K824" s="4">
        <v>0.0</v>
      </c>
      <c r="M824" s="4" t="s">
        <v>32</v>
      </c>
    </row>
    <row r="825" ht="18.0" customHeight="1">
      <c r="A825" s="4" t="s">
        <v>63</v>
      </c>
      <c r="B825" s="4">
        <v>206.0</v>
      </c>
      <c r="C825" s="4" t="s">
        <v>169</v>
      </c>
      <c r="D825" s="4" t="s">
        <v>591</v>
      </c>
      <c r="E825" s="16">
        <v>1.8154457211494446E-4</v>
      </c>
      <c r="F825" s="16">
        <v>0.9999736410409241</v>
      </c>
      <c r="G825" s="16"/>
      <c r="H825" s="16">
        <v>1.0</v>
      </c>
      <c r="I825" s="16">
        <v>0.5</v>
      </c>
      <c r="J825" s="16">
        <v>0.5121951219512195</v>
      </c>
      <c r="K825" s="4">
        <v>0.0</v>
      </c>
      <c r="M825" s="4" t="s">
        <v>32</v>
      </c>
    </row>
    <row r="826" ht="18.0" customHeight="1">
      <c r="A826" s="4" t="s">
        <v>63</v>
      </c>
      <c r="B826" s="4">
        <v>207.0</v>
      </c>
      <c r="C826" s="4" t="s">
        <v>625</v>
      </c>
      <c r="D826" s="4" t="s">
        <v>159</v>
      </c>
      <c r="E826" s="16">
        <v>1.5263135719578713E-4</v>
      </c>
      <c r="F826" s="16">
        <v>0.9999811477191543</v>
      </c>
      <c r="G826" s="16"/>
      <c r="H826" s="16">
        <v>1.0</v>
      </c>
      <c r="I826" s="16">
        <v>0.625</v>
      </c>
      <c r="J826" s="16">
        <v>0.0</v>
      </c>
      <c r="K826" s="4">
        <v>0.0</v>
      </c>
      <c r="M826" s="4" t="s">
        <v>32</v>
      </c>
    </row>
    <row r="827" ht="18.0" customHeight="1">
      <c r="A827" s="4" t="s">
        <v>63</v>
      </c>
      <c r="B827" s="4">
        <v>208.0</v>
      </c>
      <c r="C827" s="4" t="s">
        <v>456</v>
      </c>
      <c r="D827" s="4" t="s">
        <v>637</v>
      </c>
      <c r="E827" s="16">
        <v>0.003831858281046152</v>
      </c>
      <c r="F827" s="16">
        <v>0.999189186579315</v>
      </c>
      <c r="G827" s="16"/>
      <c r="H827" s="16">
        <v>1.0</v>
      </c>
      <c r="I827" s="16">
        <v>0.7291666666666666</v>
      </c>
      <c r="J827" s="16">
        <v>0.875</v>
      </c>
      <c r="K827" s="4">
        <v>1.0</v>
      </c>
      <c r="L827" s="4">
        <v>0.0</v>
      </c>
      <c r="M827" s="4" t="s">
        <v>239</v>
      </c>
    </row>
    <row r="828" ht="18.0" customHeight="1">
      <c r="A828" s="4" t="s">
        <v>63</v>
      </c>
      <c r="B828" s="4">
        <v>209.0</v>
      </c>
      <c r="C828" s="4" t="s">
        <v>577</v>
      </c>
      <c r="D828" s="4" t="s">
        <v>461</v>
      </c>
      <c r="E828" s="16">
        <v>1.3444239812088199E-5</v>
      </c>
      <c r="F828" s="16">
        <v>0.9999992344206063</v>
      </c>
      <c r="G828" s="16"/>
      <c r="H828" s="16">
        <v>0.2727272727272727</v>
      </c>
      <c r="I828" s="16">
        <v>0.11666666666666665</v>
      </c>
      <c r="J828" s="16">
        <v>0.0</v>
      </c>
      <c r="K828" s="4">
        <v>0.0</v>
      </c>
      <c r="M828" s="4" t="s">
        <v>32</v>
      </c>
    </row>
    <row r="829" ht="18.0" customHeight="1">
      <c r="A829" s="4" t="s">
        <v>63</v>
      </c>
      <c r="B829" s="4">
        <v>210.0</v>
      </c>
      <c r="C829" s="4" t="s">
        <v>86</v>
      </c>
      <c r="D829" s="4" t="s">
        <v>412</v>
      </c>
      <c r="E829" s="16">
        <v>4.119444565731101E-5</v>
      </c>
      <c r="F829" s="16">
        <v>0.999996812609993</v>
      </c>
      <c r="G829" s="16"/>
      <c r="H829" s="16">
        <v>0.9090909090909091</v>
      </c>
      <c r="I829" s="16">
        <v>0.7083333333333334</v>
      </c>
      <c r="J829" s="16">
        <v>0.2933884297520661</v>
      </c>
      <c r="K829" s="4">
        <v>0.0</v>
      </c>
      <c r="M829" s="4" t="s">
        <v>32</v>
      </c>
    </row>
    <row r="830" ht="18.0" customHeight="1">
      <c r="A830" s="4" t="s">
        <v>63</v>
      </c>
      <c r="B830" s="4">
        <v>211.0</v>
      </c>
      <c r="C830" s="4" t="s">
        <v>159</v>
      </c>
      <c r="D830" s="4" t="s">
        <v>181</v>
      </c>
      <c r="E830" s="16">
        <v>2.030893119808752E-5</v>
      </c>
      <c r="F830" s="16">
        <v>0.9999984188135613</v>
      </c>
      <c r="G830" s="16"/>
      <c r="H830" s="16">
        <v>1.0</v>
      </c>
      <c r="I830" s="16">
        <v>0.7291666666666666</v>
      </c>
      <c r="J830" s="16">
        <v>0.0</v>
      </c>
      <c r="K830" s="4">
        <v>0.0</v>
      </c>
      <c r="M830" s="4" t="s">
        <v>32</v>
      </c>
    </row>
    <row r="831" ht="18.0" customHeight="1">
      <c r="A831" s="4" t="s">
        <v>63</v>
      </c>
      <c r="B831" s="4">
        <v>212.0</v>
      </c>
      <c r="C831" s="4" t="s">
        <v>181</v>
      </c>
      <c r="D831" s="4" t="s">
        <v>427</v>
      </c>
      <c r="E831" s="16">
        <v>1.9703450107044773E-6</v>
      </c>
      <c r="F831" s="16">
        <v>0.9999999484776403</v>
      </c>
      <c r="G831" s="16"/>
      <c r="H831" s="16">
        <v>1.0</v>
      </c>
      <c r="I831" s="16">
        <v>0.75</v>
      </c>
      <c r="J831" s="16">
        <v>0.4</v>
      </c>
      <c r="K831" s="4">
        <v>0.0</v>
      </c>
      <c r="M831" s="4" t="s">
        <v>32</v>
      </c>
    </row>
    <row r="832" ht="18.0" customHeight="1">
      <c r="A832" s="4" t="s">
        <v>63</v>
      </c>
      <c r="B832" s="4">
        <v>213.0</v>
      </c>
      <c r="C832" s="4" t="s">
        <v>169</v>
      </c>
      <c r="D832" s="4" t="s">
        <v>640</v>
      </c>
      <c r="E832" s="16">
        <v>4.171492764726281E-5</v>
      </c>
      <c r="F832" s="16">
        <v>0.9999968388134448</v>
      </c>
      <c r="G832" s="16"/>
      <c r="H832" s="16">
        <v>1.0</v>
      </c>
      <c r="I832" s="16">
        <v>0.7291666666666666</v>
      </c>
      <c r="J832" s="16">
        <v>0.6</v>
      </c>
      <c r="K832" s="4">
        <v>1.0</v>
      </c>
      <c r="L832" s="4">
        <v>0.0</v>
      </c>
      <c r="M832" s="4" t="s">
        <v>239</v>
      </c>
    </row>
    <row r="833" ht="18.0" customHeight="1">
      <c r="A833" s="4" t="s">
        <v>63</v>
      </c>
      <c r="B833" s="4">
        <v>214.0</v>
      </c>
      <c r="C833" s="4" t="s">
        <v>629</v>
      </c>
      <c r="D833" s="4" t="s">
        <v>159</v>
      </c>
      <c r="E833" s="16">
        <v>1.3877545825380366E-5</v>
      </c>
      <c r="F833" s="16">
        <v>0.9999989533101257</v>
      </c>
      <c r="G833" s="16"/>
      <c r="H833" s="16">
        <v>1.0</v>
      </c>
      <c r="I833" s="16">
        <v>0.6458333333333334</v>
      </c>
      <c r="J833" s="16">
        <v>0.0</v>
      </c>
      <c r="K833" s="4">
        <v>0.0</v>
      </c>
      <c r="M833" s="4" t="s">
        <v>32</v>
      </c>
    </row>
    <row r="834" ht="18.0" customHeight="1">
      <c r="A834" s="4" t="s">
        <v>63</v>
      </c>
      <c r="B834" s="4">
        <v>215.0</v>
      </c>
      <c r="C834" s="4" t="s">
        <v>456</v>
      </c>
      <c r="D834" s="4" t="s">
        <v>159</v>
      </c>
      <c r="E834" s="16">
        <v>3.3978401916101575E-5</v>
      </c>
      <c r="F834" s="16">
        <v>0.9999969895814615</v>
      </c>
      <c r="G834" s="16"/>
      <c r="H834" s="16">
        <v>1.0</v>
      </c>
      <c r="I834" s="16">
        <v>0.6041666666666666</v>
      </c>
      <c r="J834" s="16">
        <v>0.20098039215686275</v>
      </c>
      <c r="K834" s="4">
        <v>0.0</v>
      </c>
      <c r="M834" s="4" t="s">
        <v>32</v>
      </c>
    </row>
    <row r="835" ht="18.0" customHeight="1">
      <c r="A835" s="4" t="s">
        <v>63</v>
      </c>
      <c r="B835" s="4">
        <v>216.0</v>
      </c>
      <c r="C835" s="4" t="s">
        <v>577</v>
      </c>
      <c r="D835" s="4" t="s">
        <v>461</v>
      </c>
      <c r="E835" s="16">
        <v>1.978142790903803E-5</v>
      </c>
      <c r="F835" s="16">
        <v>0.999998761193666</v>
      </c>
      <c r="G835" s="16"/>
      <c r="H835" s="16">
        <v>0.0</v>
      </c>
      <c r="I835" s="16">
        <v>0.016666666666666666</v>
      </c>
      <c r="J835" s="16">
        <v>0.0</v>
      </c>
      <c r="K835" s="4">
        <v>0.0</v>
      </c>
      <c r="M835" s="4" t="s">
        <v>32</v>
      </c>
    </row>
    <row r="836" ht="18.0" customHeight="1">
      <c r="A836" s="4" t="s">
        <v>63</v>
      </c>
      <c r="B836" s="4">
        <v>217.0</v>
      </c>
      <c r="C836" s="4" t="s">
        <v>86</v>
      </c>
      <c r="D836" s="4" t="s">
        <v>630</v>
      </c>
      <c r="E836" s="16">
        <v>3.540747275110334E-5</v>
      </c>
      <c r="F836" s="16">
        <v>0.9999973131477873</v>
      </c>
      <c r="G836" s="16"/>
      <c r="H836" s="16">
        <v>0.0</v>
      </c>
      <c r="I836" s="16">
        <v>0.08333333333333333</v>
      </c>
      <c r="J836" s="16">
        <v>0.16666666666666663</v>
      </c>
      <c r="K836" s="4">
        <v>0.0</v>
      </c>
      <c r="M836" s="4" t="s">
        <v>32</v>
      </c>
    </row>
    <row r="837" ht="18.0" customHeight="1">
      <c r="A837" s="4" t="s">
        <v>63</v>
      </c>
      <c r="B837" s="4">
        <v>218.0</v>
      </c>
      <c r="C837" s="4" t="s">
        <v>159</v>
      </c>
      <c r="D837" s="4" t="s">
        <v>264</v>
      </c>
      <c r="E837" s="16">
        <v>4.4212232751306146E-5</v>
      </c>
      <c r="F837" s="16">
        <v>0.9999954439174417</v>
      </c>
      <c r="G837" s="16"/>
      <c r="H837" s="16">
        <v>1.0</v>
      </c>
      <c r="I837" s="16">
        <v>0.6875</v>
      </c>
      <c r="J837" s="16">
        <v>0.008264462809917356</v>
      </c>
      <c r="K837" s="4">
        <v>0.0</v>
      </c>
      <c r="M837" s="4" t="s">
        <v>32</v>
      </c>
    </row>
    <row r="838" ht="18.0" customHeight="1">
      <c r="A838" s="4" t="s">
        <v>63</v>
      </c>
      <c r="B838" s="4">
        <v>219.0</v>
      </c>
      <c r="C838" s="4" t="s">
        <v>160</v>
      </c>
      <c r="D838" s="4" t="s">
        <v>270</v>
      </c>
      <c r="E838" s="16">
        <v>8.095944394881371E-6</v>
      </c>
      <c r="F838" s="16">
        <v>0.9999992266721733</v>
      </c>
      <c r="G838" s="16"/>
      <c r="H838" s="16">
        <v>0.7272727272727273</v>
      </c>
      <c r="I838" s="16">
        <v>0.6875</v>
      </c>
      <c r="J838" s="16">
        <v>0.3677811550151976</v>
      </c>
      <c r="K838" s="4">
        <v>0.0</v>
      </c>
      <c r="M838" s="4" t="s">
        <v>32</v>
      </c>
    </row>
    <row r="839" ht="18.0" customHeight="1">
      <c r="A839" s="4" t="s">
        <v>63</v>
      </c>
      <c r="B839" s="4">
        <v>220.0</v>
      </c>
      <c r="C839" s="4" t="s">
        <v>169</v>
      </c>
      <c r="D839" s="4" t="s">
        <v>591</v>
      </c>
      <c r="E839" s="16">
        <v>1.9326680558151565E-5</v>
      </c>
      <c r="F839" s="16">
        <v>0.9999985380228509</v>
      </c>
      <c r="G839" s="16"/>
      <c r="H839" s="16">
        <v>1.0</v>
      </c>
      <c r="I839" s="16">
        <v>0.75</v>
      </c>
      <c r="J839" s="16">
        <v>0.007092198581560284</v>
      </c>
      <c r="K839" s="4">
        <v>0.0</v>
      </c>
      <c r="M839" s="4" t="s">
        <v>32</v>
      </c>
    </row>
    <row r="840" ht="18.0" customHeight="1">
      <c r="A840" s="4" t="s">
        <v>63</v>
      </c>
      <c r="B840" s="4">
        <v>221.0</v>
      </c>
      <c r="C840" s="4" t="s">
        <v>629</v>
      </c>
      <c r="D840" s="4" t="s">
        <v>159</v>
      </c>
      <c r="E840" s="16">
        <v>1.952410639205482E-5</v>
      </c>
      <c r="F840" s="16">
        <v>0.9999985858580089</v>
      </c>
      <c r="G840" s="16"/>
      <c r="H840" s="16">
        <v>1.0</v>
      </c>
      <c r="I840" s="16">
        <v>0.7083333333333334</v>
      </c>
      <c r="J840" s="16">
        <v>0.0</v>
      </c>
      <c r="K840" s="4">
        <v>0.0</v>
      </c>
      <c r="M840" s="4" t="s">
        <v>32</v>
      </c>
    </row>
    <row r="841" ht="18.0" customHeight="1">
      <c r="A841" s="4" t="s">
        <v>63</v>
      </c>
      <c r="B841" s="4">
        <v>222.0</v>
      </c>
      <c r="C841" s="4" t="s">
        <v>456</v>
      </c>
      <c r="D841" s="4" t="s">
        <v>264</v>
      </c>
      <c r="E841" s="16">
        <v>4.921282015857287E-5</v>
      </c>
      <c r="F841" s="16">
        <v>0.999995561361402</v>
      </c>
      <c r="G841" s="16"/>
      <c r="H841" s="16">
        <v>1.0</v>
      </c>
      <c r="I841" s="16">
        <v>0.7291666666666666</v>
      </c>
      <c r="J841" s="16">
        <v>0.007092198581560284</v>
      </c>
      <c r="K841" s="4">
        <v>0.0</v>
      </c>
      <c r="M841" s="4" t="s">
        <v>32</v>
      </c>
    </row>
    <row r="842" ht="18.0" customHeight="1">
      <c r="A842" s="4" t="s">
        <v>63</v>
      </c>
      <c r="B842" s="4">
        <v>223.0</v>
      </c>
      <c r="C842" s="4" t="s">
        <v>577</v>
      </c>
      <c r="D842" s="4" t="s">
        <v>461</v>
      </c>
      <c r="E842" s="16">
        <v>2.1095896954648197E-5</v>
      </c>
      <c r="F842" s="16">
        <v>0.9999987101993781</v>
      </c>
      <c r="G842" s="16"/>
      <c r="H842" s="16">
        <v>0.0</v>
      </c>
      <c r="I842" s="16">
        <v>0.016666666666666666</v>
      </c>
      <c r="J842" s="16">
        <v>0.0</v>
      </c>
      <c r="K842" s="4">
        <v>0.0</v>
      </c>
      <c r="M842" s="4" t="s">
        <v>32</v>
      </c>
    </row>
    <row r="843" ht="18.0" customHeight="1">
      <c r="A843" s="4" t="s">
        <v>63</v>
      </c>
      <c r="B843" s="4">
        <v>224.0</v>
      </c>
      <c r="C843" s="4" t="s">
        <v>86</v>
      </c>
      <c r="D843" s="4" t="s">
        <v>122</v>
      </c>
      <c r="E843" s="16">
        <v>1.0503127123229206E-4</v>
      </c>
      <c r="F843" s="16">
        <v>0.9999913757669674</v>
      </c>
      <c r="G843" s="16"/>
      <c r="H843" s="16">
        <v>1.0</v>
      </c>
      <c r="I843" s="16">
        <v>0.7291666666666666</v>
      </c>
      <c r="J843" s="16">
        <v>0.008264462809917356</v>
      </c>
      <c r="K843" s="4">
        <v>0.0</v>
      </c>
      <c r="M843" s="4" t="s">
        <v>32</v>
      </c>
    </row>
    <row r="844" ht="18.0" customHeight="1">
      <c r="A844" s="4" t="s">
        <v>63</v>
      </c>
      <c r="B844" s="4">
        <v>225.0</v>
      </c>
      <c r="C844" s="4" t="s">
        <v>159</v>
      </c>
      <c r="D844" s="4" t="s">
        <v>264</v>
      </c>
      <c r="E844" s="16">
        <v>9.585311636328697E-5</v>
      </c>
      <c r="F844" s="16">
        <v>0.999989044044014</v>
      </c>
      <c r="G844" s="16"/>
      <c r="H844" s="16">
        <v>1.0</v>
      </c>
      <c r="I844" s="16">
        <v>0.7708333333333334</v>
      </c>
      <c r="J844" s="16">
        <v>0.008264462809917356</v>
      </c>
      <c r="K844" s="4">
        <v>0.0</v>
      </c>
      <c r="M844" s="4" t="s">
        <v>32</v>
      </c>
    </row>
    <row r="845" ht="18.0" customHeight="1">
      <c r="A845" s="4" t="s">
        <v>63</v>
      </c>
      <c r="B845" s="4">
        <v>226.0</v>
      </c>
      <c r="C845" s="4" t="s">
        <v>270</v>
      </c>
      <c r="D845" s="4" t="s">
        <v>160</v>
      </c>
      <c r="E845" s="16">
        <v>3.374906737008132E-5</v>
      </c>
      <c r="F845" s="16">
        <v>0.9999974434056753</v>
      </c>
      <c r="G845" s="16"/>
      <c r="H845" s="16">
        <v>0.0</v>
      </c>
      <c r="I845" s="16">
        <v>0.08333333333333333</v>
      </c>
      <c r="J845" s="16">
        <v>0.33333333333333337</v>
      </c>
      <c r="K845" s="4">
        <v>0.0</v>
      </c>
      <c r="M845" s="4" t="s">
        <v>32</v>
      </c>
    </row>
    <row r="846" ht="18.0" customHeight="1">
      <c r="A846" s="4" t="s">
        <v>63</v>
      </c>
      <c r="B846" s="4">
        <v>227.0</v>
      </c>
      <c r="C846" s="4" t="s">
        <v>169</v>
      </c>
      <c r="D846" s="4" t="s">
        <v>591</v>
      </c>
      <c r="E846" s="16">
        <v>7.054476882331073E-4</v>
      </c>
      <c r="F846" s="16">
        <v>0.9998693471643492</v>
      </c>
      <c r="G846" s="16"/>
      <c r="H846" s="16">
        <v>0.8181818181818182</v>
      </c>
      <c r="I846" s="16">
        <v>0.5208333333333334</v>
      </c>
      <c r="J846" s="16">
        <v>0.33884297520661155</v>
      </c>
      <c r="K846" s="4">
        <v>0.0</v>
      </c>
      <c r="M846" s="4" t="s">
        <v>32</v>
      </c>
    </row>
    <row r="847" ht="18.0" customHeight="1">
      <c r="A847" s="4" t="s">
        <v>63</v>
      </c>
      <c r="B847" s="4">
        <v>228.0</v>
      </c>
      <c r="C847" s="4" t="s">
        <v>180</v>
      </c>
      <c r="D847" s="4" t="s">
        <v>1105</v>
      </c>
      <c r="E847" s="16">
        <v>1.6442306514363736E-4</v>
      </c>
      <c r="F847" s="16">
        <v>0.9999847332965146</v>
      </c>
      <c r="G847" s="16"/>
      <c r="H847" s="16">
        <v>0.0</v>
      </c>
      <c r="I847" s="16">
        <v>0.08333333333333333</v>
      </c>
      <c r="J847" s="16">
        <v>0.19999999999999996</v>
      </c>
      <c r="K847" s="4">
        <v>0.0</v>
      </c>
      <c r="M847" s="4" t="s">
        <v>32</v>
      </c>
    </row>
    <row r="848" ht="18.0" customHeight="1">
      <c r="A848" s="4" t="s">
        <v>63</v>
      </c>
      <c r="B848" s="4">
        <v>229.0</v>
      </c>
      <c r="C848" s="4" t="s">
        <v>86</v>
      </c>
      <c r="D848" s="4" t="s">
        <v>159</v>
      </c>
      <c r="E848" s="16">
        <v>3.7291579064913094E-4</v>
      </c>
      <c r="F848" s="16">
        <v>0.999955433058858</v>
      </c>
      <c r="G848" s="16"/>
      <c r="H848" s="16">
        <v>0.9090909090909091</v>
      </c>
      <c r="I848" s="16">
        <v>0.6041666666666666</v>
      </c>
      <c r="J848" s="16">
        <v>0.2004950495049505</v>
      </c>
      <c r="K848" s="4">
        <v>0.0</v>
      </c>
      <c r="M848" s="4" t="s">
        <v>32</v>
      </c>
    </row>
    <row r="849" ht="18.0" customHeight="1">
      <c r="A849" s="4" t="s">
        <v>63</v>
      </c>
      <c r="B849" s="4">
        <v>230.0</v>
      </c>
      <c r="C849" s="4" t="s">
        <v>634</v>
      </c>
      <c r="D849" s="4" t="s">
        <v>181</v>
      </c>
      <c r="E849" s="16">
        <v>2.500875598343555E-5</v>
      </c>
      <c r="F849" s="16">
        <v>0.9999981447856214</v>
      </c>
      <c r="G849" s="16"/>
      <c r="H849" s="16">
        <v>0.0</v>
      </c>
      <c r="I849" s="16">
        <v>0.08333333333333333</v>
      </c>
      <c r="J849" s="16">
        <v>0.33333333333333337</v>
      </c>
      <c r="K849" s="4">
        <v>0.0</v>
      </c>
      <c r="M849" s="4" t="s">
        <v>32</v>
      </c>
    </row>
    <row r="850" ht="18.0" customHeight="1">
      <c r="A850" s="4" t="s">
        <v>63</v>
      </c>
      <c r="B850" s="4">
        <v>231.0</v>
      </c>
      <c r="C850" s="4" t="s">
        <v>630</v>
      </c>
      <c r="D850" s="4" t="s">
        <v>577</v>
      </c>
      <c r="E850" s="16">
        <v>1.558465592097491E-4</v>
      </c>
      <c r="F850" s="16">
        <v>0.9999817224625076</v>
      </c>
      <c r="G850" s="16"/>
      <c r="H850" s="16">
        <v>0.9090909090909091</v>
      </c>
      <c r="I850" s="16">
        <v>0.6666666666666666</v>
      </c>
      <c r="J850" s="16">
        <v>0.0</v>
      </c>
      <c r="K850" s="4">
        <v>0.0</v>
      </c>
      <c r="M850" s="4" t="s">
        <v>32</v>
      </c>
    </row>
    <row r="851" ht="18.0" customHeight="1">
      <c r="A851" s="4" t="s">
        <v>63</v>
      </c>
      <c r="B851" s="4">
        <v>232.0</v>
      </c>
      <c r="C851" s="4" t="s">
        <v>159</v>
      </c>
      <c r="D851" s="4" t="s">
        <v>181</v>
      </c>
      <c r="E851" s="16">
        <v>2.9993960197316483E-5</v>
      </c>
      <c r="F851" s="16">
        <v>0.9999976268082378</v>
      </c>
      <c r="G851" s="16"/>
      <c r="H851" s="16">
        <v>0.9090909090909091</v>
      </c>
      <c r="I851" s="16">
        <v>0.7291666666666666</v>
      </c>
      <c r="J851" s="16">
        <v>0.0</v>
      </c>
      <c r="K851" s="4">
        <v>0.0</v>
      </c>
      <c r="M851" s="4" t="s">
        <v>32</v>
      </c>
    </row>
    <row r="852" ht="18.0" customHeight="1">
      <c r="A852" s="4" t="s">
        <v>63</v>
      </c>
      <c r="B852" s="4">
        <v>233.0</v>
      </c>
      <c r="C852" s="4" t="s">
        <v>181</v>
      </c>
      <c r="D852" s="4" t="s">
        <v>990</v>
      </c>
      <c r="E852" s="16">
        <v>8.588893251726404E-6</v>
      </c>
      <c r="F852" s="16">
        <v>0.9999995235112991</v>
      </c>
      <c r="G852" s="16"/>
      <c r="H852" s="16">
        <v>1.0</v>
      </c>
      <c r="I852" s="16">
        <v>0.875</v>
      </c>
      <c r="J852" s="16">
        <v>0.19999999999999996</v>
      </c>
      <c r="K852" s="4">
        <v>0.0</v>
      </c>
      <c r="M852" s="4" t="s">
        <v>32</v>
      </c>
    </row>
    <row r="853" ht="18.0" customHeight="1">
      <c r="A853" s="4" t="s">
        <v>63</v>
      </c>
      <c r="B853" s="4">
        <v>234.0</v>
      </c>
      <c r="C853" s="4" t="s">
        <v>181</v>
      </c>
      <c r="D853" s="4" t="s">
        <v>160</v>
      </c>
      <c r="E853" s="16">
        <v>4.077326229889877E-5</v>
      </c>
      <c r="F853" s="16">
        <v>0.9999966650785268</v>
      </c>
      <c r="G853" s="16"/>
      <c r="H853" s="16">
        <v>0.0</v>
      </c>
      <c r="I853" s="16">
        <v>0.08333333333333333</v>
      </c>
      <c r="J853" s="16">
        <v>0.0</v>
      </c>
      <c r="K853" s="4">
        <v>0.0</v>
      </c>
      <c r="M853" s="4" t="s">
        <v>32</v>
      </c>
    </row>
    <row r="854" ht="18.0" customHeight="1">
      <c r="A854" s="4" t="s">
        <v>63</v>
      </c>
      <c r="B854" s="4">
        <v>235.0</v>
      </c>
      <c r="C854" s="4" t="s">
        <v>577</v>
      </c>
      <c r="D854" s="4" t="s">
        <v>1103</v>
      </c>
      <c r="E854" s="16">
        <v>3.950025129597634E-4</v>
      </c>
      <c r="F854" s="16">
        <v>0.9999388078158518</v>
      </c>
      <c r="G854" s="16"/>
      <c r="H854" s="16">
        <v>0.0</v>
      </c>
      <c r="I854" s="16">
        <v>0.041666666666666664</v>
      </c>
      <c r="J854" s="16">
        <v>0.16666666666666663</v>
      </c>
      <c r="K854" s="4">
        <v>0.0</v>
      </c>
      <c r="M854" s="4" t="s">
        <v>32</v>
      </c>
    </row>
    <row r="855" ht="18.0" customHeight="1">
      <c r="A855" s="4" t="s">
        <v>63</v>
      </c>
      <c r="B855" s="4">
        <v>236.0</v>
      </c>
      <c r="C855" s="4" t="s">
        <v>86</v>
      </c>
      <c r="D855" s="4" t="s">
        <v>630</v>
      </c>
      <c r="E855" s="16">
        <v>1.06740219052881E-4</v>
      </c>
      <c r="F855" s="16">
        <v>0.9999888517377258</v>
      </c>
      <c r="G855" s="16"/>
      <c r="H855" s="16">
        <v>0.0</v>
      </c>
      <c r="I855" s="16">
        <v>0.08333333333333333</v>
      </c>
      <c r="J855" s="16">
        <v>0.19999999999999996</v>
      </c>
      <c r="K855" s="4">
        <v>0.0</v>
      </c>
      <c r="M855" s="4" t="s">
        <v>32</v>
      </c>
    </row>
    <row r="856" ht="18.0" customHeight="1">
      <c r="A856" s="4" t="s">
        <v>63</v>
      </c>
      <c r="B856" s="4">
        <v>237.0</v>
      </c>
      <c r="C856" s="4" t="s">
        <v>159</v>
      </c>
      <c r="D856" s="4" t="s">
        <v>634</v>
      </c>
      <c r="E856" s="16">
        <v>4.8001802497310564E-5</v>
      </c>
      <c r="F856" s="16">
        <v>0.9999957190860869</v>
      </c>
      <c r="G856" s="16"/>
      <c r="H856" s="16">
        <v>1.0</v>
      </c>
      <c r="I856" s="16">
        <v>0.6458333333333334</v>
      </c>
      <c r="J856" s="16">
        <v>0.19999999999999996</v>
      </c>
      <c r="K856" s="4">
        <v>0.0</v>
      </c>
      <c r="M856" s="4" t="s">
        <v>32</v>
      </c>
    </row>
    <row r="857" ht="18.0" customHeight="1">
      <c r="A857" s="4" t="s">
        <v>63</v>
      </c>
      <c r="B857" s="4">
        <v>238.0</v>
      </c>
      <c r="C857" s="4" t="s">
        <v>634</v>
      </c>
      <c r="D857" s="4" t="s">
        <v>181</v>
      </c>
      <c r="E857" s="16">
        <v>2.1355546778067946E-4</v>
      </c>
      <c r="F857" s="16">
        <v>0.99996930629095</v>
      </c>
      <c r="G857" s="16"/>
      <c r="H857" s="16">
        <v>1.0</v>
      </c>
      <c r="I857" s="16">
        <v>0.7083333333333334</v>
      </c>
      <c r="J857" s="16">
        <v>0.16694214876033053</v>
      </c>
      <c r="K857" s="4">
        <v>0.0</v>
      </c>
      <c r="M857" s="4" t="s">
        <v>32</v>
      </c>
    </row>
    <row r="858" ht="18.0" customHeight="1">
      <c r="A858" s="4" t="s">
        <v>63</v>
      </c>
      <c r="B858" s="4">
        <v>239.0</v>
      </c>
      <c r="C858" s="4" t="s">
        <v>577</v>
      </c>
      <c r="D858" s="4" t="s">
        <v>1103</v>
      </c>
      <c r="E858" s="16">
        <v>1.9068608526140451E-4</v>
      </c>
      <c r="F858" s="16">
        <v>0.9999771619504827</v>
      </c>
      <c r="G858" s="16"/>
      <c r="H858" s="16">
        <v>0.0</v>
      </c>
      <c r="I858" s="16">
        <v>0.041666666666666664</v>
      </c>
      <c r="J858" s="16">
        <v>0.19999999999999996</v>
      </c>
      <c r="K858" s="4">
        <v>0.0</v>
      </c>
      <c r="M858" s="4" t="s">
        <v>32</v>
      </c>
    </row>
    <row r="859" ht="18.0" customHeight="1">
      <c r="A859" s="4" t="s">
        <v>63</v>
      </c>
      <c r="B859" s="4">
        <v>240.0</v>
      </c>
      <c r="C859" s="4" t="s">
        <v>632</v>
      </c>
      <c r="D859" s="4" t="s">
        <v>244</v>
      </c>
      <c r="E859" s="16">
        <v>2.3235261323861778E-4</v>
      </c>
      <c r="F859" s="16">
        <v>0.9999708187287979</v>
      </c>
      <c r="G859" s="16"/>
      <c r="H859" s="16">
        <v>0.09090909090909091</v>
      </c>
      <c r="I859" s="16">
        <v>0.16666666666666666</v>
      </c>
      <c r="J859" s="16">
        <v>0.33333333333333337</v>
      </c>
      <c r="K859" s="4">
        <v>0.0</v>
      </c>
      <c r="M859" s="4" t="s">
        <v>32</v>
      </c>
    </row>
    <row r="860" ht="18.0" customHeight="1">
      <c r="A860" s="4" t="s">
        <v>63</v>
      </c>
      <c r="B860" s="4">
        <v>241.0</v>
      </c>
      <c r="C860" s="4" t="s">
        <v>160</v>
      </c>
      <c r="D860" s="4" t="s">
        <v>270</v>
      </c>
      <c r="E860" s="16">
        <v>6.805734301451594E-5</v>
      </c>
      <c r="F860" s="16">
        <v>0.9999919691970263</v>
      </c>
      <c r="G860" s="16"/>
      <c r="H860" s="16">
        <v>0.0</v>
      </c>
      <c r="I860" s="16">
        <v>0.08333333333333333</v>
      </c>
      <c r="J860" s="16">
        <v>0.19999999999999996</v>
      </c>
      <c r="K860" s="4">
        <v>0.0</v>
      </c>
      <c r="M860" s="4" t="s">
        <v>32</v>
      </c>
    </row>
    <row r="861" ht="18.0" customHeight="1">
      <c r="A861" s="4" t="s">
        <v>63</v>
      </c>
      <c r="B861" s="4">
        <v>242.0</v>
      </c>
      <c r="C861" s="4" t="s">
        <v>630</v>
      </c>
      <c r="D861" s="4" t="s">
        <v>122</v>
      </c>
      <c r="E861" s="16">
        <v>7.291346264537424E-5</v>
      </c>
      <c r="F861" s="16">
        <v>0.9999937851607683</v>
      </c>
      <c r="G861" s="16"/>
      <c r="H861" s="16">
        <v>1.0</v>
      </c>
      <c r="I861" s="16">
        <v>0.2916666666666667</v>
      </c>
      <c r="J861" s="16">
        <v>0.20740740740740746</v>
      </c>
      <c r="K861" s="4">
        <v>0.0</v>
      </c>
      <c r="M861" s="4" t="s">
        <v>32</v>
      </c>
    </row>
    <row r="862" ht="18.0" customHeight="1">
      <c r="A862" s="4" t="s">
        <v>63</v>
      </c>
      <c r="B862" s="4">
        <v>243.0</v>
      </c>
      <c r="C862" s="4" t="s">
        <v>461</v>
      </c>
      <c r="D862" s="4" t="s">
        <v>159</v>
      </c>
      <c r="E862" s="16">
        <v>9.661865624366328E-5</v>
      </c>
      <c r="F862" s="16">
        <v>0.9999875186567806</v>
      </c>
      <c r="G862" s="16"/>
      <c r="H862" s="16">
        <v>1.0</v>
      </c>
      <c r="I862" s="16">
        <v>0.3958333333333333</v>
      </c>
      <c r="J862" s="16">
        <v>0.0</v>
      </c>
      <c r="K862" s="4">
        <v>0.0</v>
      </c>
      <c r="M862" s="4" t="s">
        <v>32</v>
      </c>
    </row>
    <row r="863" ht="18.0" customHeight="1">
      <c r="A863" s="4" t="s">
        <v>63</v>
      </c>
      <c r="B863" s="4">
        <v>244.0</v>
      </c>
      <c r="C863" s="4" t="s">
        <v>632</v>
      </c>
      <c r="D863" s="4" t="s">
        <v>244</v>
      </c>
      <c r="E863" s="16">
        <v>2.1655219825333916E-5</v>
      </c>
      <c r="F863" s="16">
        <v>0.9999980047015811</v>
      </c>
      <c r="G863" s="16"/>
      <c r="H863" s="16">
        <v>0.0</v>
      </c>
      <c r="I863" s="16">
        <v>0.08333333333333333</v>
      </c>
      <c r="J863" s="16">
        <v>0.5</v>
      </c>
      <c r="K863" s="4">
        <v>0.0</v>
      </c>
      <c r="M863" s="4" t="s">
        <v>32</v>
      </c>
    </row>
    <row r="864" ht="18.0" customHeight="1">
      <c r="A864" s="4" t="s">
        <v>65</v>
      </c>
      <c r="B864" s="4">
        <v>2.0</v>
      </c>
      <c r="C864" s="4" t="s">
        <v>682</v>
      </c>
      <c r="D864" s="4" t="s">
        <v>1106</v>
      </c>
      <c r="E864" s="16">
        <v>6.128212553448975E-4</v>
      </c>
      <c r="F864" s="16">
        <v>0.9999209191773843</v>
      </c>
      <c r="G864" s="16"/>
      <c r="H864" s="16">
        <v>0.5454545454545454</v>
      </c>
      <c r="I864" s="16">
        <v>0.20833333333333334</v>
      </c>
      <c r="J864" s="16">
        <v>1.0</v>
      </c>
      <c r="K864" s="4">
        <v>0.0</v>
      </c>
      <c r="M864" s="4" t="s">
        <v>32</v>
      </c>
    </row>
    <row r="865" ht="18.0" customHeight="1">
      <c r="A865" s="4" t="s">
        <v>65</v>
      </c>
      <c r="B865" s="4">
        <v>3.0</v>
      </c>
      <c r="C865" s="4" t="s">
        <v>1107</v>
      </c>
      <c r="D865" s="4" t="s">
        <v>156</v>
      </c>
      <c r="E865" s="16">
        <v>0.016814425587654114</v>
      </c>
      <c r="F865" s="16">
        <v>0.9953821522649378</v>
      </c>
      <c r="G865" s="16"/>
      <c r="H865" s="16">
        <v>1.0</v>
      </c>
      <c r="I865" s="16">
        <v>0.4916666666666667</v>
      </c>
      <c r="J865" s="16">
        <v>1.0</v>
      </c>
      <c r="K865" s="4">
        <v>0.0</v>
      </c>
      <c r="M865" s="4" t="s">
        <v>32</v>
      </c>
    </row>
    <row r="866" ht="18.0" customHeight="1">
      <c r="A866" s="4" t="s">
        <v>65</v>
      </c>
      <c r="B866" s="4">
        <v>4.0</v>
      </c>
      <c r="C866" s="4" t="s">
        <v>258</v>
      </c>
      <c r="D866" s="4" t="s">
        <v>139</v>
      </c>
      <c r="E866" s="16">
        <v>0.12952448427677155</v>
      </c>
      <c r="F866" s="16">
        <v>0.9482374787330627</v>
      </c>
      <c r="G866" s="16"/>
      <c r="H866" s="16">
        <v>1.0</v>
      </c>
      <c r="I866" s="16">
        <v>0.4666666666666666</v>
      </c>
      <c r="J866" s="16">
        <v>1.0</v>
      </c>
      <c r="K866" s="4">
        <v>0.0</v>
      </c>
      <c r="M866" s="4" t="s">
        <v>32</v>
      </c>
    </row>
    <row r="867" ht="18.0" customHeight="1">
      <c r="A867" s="4" t="s">
        <v>65</v>
      </c>
      <c r="B867" s="4">
        <v>5.0</v>
      </c>
      <c r="C867" s="4" t="s">
        <v>806</v>
      </c>
      <c r="D867" s="4" t="s">
        <v>1036</v>
      </c>
      <c r="E867" s="16">
        <v>0.003203238593414426</v>
      </c>
      <c r="F867" s="16">
        <v>0.9993240860057995</v>
      </c>
      <c r="G867" s="16"/>
      <c r="H867" s="16">
        <v>1.0</v>
      </c>
      <c r="I867" s="16">
        <v>0.37500000000000006</v>
      </c>
      <c r="J867" s="16">
        <v>1.0</v>
      </c>
      <c r="K867" s="4">
        <v>0.0</v>
      </c>
      <c r="M867" s="4" t="s">
        <v>32</v>
      </c>
    </row>
    <row r="868" ht="18.0" customHeight="1">
      <c r="A868" s="4" t="s">
        <v>65</v>
      </c>
      <c r="B868" s="4">
        <v>6.0</v>
      </c>
      <c r="C868" s="4" t="s">
        <v>139</v>
      </c>
      <c r="D868" s="4" t="s">
        <v>169</v>
      </c>
      <c r="E868" s="16">
        <v>0.2896448075771332</v>
      </c>
      <c r="F868" s="16">
        <v>0.8401542156934738</v>
      </c>
      <c r="G868" s="16"/>
      <c r="H868" s="16">
        <v>1.0</v>
      </c>
      <c r="I868" s="16">
        <v>0.4000000000000001</v>
      </c>
      <c r="J868" s="16">
        <v>1.0</v>
      </c>
      <c r="K868" s="4">
        <v>1.0</v>
      </c>
      <c r="L868" s="4">
        <v>1.0</v>
      </c>
      <c r="M868" s="4" t="s">
        <v>486</v>
      </c>
    </row>
    <row r="869" ht="18.0" customHeight="1">
      <c r="A869" s="4" t="s">
        <v>65</v>
      </c>
      <c r="B869" s="4">
        <v>7.0</v>
      </c>
      <c r="C869" s="4" t="s">
        <v>232</v>
      </c>
      <c r="D869" s="4" t="s">
        <v>159</v>
      </c>
      <c r="E869" s="16">
        <v>0.0018183162901550531</v>
      </c>
      <c r="F869" s="16">
        <v>0.9997415778125287</v>
      </c>
      <c r="G869" s="16"/>
      <c r="H869" s="16">
        <v>1.0</v>
      </c>
      <c r="I869" s="16">
        <v>0.55</v>
      </c>
      <c r="J869" s="16">
        <v>1.0</v>
      </c>
      <c r="K869" s="4">
        <v>1.0</v>
      </c>
      <c r="L869" s="4">
        <v>0.0</v>
      </c>
      <c r="M869" s="4" t="s">
        <v>239</v>
      </c>
    </row>
    <row r="870" ht="18.0" customHeight="1">
      <c r="A870" s="4" t="s">
        <v>65</v>
      </c>
      <c r="B870" s="4">
        <v>8.0</v>
      </c>
      <c r="C870" s="4" t="s">
        <v>111</v>
      </c>
      <c r="D870" s="4" t="s">
        <v>684</v>
      </c>
      <c r="E870" s="16">
        <v>1.9025365114212036</v>
      </c>
      <c r="F870" s="16">
        <v>0.03742116689682007</v>
      </c>
      <c r="G870" s="16"/>
      <c r="H870" s="16">
        <v>1.0</v>
      </c>
      <c r="I870" s="16">
        <v>0.5166666666666667</v>
      </c>
      <c r="J870" s="16">
        <v>1.0</v>
      </c>
      <c r="K870" s="4">
        <v>1.0</v>
      </c>
      <c r="L870" s="4">
        <v>1.0</v>
      </c>
      <c r="M870" s="4" t="s">
        <v>486</v>
      </c>
    </row>
    <row r="871" ht="18.0" customHeight="1">
      <c r="A871" s="4" t="s">
        <v>65</v>
      </c>
      <c r="B871" s="4">
        <v>9.0</v>
      </c>
      <c r="C871" s="4" t="s">
        <v>1108</v>
      </c>
      <c r="D871" s="4" t="s">
        <v>1109</v>
      </c>
      <c r="E871" s="16">
        <v>0.05752700939774513</v>
      </c>
      <c r="F871" s="16">
        <v>0.9877509186044335</v>
      </c>
      <c r="G871" s="16"/>
      <c r="H871" s="16">
        <v>1.0</v>
      </c>
      <c r="I871" s="16">
        <v>0.34166666666666673</v>
      </c>
      <c r="J871" s="16">
        <v>1.0</v>
      </c>
      <c r="K871" s="4">
        <v>0.0</v>
      </c>
      <c r="M871" s="4" t="s">
        <v>32</v>
      </c>
    </row>
    <row r="872" ht="18.0" customHeight="1">
      <c r="A872" s="4" t="s">
        <v>65</v>
      </c>
      <c r="B872" s="4">
        <v>10.0</v>
      </c>
      <c r="C872" s="4" t="s">
        <v>1110</v>
      </c>
      <c r="D872" s="4" t="s">
        <v>122</v>
      </c>
      <c r="E872" s="16">
        <v>6.379927799571306E-5</v>
      </c>
      <c r="F872" s="16">
        <v>0.9999954285406716</v>
      </c>
      <c r="G872" s="16"/>
      <c r="H872" s="16">
        <v>1.0</v>
      </c>
      <c r="I872" s="16">
        <v>0.5208333333333334</v>
      </c>
      <c r="J872" s="16">
        <v>0.3548387096774193</v>
      </c>
      <c r="K872" s="4">
        <v>0.0</v>
      </c>
      <c r="M872" s="4" t="s">
        <v>32</v>
      </c>
    </row>
    <row r="873" ht="18.0" customHeight="1">
      <c r="A873" s="4" t="s">
        <v>65</v>
      </c>
      <c r="B873" s="4">
        <v>11.0</v>
      </c>
      <c r="C873" s="4" t="s">
        <v>752</v>
      </c>
      <c r="D873" s="4" t="s">
        <v>1111</v>
      </c>
      <c r="E873" s="16">
        <v>4.89878817461431E-4</v>
      </c>
      <c r="F873" s="16">
        <v>0.9999423321969516</v>
      </c>
      <c r="G873" s="16"/>
      <c r="H873" s="16">
        <v>1.0</v>
      </c>
      <c r="I873" s="16">
        <v>0.3666666666666667</v>
      </c>
      <c r="J873" s="16">
        <v>1.0</v>
      </c>
      <c r="K873" s="4">
        <v>0.0</v>
      </c>
      <c r="M873" s="4" t="s">
        <v>32</v>
      </c>
    </row>
    <row r="874" ht="18.0" customHeight="1">
      <c r="A874" s="4" t="s">
        <v>65</v>
      </c>
      <c r="B874" s="4">
        <v>12.0</v>
      </c>
      <c r="C874" s="4" t="s">
        <v>314</v>
      </c>
      <c r="D874" s="4" t="s">
        <v>264</v>
      </c>
      <c r="E874" s="16">
        <v>5.8702556998468935E-5</v>
      </c>
      <c r="F874" s="16">
        <v>0.9999950949472804</v>
      </c>
      <c r="G874" s="16"/>
      <c r="H874" s="16">
        <v>1.0</v>
      </c>
      <c r="I874" s="16">
        <v>0.3375000000000001</v>
      </c>
      <c r="J874" s="16">
        <v>1.0</v>
      </c>
      <c r="K874" s="4">
        <v>0.0</v>
      </c>
      <c r="M874" s="4" t="s">
        <v>32</v>
      </c>
    </row>
    <row r="875" ht="18.0" customHeight="1">
      <c r="A875" s="4" t="s">
        <v>65</v>
      </c>
      <c r="B875" s="4">
        <v>13.0</v>
      </c>
      <c r="C875" s="4" t="s">
        <v>806</v>
      </c>
      <c r="D875" s="4" t="s">
        <v>264</v>
      </c>
      <c r="E875" s="16">
        <v>1.002217031782493E-4</v>
      </c>
      <c r="F875" s="16">
        <v>0.9999917181125966</v>
      </c>
      <c r="G875" s="16"/>
      <c r="H875" s="16">
        <v>1.0</v>
      </c>
      <c r="I875" s="16">
        <v>0.4791666666666667</v>
      </c>
      <c r="J875" s="16">
        <v>0.31034482758620696</v>
      </c>
      <c r="K875" s="4">
        <v>0.0</v>
      </c>
      <c r="M875" s="4" t="s">
        <v>32</v>
      </c>
    </row>
    <row r="876" ht="18.0" customHeight="1">
      <c r="A876" s="4" t="s">
        <v>65</v>
      </c>
      <c r="B876" s="4">
        <v>14.0</v>
      </c>
      <c r="C876" s="4" t="s">
        <v>657</v>
      </c>
      <c r="D876" s="4" t="s">
        <v>1112</v>
      </c>
      <c r="E876" s="16">
        <v>0.005067105405032635</v>
      </c>
      <c r="F876" s="16">
        <v>0.9990272203285713</v>
      </c>
      <c r="G876" s="16"/>
      <c r="H876" s="16">
        <v>1.0</v>
      </c>
      <c r="I876" s="16">
        <v>0.4416666666666667</v>
      </c>
      <c r="J876" s="16">
        <v>0.0</v>
      </c>
      <c r="K876" s="4">
        <v>0.0</v>
      </c>
      <c r="M876" s="4" t="s">
        <v>32</v>
      </c>
    </row>
    <row r="877" ht="18.0" customHeight="1">
      <c r="A877" s="4" t="s">
        <v>65</v>
      </c>
      <c r="B877" s="4">
        <v>15.0</v>
      </c>
      <c r="C877" s="4" t="s">
        <v>467</v>
      </c>
      <c r="D877" s="4" t="s">
        <v>264</v>
      </c>
      <c r="E877" s="16">
        <v>1.6319970018230379E-4</v>
      </c>
      <c r="F877" s="16">
        <v>0.9999841329727133</v>
      </c>
      <c r="G877" s="16"/>
      <c r="H877" s="16">
        <v>1.0</v>
      </c>
      <c r="I877" s="16">
        <v>0.3416666666666666</v>
      </c>
      <c r="J877" s="16">
        <v>0.0</v>
      </c>
      <c r="K877" s="4">
        <v>0.0</v>
      </c>
      <c r="M877" s="4" t="s">
        <v>32</v>
      </c>
    </row>
    <row r="878" ht="18.0" customHeight="1">
      <c r="A878" s="4" t="s">
        <v>65</v>
      </c>
      <c r="B878" s="4">
        <v>16.0</v>
      </c>
      <c r="C878" s="4" t="s">
        <v>753</v>
      </c>
      <c r="D878" s="4" t="s">
        <v>122</v>
      </c>
      <c r="E878" s="16">
        <v>3.073785046581179E-4</v>
      </c>
      <c r="F878" s="16">
        <v>0.9999723815844845</v>
      </c>
      <c r="G878" s="16"/>
      <c r="H878" s="16">
        <v>0.7272727272727273</v>
      </c>
      <c r="I878" s="16">
        <v>0.21666666666666665</v>
      </c>
      <c r="J878" s="16">
        <v>0.0</v>
      </c>
      <c r="K878" s="4">
        <v>0.0</v>
      </c>
      <c r="M878" s="4" t="s">
        <v>32</v>
      </c>
    </row>
    <row r="879" ht="18.0" customHeight="1">
      <c r="A879" s="4" t="s">
        <v>65</v>
      </c>
      <c r="B879" s="4">
        <v>17.0</v>
      </c>
      <c r="C879" s="4" t="s">
        <v>314</v>
      </c>
      <c r="D879" s="4" t="s">
        <v>122</v>
      </c>
      <c r="E879" s="16">
        <v>1.52980734128505E-4</v>
      </c>
      <c r="F879" s="16">
        <v>0.999984784119988</v>
      </c>
      <c r="G879" s="16"/>
      <c r="H879" s="16">
        <v>0.6363636363636364</v>
      </c>
      <c r="I879" s="16">
        <v>0.19999999999999998</v>
      </c>
      <c r="J879" s="16">
        <v>0.0</v>
      </c>
      <c r="K879" s="4">
        <v>0.0</v>
      </c>
      <c r="M879" s="4" t="s">
        <v>32</v>
      </c>
    </row>
    <row r="880" ht="18.0" customHeight="1">
      <c r="A880" s="4" t="s">
        <v>65</v>
      </c>
      <c r="B880" s="4">
        <v>18.0</v>
      </c>
      <c r="C880" s="4" t="s">
        <v>806</v>
      </c>
      <c r="D880" s="4" t="s">
        <v>1113</v>
      </c>
      <c r="E880" s="16">
        <v>0.0012798950774595141</v>
      </c>
      <c r="F880" s="16">
        <v>0.9997837259361404</v>
      </c>
      <c r="G880" s="16"/>
      <c r="H880" s="16">
        <v>1.0</v>
      </c>
      <c r="I880" s="16">
        <v>0.39999999999999997</v>
      </c>
      <c r="J880" s="16">
        <v>0.0</v>
      </c>
      <c r="K880" s="4">
        <v>0.0</v>
      </c>
      <c r="M880" s="4" t="s">
        <v>32</v>
      </c>
    </row>
    <row r="881" ht="18.0" customHeight="1">
      <c r="A881" s="4" t="s">
        <v>65</v>
      </c>
      <c r="B881" s="4">
        <v>19.0</v>
      </c>
      <c r="C881" s="4" t="s">
        <v>657</v>
      </c>
      <c r="D881" s="4" t="s">
        <v>1114</v>
      </c>
      <c r="E881" s="16">
        <v>3.667317796498537E-4</v>
      </c>
      <c r="F881" s="16">
        <v>0.9999713567735853</v>
      </c>
      <c r="G881" s="16"/>
      <c r="H881" s="16">
        <v>1.0</v>
      </c>
      <c r="I881" s="16">
        <v>0.44166666666666665</v>
      </c>
      <c r="J881" s="16">
        <v>0.5</v>
      </c>
      <c r="K881" s="4">
        <v>0.0</v>
      </c>
      <c r="M881" s="4" t="s">
        <v>32</v>
      </c>
    </row>
    <row r="882" ht="18.0" customHeight="1">
      <c r="A882" s="4" t="s">
        <v>65</v>
      </c>
      <c r="B882" s="4">
        <v>20.0</v>
      </c>
      <c r="C882" s="4" t="s">
        <v>1009</v>
      </c>
      <c r="D882" s="4" t="s">
        <v>1115</v>
      </c>
      <c r="E882" s="16">
        <v>0.0012456330005079508</v>
      </c>
      <c r="F882" s="16">
        <v>0.9998401994889718</v>
      </c>
      <c r="G882" s="16"/>
      <c r="H882" s="16">
        <v>0.09090909090909091</v>
      </c>
      <c r="I882" s="16">
        <v>0.08333333333333333</v>
      </c>
      <c r="J882" s="16">
        <v>0.0</v>
      </c>
      <c r="K882" s="4">
        <v>0.0</v>
      </c>
      <c r="M882" s="4" t="s">
        <v>32</v>
      </c>
    </row>
    <row r="883" ht="18.0" customHeight="1">
      <c r="A883" s="4" t="s">
        <v>65</v>
      </c>
      <c r="B883" s="4">
        <v>21.0</v>
      </c>
      <c r="C883" s="4" t="s">
        <v>1074</v>
      </c>
      <c r="D883" s="4" t="s">
        <v>1075</v>
      </c>
      <c r="E883" s="16">
        <v>5.721734487451613E-5</v>
      </c>
      <c r="F883" s="16">
        <v>0.9999949413667082</v>
      </c>
      <c r="G883" s="16"/>
      <c r="H883" s="16">
        <v>0.0</v>
      </c>
      <c r="I883" s="16">
        <v>0.016666666666666666</v>
      </c>
      <c r="J883" s="16">
        <v>0.0</v>
      </c>
      <c r="K883" s="4">
        <v>0.0</v>
      </c>
      <c r="M883" s="4" t="s">
        <v>32</v>
      </c>
    </row>
    <row r="884" ht="18.0" customHeight="1">
      <c r="A884" s="4" t="s">
        <v>65</v>
      </c>
      <c r="B884" s="4">
        <v>22.0</v>
      </c>
      <c r="C884" s="4" t="s">
        <v>301</v>
      </c>
      <c r="D884" s="4" t="s">
        <v>122</v>
      </c>
      <c r="E884" s="16">
        <v>3.1275994842872024E-4</v>
      </c>
      <c r="F884" s="16">
        <v>0.9999573068325844</v>
      </c>
      <c r="G884" s="16"/>
      <c r="H884" s="16">
        <v>1.0</v>
      </c>
      <c r="I884" s="16">
        <v>0.4833333333333334</v>
      </c>
      <c r="J884" s="16">
        <v>0.0</v>
      </c>
      <c r="K884" s="4">
        <v>1.0</v>
      </c>
      <c r="L884" s="4">
        <v>0.0</v>
      </c>
      <c r="M884" s="4" t="s">
        <v>239</v>
      </c>
    </row>
    <row r="885" ht="18.0" customHeight="1">
      <c r="A885" s="4" t="s">
        <v>65</v>
      </c>
      <c r="B885" s="4">
        <v>23.0</v>
      </c>
      <c r="C885" s="4" t="s">
        <v>122</v>
      </c>
      <c r="D885" s="4" t="s">
        <v>657</v>
      </c>
      <c r="E885" s="16">
        <v>0.031348105520009995</v>
      </c>
      <c r="F885" s="16">
        <v>0.9906228515319526</v>
      </c>
      <c r="G885" s="16"/>
      <c r="H885" s="16">
        <v>1.0</v>
      </c>
      <c r="I885" s="16">
        <v>0.5000000000000001</v>
      </c>
      <c r="J885" s="16">
        <v>0.0</v>
      </c>
      <c r="K885" s="4">
        <v>0.0</v>
      </c>
      <c r="M885" s="4" t="s">
        <v>32</v>
      </c>
    </row>
    <row r="886" ht="18.0" customHeight="1">
      <c r="A886" s="4" t="s">
        <v>65</v>
      </c>
      <c r="B886" s="4">
        <v>24.0</v>
      </c>
      <c r="C886" s="4" t="s">
        <v>232</v>
      </c>
      <c r="D886" s="4" t="s">
        <v>326</v>
      </c>
      <c r="E886" s="16">
        <v>8.860110538080335E-4</v>
      </c>
      <c r="F886" s="16">
        <v>0.999886648991378</v>
      </c>
      <c r="G886" s="16"/>
      <c r="H886" s="16">
        <v>0.0</v>
      </c>
      <c r="I886" s="16">
        <v>0.0</v>
      </c>
      <c r="J886" s="16">
        <v>0.0</v>
      </c>
      <c r="K886" s="4">
        <v>0.0</v>
      </c>
      <c r="M886" s="4" t="s">
        <v>32</v>
      </c>
    </row>
    <row r="887" ht="18.0" customHeight="1">
      <c r="A887" s="4" t="s">
        <v>65</v>
      </c>
      <c r="B887" s="4">
        <v>25.0</v>
      </c>
      <c r="C887" s="4" t="s">
        <v>657</v>
      </c>
      <c r="D887" s="4" t="s">
        <v>87</v>
      </c>
      <c r="E887" s="16">
        <v>2.1773038315586746E-4</v>
      </c>
      <c r="F887" s="16">
        <v>0.9999793821675667</v>
      </c>
      <c r="G887" s="16"/>
      <c r="H887" s="16">
        <v>1.0</v>
      </c>
      <c r="I887" s="16">
        <v>0.5916666666666667</v>
      </c>
      <c r="J887" s="16">
        <v>0.8</v>
      </c>
      <c r="K887" s="4">
        <v>0.0</v>
      </c>
      <c r="M887" s="4" t="s">
        <v>32</v>
      </c>
    </row>
    <row r="888" ht="18.0" customHeight="1">
      <c r="A888" s="4" t="s">
        <v>65</v>
      </c>
      <c r="B888" s="4">
        <v>26.0</v>
      </c>
      <c r="C888" s="4" t="s">
        <v>1009</v>
      </c>
      <c r="D888" s="4" t="s">
        <v>1115</v>
      </c>
      <c r="E888" s="16">
        <v>1.4407536946237087E-4</v>
      </c>
      <c r="F888" s="16">
        <v>0.9999781782016726</v>
      </c>
      <c r="G888" s="16"/>
      <c r="H888" s="16">
        <v>0.0</v>
      </c>
      <c r="I888" s="16">
        <v>0.041666666666666664</v>
      </c>
      <c r="J888" s="16">
        <v>0.0</v>
      </c>
      <c r="K888" s="4">
        <v>0.0</v>
      </c>
      <c r="M888" s="4" t="s">
        <v>32</v>
      </c>
    </row>
    <row r="889" ht="18.0" customHeight="1">
      <c r="A889" s="4" t="s">
        <v>65</v>
      </c>
      <c r="B889" s="4">
        <v>27.0</v>
      </c>
      <c r="C889" s="4" t="s">
        <v>83</v>
      </c>
      <c r="D889" s="4" t="s">
        <v>1116</v>
      </c>
      <c r="E889" s="16">
        <v>6.070771996746771E-5</v>
      </c>
      <c r="F889" s="16">
        <v>0.9999955724767347</v>
      </c>
      <c r="G889" s="16"/>
      <c r="H889" s="16">
        <v>1.0</v>
      </c>
      <c r="I889" s="16">
        <v>0.5333333333333333</v>
      </c>
      <c r="J889" s="16">
        <v>0.2394366197183099</v>
      </c>
      <c r="K889" s="4">
        <v>0.0</v>
      </c>
      <c r="M889" s="4" t="s">
        <v>32</v>
      </c>
    </row>
    <row r="890" ht="18.0" customHeight="1">
      <c r="A890" s="4" t="s">
        <v>65</v>
      </c>
      <c r="B890" s="4">
        <v>28.0</v>
      </c>
      <c r="C890" s="4" t="s">
        <v>1116</v>
      </c>
      <c r="D890" s="4" t="s">
        <v>1117</v>
      </c>
      <c r="E890" s="16">
        <v>8.451641406281851E-6</v>
      </c>
      <c r="F890" s="16">
        <v>0.9999991975315083</v>
      </c>
      <c r="G890" s="16"/>
      <c r="H890" s="16">
        <v>1.0</v>
      </c>
      <c r="I890" s="16">
        <v>0.46666666666666673</v>
      </c>
      <c r="J890" s="16">
        <v>0.0</v>
      </c>
      <c r="K890" s="4">
        <v>0.0</v>
      </c>
      <c r="M890" s="4" t="s">
        <v>32</v>
      </c>
    </row>
    <row r="891" ht="18.0" customHeight="1">
      <c r="A891" s="4" t="s">
        <v>65</v>
      </c>
      <c r="B891" s="4">
        <v>29.0</v>
      </c>
      <c r="C891" s="4" t="s">
        <v>393</v>
      </c>
      <c r="D891" s="4" t="s">
        <v>1118</v>
      </c>
      <c r="E891" s="16">
        <v>2.743076765909791E-5</v>
      </c>
      <c r="F891" s="16">
        <v>0.9999982798663041</v>
      </c>
      <c r="G891" s="16"/>
      <c r="H891" s="16">
        <v>1.0</v>
      </c>
      <c r="I891" s="16">
        <v>0.5375</v>
      </c>
      <c r="J891" s="16">
        <v>0.21568627450980393</v>
      </c>
      <c r="K891" s="4">
        <v>0.0</v>
      </c>
      <c r="M891" s="4" t="s">
        <v>32</v>
      </c>
    </row>
    <row r="892" ht="18.0" customHeight="1">
      <c r="A892" s="4" t="s">
        <v>65</v>
      </c>
      <c r="B892" s="4">
        <v>30.0</v>
      </c>
      <c r="C892" s="4" t="s">
        <v>657</v>
      </c>
      <c r="D892" s="4" t="s">
        <v>1119</v>
      </c>
      <c r="E892" s="16">
        <v>7.029468542896211E-5</v>
      </c>
      <c r="F892" s="16">
        <v>0.9999937446648346</v>
      </c>
      <c r="G892" s="16"/>
      <c r="H892" s="16">
        <v>0.0</v>
      </c>
      <c r="I892" s="16">
        <v>0.041666666666666664</v>
      </c>
      <c r="J892" s="16">
        <v>0.33333333333333337</v>
      </c>
      <c r="K892" s="4">
        <v>0.0</v>
      </c>
      <c r="M892" s="4" t="s">
        <v>32</v>
      </c>
    </row>
    <row r="893" ht="18.0" customHeight="1">
      <c r="A893" s="4" t="s">
        <v>65</v>
      </c>
      <c r="B893" s="4">
        <v>31.0</v>
      </c>
      <c r="C893" s="4" t="s">
        <v>172</v>
      </c>
      <c r="D893" s="4" t="s">
        <v>1049</v>
      </c>
      <c r="E893" s="16">
        <v>0.002509439131245017</v>
      </c>
      <c r="F893" s="16">
        <v>0.9994924338243436</v>
      </c>
      <c r="G893" s="16"/>
      <c r="H893" s="16">
        <v>0.0</v>
      </c>
      <c r="I893" s="16">
        <v>0.08333333333333333</v>
      </c>
      <c r="J893" s="16">
        <v>0.23809523809523814</v>
      </c>
      <c r="K893" s="4">
        <v>0.0</v>
      </c>
      <c r="M893" s="4" t="s">
        <v>32</v>
      </c>
    </row>
    <row r="894" ht="18.0" customHeight="1">
      <c r="A894" s="4" t="s">
        <v>65</v>
      </c>
      <c r="B894" s="4">
        <v>32.0</v>
      </c>
      <c r="C894" s="4" t="s">
        <v>290</v>
      </c>
      <c r="D894" s="4" t="s">
        <v>684</v>
      </c>
      <c r="E894" s="16">
        <v>3.1209137523546815E-4</v>
      </c>
      <c r="F894" s="16">
        <v>0.9999487023778784</v>
      </c>
      <c r="G894" s="16"/>
      <c r="H894" s="16">
        <v>1.0</v>
      </c>
      <c r="I894" s="16">
        <v>0.5166666666666667</v>
      </c>
      <c r="J894" s="16">
        <v>0.0</v>
      </c>
      <c r="K894" s="4">
        <v>0.0</v>
      </c>
      <c r="M894" s="4" t="s">
        <v>32</v>
      </c>
    </row>
    <row r="895" ht="18.0" customHeight="1">
      <c r="A895" s="4" t="s">
        <v>65</v>
      </c>
      <c r="B895" s="4">
        <v>33.0</v>
      </c>
      <c r="C895" s="4" t="s">
        <v>1120</v>
      </c>
      <c r="D895" s="4" t="s">
        <v>684</v>
      </c>
      <c r="E895" s="16">
        <v>0.365579754114151</v>
      </c>
      <c r="F895" s="16">
        <v>0.7645928785204887</v>
      </c>
      <c r="G895" s="16"/>
      <c r="H895" s="16">
        <v>1.0</v>
      </c>
      <c r="I895" s="16">
        <v>0.4916666666666667</v>
      </c>
      <c r="J895" s="16">
        <v>0.0</v>
      </c>
      <c r="K895" s="4">
        <v>0.0</v>
      </c>
      <c r="M895" s="4" t="s">
        <v>32</v>
      </c>
    </row>
    <row r="896" ht="18.0" customHeight="1">
      <c r="A896" s="4" t="s">
        <v>65</v>
      </c>
      <c r="B896" s="4">
        <v>34.0</v>
      </c>
      <c r="C896" s="4" t="s">
        <v>1121</v>
      </c>
      <c r="D896" s="4" t="s">
        <v>1122</v>
      </c>
      <c r="E896" s="16">
        <v>1.0258743714075536E-4</v>
      </c>
      <c r="F896" s="16">
        <v>0.9999877789196034</v>
      </c>
      <c r="G896" s="16"/>
      <c r="H896" s="16">
        <v>0.0</v>
      </c>
      <c r="I896" s="16">
        <v>0.016666666666666666</v>
      </c>
      <c r="J896" s="16">
        <v>0.0</v>
      </c>
      <c r="K896" s="4">
        <v>0.0</v>
      </c>
      <c r="M896" s="4" t="s">
        <v>32</v>
      </c>
    </row>
    <row r="897" ht="18.0" customHeight="1">
      <c r="A897" s="4" t="s">
        <v>65</v>
      </c>
      <c r="B897" s="4">
        <v>35.0</v>
      </c>
      <c r="C897" s="4" t="s">
        <v>301</v>
      </c>
      <c r="D897" s="4" t="s">
        <v>122</v>
      </c>
      <c r="E897" s="16">
        <v>5.613734174403362E-5</v>
      </c>
      <c r="F897" s="16">
        <v>0.9999953641456614</v>
      </c>
      <c r="G897" s="16"/>
      <c r="H897" s="16">
        <v>1.0</v>
      </c>
      <c r="I897" s="16">
        <v>0.4916666666666667</v>
      </c>
      <c r="J897" s="16">
        <v>1.0</v>
      </c>
      <c r="K897" s="4">
        <v>0.0</v>
      </c>
      <c r="M897" s="4" t="s">
        <v>32</v>
      </c>
    </row>
    <row r="898" ht="18.0" customHeight="1">
      <c r="A898" s="4" t="s">
        <v>65</v>
      </c>
      <c r="B898" s="4">
        <v>36.0</v>
      </c>
      <c r="C898" s="4" t="s">
        <v>1070</v>
      </c>
      <c r="D898" s="4" t="s">
        <v>122</v>
      </c>
      <c r="E898" s="16">
        <v>1.0036120511358604E-4</v>
      </c>
      <c r="F898" s="16">
        <v>0.9999906740940787</v>
      </c>
      <c r="G898" s="16"/>
      <c r="H898" s="16">
        <v>1.0</v>
      </c>
      <c r="I898" s="16">
        <v>0.4583333333333334</v>
      </c>
      <c r="J898" s="16">
        <v>0.0</v>
      </c>
      <c r="K898" s="4">
        <v>0.0</v>
      </c>
      <c r="M898" s="4" t="s">
        <v>32</v>
      </c>
    </row>
    <row r="899" ht="18.0" customHeight="1">
      <c r="A899" s="4" t="s">
        <v>65</v>
      </c>
      <c r="B899" s="4">
        <v>37.0</v>
      </c>
      <c r="C899" s="4" t="s">
        <v>923</v>
      </c>
      <c r="D899" s="4" t="s">
        <v>1123</v>
      </c>
      <c r="E899" s="16">
        <v>8.779628115007654E-5</v>
      </c>
      <c r="F899" s="16">
        <v>0.9999895634523455</v>
      </c>
      <c r="G899" s="16"/>
      <c r="H899" s="16">
        <v>1.0</v>
      </c>
      <c r="I899" s="16">
        <v>0.42500000000000004</v>
      </c>
      <c r="J899" s="16">
        <v>0.30000000000000004</v>
      </c>
      <c r="K899" s="4">
        <v>0.0</v>
      </c>
      <c r="M899" s="4" t="s">
        <v>32</v>
      </c>
    </row>
    <row r="900" ht="18.0" customHeight="1">
      <c r="A900" s="4" t="s">
        <v>65</v>
      </c>
      <c r="B900" s="4">
        <v>38.0</v>
      </c>
      <c r="C900" s="4" t="s">
        <v>1123</v>
      </c>
      <c r="D900" s="4" t="s">
        <v>1124</v>
      </c>
      <c r="E900" s="16">
        <v>8.400877413805574E-5</v>
      </c>
      <c r="F900" s="16">
        <v>0.9999876329929975</v>
      </c>
      <c r="G900" s="16"/>
      <c r="H900" s="16">
        <v>1.0</v>
      </c>
      <c r="I900" s="16">
        <v>0.3583333333333334</v>
      </c>
      <c r="J900" s="16">
        <v>0.0</v>
      </c>
      <c r="K900" s="4">
        <v>0.0</v>
      </c>
      <c r="M900" s="4" t="s">
        <v>32</v>
      </c>
    </row>
    <row r="901" ht="18.0" customHeight="1">
      <c r="A901" s="4" t="s">
        <v>65</v>
      </c>
      <c r="B901" s="4">
        <v>39.0</v>
      </c>
      <c r="C901" s="4" t="s">
        <v>738</v>
      </c>
      <c r="D901" s="4" t="s">
        <v>122</v>
      </c>
      <c r="E901" s="16">
        <v>1.1426099808886647E-4</v>
      </c>
      <c r="F901" s="16">
        <v>0.9999874470213399</v>
      </c>
      <c r="G901" s="16"/>
      <c r="H901" s="16">
        <v>1.0</v>
      </c>
      <c r="I901" s="16">
        <v>0.3916666666666668</v>
      </c>
      <c r="J901" s="16">
        <v>0.0</v>
      </c>
      <c r="K901" s="4">
        <v>0.0</v>
      </c>
      <c r="M901" s="4" t="s">
        <v>32</v>
      </c>
    </row>
    <row r="902" ht="18.0" customHeight="1">
      <c r="A902" s="4" t="s">
        <v>65</v>
      </c>
      <c r="B902" s="4">
        <v>40.0</v>
      </c>
      <c r="C902" s="4" t="s">
        <v>663</v>
      </c>
      <c r="D902" s="4" t="s">
        <v>122</v>
      </c>
      <c r="E902" s="16">
        <v>7.88770557846874E-5</v>
      </c>
      <c r="F902" s="16">
        <v>0.9999935410633043</v>
      </c>
      <c r="G902" s="16"/>
      <c r="H902" s="16">
        <v>1.0</v>
      </c>
      <c r="I902" s="16">
        <v>0.36666666666666675</v>
      </c>
      <c r="J902" s="16">
        <v>0.0</v>
      </c>
      <c r="K902" s="4">
        <v>0.0</v>
      </c>
      <c r="M902" s="4" t="s">
        <v>32</v>
      </c>
    </row>
    <row r="903" ht="18.0" customHeight="1">
      <c r="A903" s="4" t="s">
        <v>65</v>
      </c>
      <c r="B903" s="4">
        <v>41.0</v>
      </c>
      <c r="C903" s="4" t="s">
        <v>151</v>
      </c>
      <c r="D903" s="4" t="s">
        <v>1037</v>
      </c>
      <c r="E903" s="16">
        <v>0.001354563282802701</v>
      </c>
      <c r="F903" s="16">
        <v>0.9997368724725675</v>
      </c>
      <c r="G903" s="16"/>
      <c r="H903" s="16">
        <v>1.0</v>
      </c>
      <c r="I903" s="16">
        <v>0.2750000000000001</v>
      </c>
      <c r="J903" s="16">
        <v>0.0</v>
      </c>
      <c r="K903" s="4">
        <v>0.0</v>
      </c>
      <c r="M903" s="4" t="s">
        <v>32</v>
      </c>
    </row>
    <row r="904" ht="18.0" customHeight="1">
      <c r="A904" s="4" t="s">
        <v>65</v>
      </c>
      <c r="B904" s="4">
        <v>42.0</v>
      </c>
      <c r="C904" s="4" t="s">
        <v>1125</v>
      </c>
      <c r="D904" s="4" t="s">
        <v>264</v>
      </c>
      <c r="E904" s="16">
        <v>0.001983617665246129</v>
      </c>
      <c r="F904" s="16">
        <v>0.9996410257153912</v>
      </c>
      <c r="G904" s="16"/>
      <c r="H904" s="16">
        <v>1.0</v>
      </c>
      <c r="I904" s="16">
        <v>0.2750000000000001</v>
      </c>
      <c r="J904" s="16">
        <v>0.0</v>
      </c>
      <c r="K904" s="4">
        <v>0.0</v>
      </c>
      <c r="M904" s="4" t="s">
        <v>32</v>
      </c>
    </row>
    <row r="905" ht="18.0" customHeight="1">
      <c r="A905" s="4" t="s">
        <v>65</v>
      </c>
      <c r="B905" s="4">
        <v>43.0</v>
      </c>
      <c r="C905" s="4" t="s">
        <v>1095</v>
      </c>
      <c r="D905" s="4" t="s">
        <v>122</v>
      </c>
      <c r="E905" s="16">
        <v>0.0017895821947604418</v>
      </c>
      <c r="F905" s="16">
        <v>0.9997061586182099</v>
      </c>
      <c r="G905" s="16"/>
      <c r="H905" s="16">
        <v>1.0</v>
      </c>
      <c r="I905" s="16">
        <v>0.20833333333333334</v>
      </c>
      <c r="J905" s="16">
        <v>0.0</v>
      </c>
      <c r="K905" s="4">
        <v>0.0</v>
      </c>
      <c r="M905" s="4" t="s">
        <v>32</v>
      </c>
    </row>
    <row r="906" ht="18.0" customHeight="1">
      <c r="A906" s="4" t="s">
        <v>65</v>
      </c>
      <c r="B906" s="4">
        <v>44.0</v>
      </c>
      <c r="C906" s="4" t="s">
        <v>652</v>
      </c>
      <c r="D906" s="4" t="s">
        <v>122</v>
      </c>
      <c r="E906" s="16">
        <v>3.6225610529072583E-4</v>
      </c>
      <c r="F906" s="16">
        <v>0.9999467511388502</v>
      </c>
      <c r="G906" s="16"/>
      <c r="H906" s="16">
        <v>1.0</v>
      </c>
      <c r="I906" s="16">
        <v>0.20833333333333334</v>
      </c>
      <c r="J906" s="16">
        <v>0.0</v>
      </c>
      <c r="K906" s="4">
        <v>1.0</v>
      </c>
      <c r="L906" s="4">
        <v>0.0</v>
      </c>
      <c r="M906" s="4" t="s">
        <v>239</v>
      </c>
    </row>
    <row r="907" ht="18.0" customHeight="1">
      <c r="A907" s="4" t="s">
        <v>65</v>
      </c>
      <c r="B907" s="4">
        <v>45.0</v>
      </c>
      <c r="C907" s="4" t="s">
        <v>1049</v>
      </c>
      <c r="D907" s="4" t="s">
        <v>122</v>
      </c>
      <c r="E907" s="16">
        <v>0.0010655131191015244</v>
      </c>
      <c r="F907" s="16">
        <v>0.9998265232279664</v>
      </c>
      <c r="G907" s="16"/>
      <c r="H907" s="16">
        <v>1.0</v>
      </c>
      <c r="I907" s="16">
        <v>0.2125</v>
      </c>
      <c r="J907" s="16">
        <v>0.0</v>
      </c>
      <c r="K907" s="4">
        <v>0.0</v>
      </c>
      <c r="M907" s="4" t="s">
        <v>32</v>
      </c>
    </row>
    <row r="908" ht="18.0" customHeight="1">
      <c r="A908" s="4" t="s">
        <v>65</v>
      </c>
      <c r="B908" s="4">
        <v>46.0</v>
      </c>
      <c r="C908" s="4" t="s">
        <v>290</v>
      </c>
      <c r="D908" s="4" t="s">
        <v>122</v>
      </c>
      <c r="E908" s="16">
        <v>2.20638801692985E-4</v>
      </c>
      <c r="F908" s="16">
        <v>0.999971503550114</v>
      </c>
      <c r="G908" s="16"/>
      <c r="H908" s="16">
        <v>1.0</v>
      </c>
      <c r="I908" s="16">
        <v>0.21666666666666665</v>
      </c>
      <c r="J908" s="16">
        <v>0.0</v>
      </c>
      <c r="K908" s="4">
        <v>0.0</v>
      </c>
      <c r="M908" s="4" t="s">
        <v>32</v>
      </c>
    </row>
    <row r="909" ht="18.0" customHeight="1">
      <c r="A909" s="4" t="s">
        <v>65</v>
      </c>
      <c r="B909" s="4">
        <v>47.0</v>
      </c>
      <c r="C909" s="4" t="s">
        <v>1120</v>
      </c>
      <c r="D909" s="4" t="s">
        <v>684</v>
      </c>
      <c r="E909" s="16">
        <v>0.0012967014918103814</v>
      </c>
      <c r="F909" s="16">
        <v>0.9997890775412088</v>
      </c>
      <c r="G909" s="16"/>
      <c r="H909" s="16">
        <v>1.0</v>
      </c>
      <c r="I909" s="16">
        <v>0.19166666666666665</v>
      </c>
      <c r="J909" s="16">
        <v>0.0</v>
      </c>
      <c r="K909" s="4">
        <v>0.0</v>
      </c>
      <c r="M909" s="4" t="s">
        <v>32</v>
      </c>
    </row>
    <row r="910" ht="18.0" customHeight="1">
      <c r="A910" s="4" t="s">
        <v>65</v>
      </c>
      <c r="B910" s="4">
        <v>48.0</v>
      </c>
      <c r="C910" s="4" t="s">
        <v>1121</v>
      </c>
      <c r="D910" s="4" t="s">
        <v>1122</v>
      </c>
      <c r="E910" s="16">
        <v>8.450256427749991E-5</v>
      </c>
      <c r="F910" s="16">
        <v>0.9999910206061031</v>
      </c>
      <c r="G910" s="16"/>
      <c r="H910" s="16">
        <v>0.0</v>
      </c>
      <c r="I910" s="16">
        <v>0.016666666666666666</v>
      </c>
      <c r="J910" s="16">
        <v>0.0</v>
      </c>
      <c r="K910" s="4">
        <v>0.0</v>
      </c>
      <c r="M910" s="4" t="s">
        <v>32</v>
      </c>
    </row>
    <row r="911" ht="18.0" customHeight="1">
      <c r="A911" s="4" t="s">
        <v>65</v>
      </c>
      <c r="B911" s="4">
        <v>49.0</v>
      </c>
      <c r="C911" s="4" t="s">
        <v>301</v>
      </c>
      <c r="D911" s="4" t="s">
        <v>122</v>
      </c>
      <c r="E911" s="16">
        <v>0.0028836962301284075</v>
      </c>
      <c r="F911" s="16">
        <v>0.9995175204821862</v>
      </c>
      <c r="G911" s="16"/>
      <c r="H911" s="16">
        <v>0.7272727272727273</v>
      </c>
      <c r="I911" s="16">
        <v>0.16666666666666666</v>
      </c>
      <c r="J911" s="16">
        <v>0.0</v>
      </c>
      <c r="K911" s="4">
        <v>0.0</v>
      </c>
      <c r="M911" s="4" t="s">
        <v>32</v>
      </c>
    </row>
    <row r="912" ht="18.0" customHeight="1">
      <c r="A912" s="4" t="s">
        <v>65</v>
      </c>
      <c r="B912" s="4">
        <v>50.0</v>
      </c>
      <c r="C912" s="4" t="s">
        <v>1070</v>
      </c>
      <c r="D912" s="4" t="s">
        <v>122</v>
      </c>
      <c r="E912" s="16">
        <v>0.004492021631449461</v>
      </c>
      <c r="F912" s="16">
        <v>0.9992496512422804</v>
      </c>
      <c r="G912" s="16"/>
      <c r="H912" s="16">
        <v>0.6363636363636364</v>
      </c>
      <c r="I912" s="16">
        <v>0.15</v>
      </c>
      <c r="J912" s="16">
        <v>0.0</v>
      </c>
      <c r="K912" s="4">
        <v>0.0</v>
      </c>
      <c r="M912" s="4" t="s">
        <v>32</v>
      </c>
    </row>
    <row r="913" ht="18.0" customHeight="1">
      <c r="A913" s="4" t="s">
        <v>65</v>
      </c>
      <c r="B913" s="4">
        <v>51.0</v>
      </c>
      <c r="C913" s="4" t="s">
        <v>1123</v>
      </c>
      <c r="D913" s="4" t="s">
        <v>122</v>
      </c>
      <c r="E913" s="16">
        <v>5.450899479910731E-4</v>
      </c>
      <c r="F913" s="16">
        <v>0.9999352229351643</v>
      </c>
      <c r="G913" s="16"/>
      <c r="H913" s="16">
        <v>0.5454545454545454</v>
      </c>
      <c r="I913" s="16">
        <v>0.13333333333333333</v>
      </c>
      <c r="J913" s="16">
        <v>0.0</v>
      </c>
      <c r="K913" s="4">
        <v>0.0</v>
      </c>
      <c r="M913" s="4" t="s">
        <v>32</v>
      </c>
    </row>
    <row r="914" ht="18.0" customHeight="1">
      <c r="A914" s="4" t="s">
        <v>65</v>
      </c>
      <c r="B914" s="4">
        <v>52.0</v>
      </c>
      <c r="C914" s="4" t="s">
        <v>738</v>
      </c>
      <c r="D914" s="4" t="s">
        <v>122</v>
      </c>
      <c r="E914" s="16">
        <v>0.0010213205823674798</v>
      </c>
      <c r="F914" s="16">
        <v>0.9998480078138527</v>
      </c>
      <c r="G914" s="16"/>
      <c r="H914" s="16">
        <v>0.45454545454545453</v>
      </c>
      <c r="I914" s="16">
        <v>0.11666666666666665</v>
      </c>
      <c r="J914" s="16">
        <v>0.0</v>
      </c>
      <c r="K914" s="4">
        <v>0.0</v>
      </c>
      <c r="M914" s="4" t="s">
        <v>32</v>
      </c>
    </row>
    <row r="915" ht="18.0" customHeight="1">
      <c r="A915" s="4" t="s">
        <v>65</v>
      </c>
      <c r="B915" s="4">
        <v>53.0</v>
      </c>
      <c r="C915" s="4" t="s">
        <v>663</v>
      </c>
      <c r="D915" s="4" t="s">
        <v>122</v>
      </c>
      <c r="E915" s="16">
        <v>5.7829893194139E-4</v>
      </c>
      <c r="F915" s="16">
        <v>0.9999313943062589</v>
      </c>
      <c r="G915" s="16"/>
      <c r="H915" s="16">
        <v>0.36363636363636365</v>
      </c>
      <c r="I915" s="16">
        <v>0.09999999999999999</v>
      </c>
      <c r="J915" s="16">
        <v>0.0</v>
      </c>
      <c r="K915" s="4">
        <v>1.0</v>
      </c>
      <c r="L915" s="4">
        <v>0.0</v>
      </c>
      <c r="M915" s="4" t="s">
        <v>239</v>
      </c>
    </row>
    <row r="916" ht="18.0" customHeight="1">
      <c r="A916" s="4" t="s">
        <v>65</v>
      </c>
      <c r="B916" s="4">
        <v>54.0</v>
      </c>
      <c r="C916" s="4" t="s">
        <v>1070</v>
      </c>
      <c r="D916" s="4" t="s">
        <v>122</v>
      </c>
      <c r="E916" s="16">
        <v>0.004439115058630705</v>
      </c>
      <c r="F916" s="16">
        <v>0.999064898584038</v>
      </c>
      <c r="G916" s="16"/>
      <c r="H916" s="16">
        <v>0.2727272727272727</v>
      </c>
      <c r="I916" s="16">
        <v>0.08333333333333333</v>
      </c>
      <c r="J916" s="16">
        <v>0.0</v>
      </c>
      <c r="K916" s="4">
        <v>0.0</v>
      </c>
      <c r="M916" s="4" t="s">
        <v>32</v>
      </c>
    </row>
    <row r="917" ht="18.0" customHeight="1">
      <c r="A917" s="4" t="s">
        <v>65</v>
      </c>
      <c r="B917" s="4">
        <v>55.0</v>
      </c>
      <c r="C917" s="4" t="s">
        <v>1126</v>
      </c>
      <c r="D917" s="4" t="s">
        <v>122</v>
      </c>
      <c r="E917" s="16">
        <v>0.0017492627957835793</v>
      </c>
      <c r="F917" s="16">
        <v>0.9997456532219076</v>
      </c>
      <c r="G917" s="16"/>
      <c r="H917" s="16">
        <v>0.18181818181818182</v>
      </c>
      <c r="I917" s="16">
        <v>0.041666666666666664</v>
      </c>
      <c r="J917" s="16">
        <v>0.0</v>
      </c>
      <c r="K917" s="4">
        <v>0.0</v>
      </c>
      <c r="M917" s="4" t="s">
        <v>32</v>
      </c>
    </row>
    <row r="918" ht="18.0" customHeight="1">
      <c r="A918" s="4" t="s">
        <v>65</v>
      </c>
      <c r="B918" s="4">
        <v>56.0</v>
      </c>
      <c r="C918" s="4" t="s">
        <v>122</v>
      </c>
      <c r="D918" s="4" t="s">
        <v>393</v>
      </c>
      <c r="E918" s="16">
        <v>0.0059519861824810505</v>
      </c>
      <c r="F918" s="16">
        <v>0.99859042809112</v>
      </c>
      <c r="G918" s="16"/>
      <c r="H918" s="16">
        <v>1.0</v>
      </c>
      <c r="I918" s="16">
        <v>0.2333333333333333</v>
      </c>
      <c r="J918" s="16">
        <v>0.0</v>
      </c>
      <c r="K918" s="4">
        <v>0.0</v>
      </c>
      <c r="M918" s="4" t="s">
        <v>32</v>
      </c>
    </row>
    <row r="919" ht="18.0" customHeight="1">
      <c r="A919" s="4" t="s">
        <v>65</v>
      </c>
      <c r="B919" s="4">
        <v>57.0</v>
      </c>
      <c r="C919" s="4" t="s">
        <v>232</v>
      </c>
      <c r="D919" s="4" t="s">
        <v>1127</v>
      </c>
      <c r="E919" s="16">
        <v>3.881859593093395E-4</v>
      </c>
      <c r="F919" s="16">
        <v>0.9999503786784771</v>
      </c>
      <c r="G919" s="16"/>
      <c r="H919" s="16">
        <v>1.0</v>
      </c>
      <c r="I919" s="16">
        <v>0.25416666666666665</v>
      </c>
      <c r="J919" s="16">
        <v>0.0</v>
      </c>
      <c r="K919" s="4">
        <v>0.0</v>
      </c>
      <c r="M919" s="4" t="s">
        <v>32</v>
      </c>
    </row>
    <row r="920" ht="18.0" customHeight="1">
      <c r="A920" s="4" t="s">
        <v>65</v>
      </c>
      <c r="B920" s="4">
        <v>58.0</v>
      </c>
      <c r="C920" s="4" t="s">
        <v>393</v>
      </c>
      <c r="D920" s="4" t="s">
        <v>464</v>
      </c>
      <c r="E920" s="16">
        <v>2.1977469441480935E-4</v>
      </c>
      <c r="F920" s="16">
        <v>0.999978489298428</v>
      </c>
      <c r="G920" s="16"/>
      <c r="H920" s="16">
        <v>1.0</v>
      </c>
      <c r="I920" s="16">
        <v>0.5125000000000001</v>
      </c>
      <c r="J920" s="16">
        <v>1.0</v>
      </c>
      <c r="K920" s="4">
        <v>0.0</v>
      </c>
      <c r="M920" s="4" t="s">
        <v>32</v>
      </c>
    </row>
    <row r="921" ht="18.0" customHeight="1">
      <c r="A921" s="4" t="s">
        <v>65</v>
      </c>
      <c r="B921" s="4">
        <v>59.0</v>
      </c>
      <c r="C921" s="4" t="s">
        <v>290</v>
      </c>
      <c r="D921" s="4" t="s">
        <v>159</v>
      </c>
      <c r="E921" s="16">
        <v>2.6028128559119068E-5</v>
      </c>
      <c r="F921" s="16">
        <v>0.9999980513081539</v>
      </c>
      <c r="G921" s="16"/>
      <c r="H921" s="16">
        <v>1.0</v>
      </c>
      <c r="I921" s="16">
        <v>0.25416666666666665</v>
      </c>
      <c r="J921" s="16">
        <v>0.0</v>
      </c>
      <c r="K921" s="4">
        <v>0.0</v>
      </c>
      <c r="M921" s="4" t="s">
        <v>32</v>
      </c>
    </row>
    <row r="922" ht="18.0" customHeight="1">
      <c r="A922" s="4" t="s">
        <v>65</v>
      </c>
      <c r="B922" s="4">
        <v>60.0</v>
      </c>
      <c r="C922" s="4" t="s">
        <v>652</v>
      </c>
      <c r="D922" s="4" t="s">
        <v>666</v>
      </c>
      <c r="E922" s="16">
        <v>2.734463196247816E-4</v>
      </c>
      <c r="F922" s="16">
        <v>0.999967323018609</v>
      </c>
      <c r="G922" s="16"/>
      <c r="H922" s="16">
        <v>1.0</v>
      </c>
      <c r="I922" s="16">
        <v>0.23749999999999996</v>
      </c>
      <c r="J922" s="16">
        <v>1.0</v>
      </c>
      <c r="K922" s="4">
        <v>0.0</v>
      </c>
      <c r="M922" s="4" t="s">
        <v>32</v>
      </c>
    </row>
    <row r="923" ht="18.0" customHeight="1">
      <c r="A923" s="4" t="s">
        <v>65</v>
      </c>
      <c r="B923" s="4">
        <v>61.0</v>
      </c>
      <c r="C923" s="4" t="s">
        <v>364</v>
      </c>
      <c r="D923" s="4" t="s">
        <v>1049</v>
      </c>
      <c r="E923" s="16">
        <v>4.688370245276019E-5</v>
      </c>
      <c r="F923" s="16">
        <v>0.9999963877555729</v>
      </c>
      <c r="G923" s="16"/>
      <c r="H923" s="16">
        <v>0.0</v>
      </c>
      <c r="I923" s="16">
        <v>0.016666666666666666</v>
      </c>
      <c r="J923" s="16">
        <v>0.0</v>
      </c>
      <c r="K923" s="4">
        <v>0.0</v>
      </c>
      <c r="M923" s="4" t="s">
        <v>32</v>
      </c>
    </row>
    <row r="924" ht="18.0" customHeight="1">
      <c r="A924" s="4" t="s">
        <v>65</v>
      </c>
      <c r="B924" s="4">
        <v>62.0</v>
      </c>
      <c r="C924" s="4" t="s">
        <v>290</v>
      </c>
      <c r="D924" s="4" t="s">
        <v>159</v>
      </c>
      <c r="E924" s="16">
        <v>3.232794551877305E-5</v>
      </c>
      <c r="F924" s="16">
        <v>0.9999979641338825</v>
      </c>
      <c r="G924" s="16"/>
      <c r="H924" s="16">
        <v>1.0</v>
      </c>
      <c r="I924" s="16">
        <v>0.24583333333333335</v>
      </c>
      <c r="J924" s="16">
        <v>0.10447761194029852</v>
      </c>
      <c r="K924" s="4">
        <v>0.0</v>
      </c>
      <c r="M924" s="4" t="s">
        <v>32</v>
      </c>
    </row>
    <row r="925" ht="18.0" customHeight="1">
      <c r="A925" s="4" t="s">
        <v>65</v>
      </c>
      <c r="B925" s="4">
        <v>63.0</v>
      </c>
      <c r="C925" s="4" t="s">
        <v>1128</v>
      </c>
      <c r="D925" s="4" t="s">
        <v>1129</v>
      </c>
      <c r="E925" s="16">
        <v>1.1010347225237638E-4</v>
      </c>
      <c r="F925" s="16">
        <v>0.9999904522192082</v>
      </c>
      <c r="G925" s="16"/>
      <c r="H925" s="16">
        <v>1.0</v>
      </c>
      <c r="I925" s="16">
        <v>0.3875</v>
      </c>
      <c r="J925" s="16">
        <v>0.10447761194029852</v>
      </c>
      <c r="K925" s="4">
        <v>0.0</v>
      </c>
      <c r="M925" s="4" t="s">
        <v>32</v>
      </c>
    </row>
    <row r="926" ht="18.0" customHeight="1">
      <c r="A926" s="4" t="s">
        <v>65</v>
      </c>
      <c r="B926" s="4">
        <v>64.0</v>
      </c>
      <c r="C926" s="4" t="s">
        <v>1120</v>
      </c>
      <c r="D926" s="4" t="s">
        <v>684</v>
      </c>
      <c r="E926" s="16">
        <v>6.121710175648332E-4</v>
      </c>
      <c r="F926" s="16">
        <v>0.9998926732005202</v>
      </c>
      <c r="G926" s="16"/>
      <c r="H926" s="16">
        <v>1.0</v>
      </c>
      <c r="I926" s="16">
        <v>0.2916666666666667</v>
      </c>
      <c r="J926" s="16">
        <v>0.5</v>
      </c>
      <c r="K926" s="4">
        <v>0.0</v>
      </c>
      <c r="M926" s="4" t="s">
        <v>32</v>
      </c>
    </row>
    <row r="927" ht="18.0" customHeight="1">
      <c r="A927" s="4" t="s">
        <v>65</v>
      </c>
      <c r="B927" s="4">
        <v>65.0</v>
      </c>
      <c r="C927" s="4" t="s">
        <v>1121</v>
      </c>
      <c r="D927" s="4" t="s">
        <v>1122</v>
      </c>
      <c r="E927" s="16">
        <v>2.8200749511597678E-5</v>
      </c>
      <c r="F927" s="16">
        <v>0.9999973863093032</v>
      </c>
      <c r="G927" s="16"/>
      <c r="H927" s="16">
        <v>0.0</v>
      </c>
      <c r="I927" s="16">
        <v>0.016666666666666666</v>
      </c>
      <c r="J927" s="16">
        <v>0.0</v>
      </c>
      <c r="K927" s="4">
        <v>0.0</v>
      </c>
      <c r="M927" s="4" t="s">
        <v>32</v>
      </c>
    </row>
    <row r="928" ht="18.0" customHeight="1">
      <c r="A928" s="4" t="s">
        <v>65</v>
      </c>
      <c r="B928" s="4">
        <v>66.0</v>
      </c>
      <c r="C928" s="4" t="s">
        <v>364</v>
      </c>
      <c r="D928" s="4" t="s">
        <v>172</v>
      </c>
      <c r="E928" s="16">
        <v>5.151347795617767E-5</v>
      </c>
      <c r="F928" s="16">
        <v>0.9999964565879509</v>
      </c>
      <c r="G928" s="16"/>
      <c r="H928" s="16">
        <v>0.0</v>
      </c>
      <c r="I928" s="16">
        <v>0.08333333333333333</v>
      </c>
      <c r="J928" s="16">
        <v>0.25</v>
      </c>
      <c r="K928" s="4">
        <v>0.0</v>
      </c>
      <c r="M928" s="4" t="s">
        <v>32</v>
      </c>
    </row>
    <row r="929" ht="18.0" customHeight="1">
      <c r="A929" s="4" t="s">
        <v>65</v>
      </c>
      <c r="B929" s="4">
        <v>67.0</v>
      </c>
      <c r="C929" s="4" t="s">
        <v>657</v>
      </c>
      <c r="D929" s="4" t="s">
        <v>1119</v>
      </c>
      <c r="E929" s="16">
        <v>6.264757394092157E-5</v>
      </c>
      <c r="F929" s="16">
        <v>0.9999948789455857</v>
      </c>
      <c r="G929" s="16"/>
      <c r="H929" s="16">
        <v>0.0</v>
      </c>
      <c r="I929" s="16">
        <v>0.041666666666666664</v>
      </c>
      <c r="J929" s="16">
        <v>0.25</v>
      </c>
      <c r="K929" s="4">
        <v>0.0</v>
      </c>
      <c r="M929" s="4" t="s">
        <v>32</v>
      </c>
    </row>
    <row r="930" ht="18.0" customHeight="1">
      <c r="A930" s="4" t="s">
        <v>65</v>
      </c>
      <c r="B930" s="4">
        <v>68.0</v>
      </c>
      <c r="C930" s="4" t="s">
        <v>151</v>
      </c>
      <c r="D930" s="4" t="s">
        <v>1130</v>
      </c>
      <c r="E930" s="16">
        <v>5.024579877499491E-5</v>
      </c>
      <c r="F930" s="16">
        <v>0.9999933553672236</v>
      </c>
      <c r="G930" s="16"/>
      <c r="H930" s="16">
        <v>1.0</v>
      </c>
      <c r="I930" s="16">
        <v>0.4083333333333334</v>
      </c>
      <c r="J930" s="16">
        <v>0.25</v>
      </c>
      <c r="K930" s="4">
        <v>0.0</v>
      </c>
      <c r="M930" s="4" t="s">
        <v>32</v>
      </c>
    </row>
    <row r="931" ht="18.0" customHeight="1">
      <c r="A931" s="4" t="s">
        <v>65</v>
      </c>
      <c r="B931" s="4">
        <v>69.0</v>
      </c>
      <c r="C931" s="4" t="s">
        <v>1130</v>
      </c>
      <c r="D931" s="4" t="s">
        <v>1131</v>
      </c>
      <c r="E931" s="16">
        <v>3.9224592910613865E-5</v>
      </c>
      <c r="F931" s="16">
        <v>0.9999966735704788</v>
      </c>
      <c r="G931" s="16"/>
      <c r="H931" s="16">
        <v>0.0</v>
      </c>
      <c r="I931" s="16">
        <v>0.016666666666666666</v>
      </c>
      <c r="J931" s="16">
        <v>0.0</v>
      </c>
      <c r="K931" s="4">
        <v>0.0</v>
      </c>
      <c r="M931" s="4" t="s">
        <v>32</v>
      </c>
    </row>
    <row r="932" ht="18.0" customHeight="1">
      <c r="A932" s="4" t="s">
        <v>65</v>
      </c>
      <c r="B932" s="4">
        <v>70.0</v>
      </c>
      <c r="C932" s="4" t="s">
        <v>666</v>
      </c>
      <c r="D932" s="4" t="s">
        <v>1132</v>
      </c>
      <c r="E932" s="16">
        <v>6.19637212366797E-5</v>
      </c>
      <c r="F932" s="16">
        <v>0.9999955280875952</v>
      </c>
      <c r="G932" s="16"/>
      <c r="H932" s="16">
        <v>0.09090909090909091</v>
      </c>
      <c r="I932" s="16">
        <v>0.016666666666666666</v>
      </c>
      <c r="J932" s="16">
        <v>0.0</v>
      </c>
      <c r="K932" s="4">
        <v>0.0</v>
      </c>
      <c r="M932" s="4" t="s">
        <v>32</v>
      </c>
    </row>
    <row r="933" ht="18.0" customHeight="1">
      <c r="A933" s="4" t="s">
        <v>65</v>
      </c>
      <c r="B933" s="4">
        <v>71.0</v>
      </c>
      <c r="C933" s="4" t="s">
        <v>114</v>
      </c>
      <c r="D933" s="4" t="s">
        <v>457</v>
      </c>
      <c r="E933" s="16">
        <v>0.079604372382164</v>
      </c>
      <c r="F933" s="16">
        <v>0.9779040552675724</v>
      </c>
      <c r="G933" s="16"/>
      <c r="H933" s="16">
        <v>0.9090909090909091</v>
      </c>
      <c r="I933" s="16">
        <v>0.47500000000000003</v>
      </c>
      <c r="J933" s="16">
        <v>0.14994096812278632</v>
      </c>
      <c r="K933" s="4">
        <v>0.0</v>
      </c>
      <c r="M933" s="4" t="s">
        <v>32</v>
      </c>
    </row>
    <row r="934" ht="18.0" customHeight="1">
      <c r="A934" s="4" t="s">
        <v>65</v>
      </c>
      <c r="B934" s="4">
        <v>72.0</v>
      </c>
      <c r="C934" s="4" t="s">
        <v>232</v>
      </c>
      <c r="D934" s="4" t="s">
        <v>289</v>
      </c>
      <c r="E934" s="16">
        <v>0.007984001189470291</v>
      </c>
      <c r="F934" s="16">
        <v>0.9980408896808513</v>
      </c>
      <c r="G934" s="16"/>
      <c r="H934" s="16">
        <v>1.0</v>
      </c>
      <c r="I934" s="16">
        <v>0.45416666666666666</v>
      </c>
      <c r="J934" s="16">
        <v>0.17163120567375884</v>
      </c>
      <c r="K934" s="4">
        <v>0.0</v>
      </c>
      <c r="M934" s="4" t="s">
        <v>32</v>
      </c>
    </row>
    <row r="935" ht="18.0" customHeight="1">
      <c r="A935" s="4" t="s">
        <v>65</v>
      </c>
      <c r="B935" s="4">
        <v>73.0</v>
      </c>
      <c r="C935" s="4" t="s">
        <v>464</v>
      </c>
      <c r="D935" s="4" t="s">
        <v>87</v>
      </c>
      <c r="E935" s="16">
        <v>0.2438230961561203</v>
      </c>
      <c r="F935" s="16">
        <v>0.8703000098466873</v>
      </c>
      <c r="G935" s="16"/>
      <c r="H935" s="16">
        <v>1.0</v>
      </c>
      <c r="I935" s="16">
        <v>0.49583333333333335</v>
      </c>
      <c r="J935" s="16">
        <v>0.1286727456940223</v>
      </c>
      <c r="K935" s="4">
        <v>0.0</v>
      </c>
      <c r="M935" s="4" t="s">
        <v>32</v>
      </c>
    </row>
    <row r="936" ht="18.0" customHeight="1">
      <c r="A936" s="4" t="s">
        <v>65</v>
      </c>
      <c r="B936" s="4">
        <v>74.0</v>
      </c>
      <c r="C936" s="4" t="s">
        <v>1132</v>
      </c>
      <c r="D936" s="4" t="s">
        <v>1100</v>
      </c>
      <c r="E936" s="16">
        <v>3.5008537815883756E-4</v>
      </c>
      <c r="F936" s="16">
        <v>0.9999589060271319</v>
      </c>
      <c r="G936" s="16"/>
      <c r="H936" s="16">
        <v>1.0</v>
      </c>
      <c r="I936" s="16">
        <v>0.45416666666666666</v>
      </c>
      <c r="J936" s="16">
        <v>0.1259259259259259</v>
      </c>
      <c r="K936" s="4">
        <v>0.0</v>
      </c>
      <c r="M936" s="4" t="s">
        <v>32</v>
      </c>
    </row>
    <row r="937" ht="18.0" customHeight="1">
      <c r="A937" s="4" t="s">
        <v>65</v>
      </c>
      <c r="B937" s="4">
        <v>75.0</v>
      </c>
      <c r="C937" s="4" t="s">
        <v>682</v>
      </c>
      <c r="D937" s="4" t="s">
        <v>1106</v>
      </c>
      <c r="E937" s="16">
        <v>5.102250725030899E-4</v>
      </c>
      <c r="F937" s="16">
        <v>0.9999432509248436</v>
      </c>
      <c r="G937" s="16"/>
      <c r="H937" s="16">
        <v>0.0</v>
      </c>
      <c r="I937" s="16">
        <v>0.016666666666666666</v>
      </c>
      <c r="J937" s="16">
        <v>0.4</v>
      </c>
      <c r="K937" s="4">
        <v>0.0</v>
      </c>
      <c r="M937" s="4" t="s">
        <v>32</v>
      </c>
    </row>
    <row r="938" ht="18.0" customHeight="1">
      <c r="A938" s="4" t="s">
        <v>65</v>
      </c>
      <c r="B938" s="4">
        <v>76.0</v>
      </c>
      <c r="C938" s="4" t="s">
        <v>985</v>
      </c>
      <c r="D938" s="4" t="s">
        <v>949</v>
      </c>
      <c r="E938" s="16">
        <v>2.2022653865860775E-5</v>
      </c>
      <c r="F938" s="16">
        <v>0.9999983197095332</v>
      </c>
      <c r="G938" s="16"/>
      <c r="H938" s="16">
        <v>0.0</v>
      </c>
      <c r="I938" s="16">
        <v>0.041666666666666664</v>
      </c>
      <c r="J938" s="16">
        <v>0.25</v>
      </c>
      <c r="K938" s="4">
        <v>0.0</v>
      </c>
      <c r="M938" s="4" t="s">
        <v>32</v>
      </c>
    </row>
    <row r="939" ht="18.0" customHeight="1">
      <c r="A939" s="4" t="s">
        <v>65</v>
      </c>
      <c r="B939" s="4">
        <v>77.0</v>
      </c>
      <c r="C939" s="4" t="s">
        <v>181</v>
      </c>
      <c r="D939" s="4" t="s">
        <v>761</v>
      </c>
      <c r="E939" s="16">
        <v>1.4759191253688186E-4</v>
      </c>
      <c r="F939" s="16">
        <v>0.9999781185970278</v>
      </c>
      <c r="G939" s="16"/>
      <c r="H939" s="16">
        <v>0.5454545454545454</v>
      </c>
      <c r="I939" s="16">
        <v>0.375</v>
      </c>
      <c r="J939" s="16">
        <v>0.8333333333333334</v>
      </c>
      <c r="K939" s="4">
        <v>0.0</v>
      </c>
      <c r="M939" s="4" t="s">
        <v>32</v>
      </c>
    </row>
    <row r="940" ht="18.0" customHeight="1">
      <c r="A940" s="4" t="s">
        <v>65</v>
      </c>
      <c r="B940" s="4">
        <v>78.0</v>
      </c>
      <c r="C940" s="4" t="s">
        <v>151</v>
      </c>
      <c r="D940" s="4" t="s">
        <v>748</v>
      </c>
      <c r="E940" s="16">
        <v>3.255854608141817E-5</v>
      </c>
      <c r="F940" s="16">
        <v>0.9999971054111825</v>
      </c>
      <c r="G940" s="16"/>
      <c r="H940" s="16">
        <v>1.0</v>
      </c>
      <c r="I940" s="16">
        <v>0.4791666666666667</v>
      </c>
      <c r="J940" s="16">
        <v>0.8333333333333334</v>
      </c>
      <c r="K940" s="4">
        <v>0.0</v>
      </c>
      <c r="M940" s="4" t="s">
        <v>32</v>
      </c>
    </row>
    <row r="941" ht="18.0" customHeight="1">
      <c r="A941" s="4" t="s">
        <v>65</v>
      </c>
      <c r="B941" s="4">
        <v>79.0</v>
      </c>
      <c r="C941" s="4" t="s">
        <v>159</v>
      </c>
      <c r="D941" s="4" t="s">
        <v>160</v>
      </c>
      <c r="E941" s="16">
        <v>1.5444833843503147E-4</v>
      </c>
      <c r="F941" s="16">
        <v>0.9999762407351227</v>
      </c>
      <c r="G941" s="16"/>
      <c r="H941" s="16">
        <v>0.9090909090909091</v>
      </c>
      <c r="I941" s="16">
        <v>0.4166666666666667</v>
      </c>
      <c r="J941" s="16">
        <v>0.0</v>
      </c>
      <c r="K941" s="4">
        <v>0.0</v>
      </c>
      <c r="M941" s="4" t="s">
        <v>32</v>
      </c>
    </row>
    <row r="942" ht="18.0" customHeight="1">
      <c r="A942" s="4" t="s">
        <v>65</v>
      </c>
      <c r="B942" s="4">
        <v>80.0</v>
      </c>
      <c r="C942" s="4" t="s">
        <v>160</v>
      </c>
      <c r="D942" s="4" t="s">
        <v>270</v>
      </c>
      <c r="E942" s="16">
        <v>1.4249913874664344E-5</v>
      </c>
      <c r="F942" s="16">
        <v>0.9999984928000458</v>
      </c>
      <c r="G942" s="16"/>
      <c r="H942" s="16">
        <v>0.18181818181818182</v>
      </c>
      <c r="I942" s="16">
        <v>0.25</v>
      </c>
      <c r="J942" s="16">
        <v>0.0</v>
      </c>
      <c r="K942" s="4">
        <v>0.0</v>
      </c>
      <c r="M942" s="4" t="s">
        <v>32</v>
      </c>
    </row>
    <row r="943" ht="18.0" customHeight="1">
      <c r="A943" s="4" t="s">
        <v>65</v>
      </c>
      <c r="B943" s="4">
        <v>81.0</v>
      </c>
      <c r="C943" s="4" t="s">
        <v>151</v>
      </c>
      <c r="D943" s="4" t="s">
        <v>748</v>
      </c>
      <c r="E943" s="16">
        <v>9.62118647294119E-5</v>
      </c>
      <c r="F943" s="16">
        <v>0.9999877570753597</v>
      </c>
      <c r="G943" s="16"/>
      <c r="H943" s="16">
        <v>1.0</v>
      </c>
      <c r="I943" s="16">
        <v>0.4166666666666667</v>
      </c>
      <c r="J943" s="16">
        <v>0.5</v>
      </c>
      <c r="K943" s="4">
        <v>0.0</v>
      </c>
      <c r="M943" s="4" t="s">
        <v>32</v>
      </c>
    </row>
    <row r="944" ht="18.0" customHeight="1">
      <c r="A944" s="4" t="s">
        <v>65</v>
      </c>
      <c r="B944" s="4">
        <v>82.0</v>
      </c>
      <c r="C944" s="4" t="s">
        <v>159</v>
      </c>
      <c r="D944" s="4" t="s">
        <v>264</v>
      </c>
      <c r="E944" s="16">
        <v>7.249070768011734E-5</v>
      </c>
      <c r="F944" s="16">
        <v>0.9999917033210295</v>
      </c>
      <c r="G944" s="16"/>
      <c r="H944" s="16">
        <v>1.0</v>
      </c>
      <c r="I944" s="16">
        <v>0.5416666666666666</v>
      </c>
      <c r="J944" s="16">
        <v>0.01234567901234568</v>
      </c>
      <c r="K944" s="4">
        <v>0.0</v>
      </c>
      <c r="M944" s="4" t="s">
        <v>32</v>
      </c>
    </row>
    <row r="945" ht="18.0" customHeight="1">
      <c r="A945" s="4" t="s">
        <v>65</v>
      </c>
      <c r="B945" s="4">
        <v>83.0</v>
      </c>
      <c r="C945" s="4" t="s">
        <v>270</v>
      </c>
      <c r="D945" s="4" t="s">
        <v>427</v>
      </c>
      <c r="E945" s="16">
        <v>9.714146472106222E-6</v>
      </c>
      <c r="F945" s="16">
        <v>0.9999993946436376</v>
      </c>
      <c r="G945" s="16"/>
      <c r="H945" s="16">
        <v>0.09090909090909091</v>
      </c>
      <c r="I945" s="16">
        <v>0.16666666666666666</v>
      </c>
      <c r="J945" s="16">
        <v>0.5</v>
      </c>
      <c r="K945" s="4">
        <v>0.0</v>
      </c>
      <c r="M945" s="4" t="s">
        <v>32</v>
      </c>
    </row>
    <row r="946" ht="18.0" customHeight="1">
      <c r="A946" s="4" t="s">
        <v>65</v>
      </c>
      <c r="B946" s="4">
        <v>84.0</v>
      </c>
      <c r="C946" s="4" t="s">
        <v>748</v>
      </c>
      <c r="D946" s="4" t="s">
        <v>749</v>
      </c>
      <c r="E946" s="16">
        <v>3.4899625461548567E-4</v>
      </c>
      <c r="F946" s="16">
        <v>0.9999611842267768</v>
      </c>
      <c r="G946" s="16"/>
      <c r="H946" s="16">
        <v>0.09090909090909091</v>
      </c>
      <c r="I946" s="16">
        <v>0.041666666666666664</v>
      </c>
      <c r="J946" s="16">
        <v>0.25</v>
      </c>
      <c r="K946" s="4">
        <v>0.0</v>
      </c>
      <c r="M946" s="4" t="s">
        <v>32</v>
      </c>
    </row>
    <row r="947" ht="18.0" customHeight="1">
      <c r="A947" s="4" t="s">
        <v>65</v>
      </c>
      <c r="B947" s="4">
        <v>85.0</v>
      </c>
      <c r="C947" s="4" t="s">
        <v>232</v>
      </c>
      <c r="D947" s="4" t="s">
        <v>592</v>
      </c>
      <c r="E947" s="16">
        <v>4.9585505621507764E-5</v>
      </c>
      <c r="F947" s="16">
        <v>0.999996107110519</v>
      </c>
      <c r="G947" s="16"/>
      <c r="H947" s="16">
        <v>0.0</v>
      </c>
      <c r="I947" s="16">
        <v>0.0</v>
      </c>
      <c r="J947" s="16">
        <v>0.0</v>
      </c>
      <c r="K947" s="4">
        <v>0.0</v>
      </c>
      <c r="M947" s="4" t="s">
        <v>32</v>
      </c>
    </row>
    <row r="948" ht="18.0" customHeight="1">
      <c r="A948" s="4" t="s">
        <v>65</v>
      </c>
      <c r="B948" s="4">
        <v>86.0</v>
      </c>
      <c r="C948" s="4" t="s">
        <v>743</v>
      </c>
      <c r="D948" s="4" t="s">
        <v>87</v>
      </c>
      <c r="E948" s="16">
        <v>5.659371163346805E-5</v>
      </c>
      <c r="F948" s="16">
        <v>0.9999954894998382</v>
      </c>
      <c r="G948" s="16"/>
      <c r="H948" s="16">
        <v>1.0</v>
      </c>
      <c r="I948" s="16">
        <v>0.5416666666666666</v>
      </c>
      <c r="J948" s="16">
        <v>0.1518595041322314</v>
      </c>
      <c r="K948" s="4">
        <v>0.0</v>
      </c>
      <c r="M948" s="4" t="s">
        <v>32</v>
      </c>
    </row>
    <row r="949" ht="18.0" customHeight="1">
      <c r="A949" s="4" t="s">
        <v>65</v>
      </c>
      <c r="B949" s="4">
        <v>87.0</v>
      </c>
      <c r="C949" s="4" t="s">
        <v>181</v>
      </c>
      <c r="D949" s="4" t="s">
        <v>270</v>
      </c>
      <c r="E949" s="16">
        <v>2.1610585099551827E-4</v>
      </c>
      <c r="F949" s="16">
        <v>0.9999671491623303</v>
      </c>
      <c r="G949" s="16"/>
      <c r="H949" s="16">
        <v>0.09090909090909091</v>
      </c>
      <c r="I949" s="16">
        <v>0.16666666666666666</v>
      </c>
      <c r="J949" s="16">
        <v>0.0</v>
      </c>
      <c r="K949" s="4">
        <v>0.0</v>
      </c>
      <c r="M949" s="4" t="s">
        <v>32</v>
      </c>
    </row>
    <row r="950" ht="18.0" customHeight="1">
      <c r="A950" s="4" t="s">
        <v>65</v>
      </c>
      <c r="B950" s="4">
        <v>88.0</v>
      </c>
      <c r="C950" s="4" t="s">
        <v>151</v>
      </c>
      <c r="D950" s="4" t="s">
        <v>779</v>
      </c>
      <c r="E950" s="16">
        <v>1.200693986902479E-5</v>
      </c>
      <c r="F950" s="16">
        <v>0.9999992188069626</v>
      </c>
      <c r="G950" s="16"/>
      <c r="H950" s="16">
        <v>1.0</v>
      </c>
      <c r="I950" s="16">
        <v>0.4583333333333333</v>
      </c>
      <c r="J950" s="16">
        <v>0.6666666666666667</v>
      </c>
      <c r="K950" s="4">
        <v>0.0</v>
      </c>
      <c r="M950" s="4" t="s">
        <v>32</v>
      </c>
    </row>
    <row r="951" ht="18.0" customHeight="1">
      <c r="A951" s="4" t="s">
        <v>65</v>
      </c>
      <c r="B951" s="4">
        <v>89.0</v>
      </c>
      <c r="C951" s="4" t="s">
        <v>159</v>
      </c>
      <c r="D951" s="4" t="s">
        <v>264</v>
      </c>
      <c r="E951" s="16">
        <v>2.2220356186153367E-5</v>
      </c>
      <c r="F951" s="16">
        <v>0.999998108197758</v>
      </c>
      <c r="G951" s="16"/>
      <c r="H951" s="16">
        <v>1.0</v>
      </c>
      <c r="I951" s="16">
        <v>0.5208333333333334</v>
      </c>
      <c r="J951" s="16">
        <v>0.007092198581560284</v>
      </c>
      <c r="K951" s="4">
        <v>0.0</v>
      </c>
      <c r="M951" s="4" t="s">
        <v>32</v>
      </c>
    </row>
    <row r="952" ht="18.0" customHeight="1">
      <c r="A952" s="4" t="s">
        <v>65</v>
      </c>
      <c r="B952" s="4">
        <v>90.0</v>
      </c>
      <c r="C952" s="4" t="s">
        <v>160</v>
      </c>
      <c r="D952" s="4" t="s">
        <v>270</v>
      </c>
      <c r="E952" s="16">
        <v>3.2542120607104152E-6</v>
      </c>
      <c r="F952" s="16">
        <v>0.9999998022284942</v>
      </c>
      <c r="G952" s="16"/>
      <c r="H952" s="16">
        <v>0.0</v>
      </c>
      <c r="I952" s="16">
        <v>0.08333333333333333</v>
      </c>
      <c r="J952" s="16">
        <v>0.19999999999999996</v>
      </c>
      <c r="K952" s="4">
        <v>0.0</v>
      </c>
      <c r="M952" s="4" t="s">
        <v>32</v>
      </c>
    </row>
    <row r="953" ht="18.0" customHeight="1">
      <c r="A953" s="4" t="s">
        <v>65</v>
      </c>
      <c r="B953" s="4">
        <v>91.0</v>
      </c>
      <c r="C953" s="4" t="s">
        <v>151</v>
      </c>
      <c r="D953" s="4" t="s">
        <v>779</v>
      </c>
      <c r="E953" s="16">
        <v>3.5449535062070936E-5</v>
      </c>
      <c r="F953" s="16">
        <v>0.999996782334506</v>
      </c>
      <c r="G953" s="16"/>
      <c r="H953" s="16">
        <v>0.8181818181818182</v>
      </c>
      <c r="I953" s="16">
        <v>0.4166666666666667</v>
      </c>
      <c r="J953" s="16">
        <v>0.4</v>
      </c>
      <c r="K953" s="4">
        <v>0.0</v>
      </c>
      <c r="M953" s="4" t="s">
        <v>32</v>
      </c>
    </row>
    <row r="954" ht="18.0" customHeight="1">
      <c r="A954" s="4" t="s">
        <v>65</v>
      </c>
      <c r="B954" s="4">
        <v>92.0</v>
      </c>
      <c r="C954" s="4" t="s">
        <v>159</v>
      </c>
      <c r="D954" s="4" t="s">
        <v>264</v>
      </c>
      <c r="E954" s="16">
        <v>4.284775423002429E-5</v>
      </c>
      <c r="F954" s="16">
        <v>0.9999961678297495</v>
      </c>
      <c r="G954" s="16"/>
      <c r="H954" s="16">
        <v>1.0</v>
      </c>
      <c r="I954" s="16">
        <v>0.5208333333333334</v>
      </c>
      <c r="J954" s="16">
        <v>0.007092198581560284</v>
      </c>
      <c r="K954" s="4">
        <v>0.0</v>
      </c>
      <c r="M954" s="4" t="s">
        <v>32</v>
      </c>
    </row>
    <row r="955" ht="18.0" customHeight="1">
      <c r="A955" s="4" t="s">
        <v>65</v>
      </c>
      <c r="B955" s="4">
        <v>93.0</v>
      </c>
      <c r="C955" s="4" t="s">
        <v>270</v>
      </c>
      <c r="D955" s="4" t="s">
        <v>427</v>
      </c>
      <c r="E955" s="16">
        <v>9.12445830181241E-6</v>
      </c>
      <c r="F955" s="16">
        <v>0.9999993729086754</v>
      </c>
      <c r="G955" s="16"/>
      <c r="H955" s="16">
        <v>0.0</v>
      </c>
      <c r="I955" s="16">
        <v>0.08333333333333333</v>
      </c>
      <c r="J955" s="16">
        <v>0.33333333333333337</v>
      </c>
      <c r="K955" s="4">
        <v>0.0</v>
      </c>
      <c r="M955" s="4" t="s">
        <v>32</v>
      </c>
    </row>
    <row r="956" ht="18.0" customHeight="1">
      <c r="A956" s="4" t="s">
        <v>65</v>
      </c>
      <c r="B956" s="4">
        <v>94.0</v>
      </c>
      <c r="C956" s="4" t="s">
        <v>779</v>
      </c>
      <c r="D956" s="4" t="s">
        <v>194</v>
      </c>
      <c r="E956" s="16">
        <v>1.1842206004075706E-4</v>
      </c>
      <c r="F956" s="16">
        <v>0.9999872547728046</v>
      </c>
      <c r="G956" s="16"/>
      <c r="H956" s="16">
        <v>1.0</v>
      </c>
      <c r="I956" s="16">
        <v>0.5</v>
      </c>
      <c r="J956" s="16">
        <v>0.008264462809917356</v>
      </c>
      <c r="K956" s="4">
        <v>0.0</v>
      </c>
      <c r="M956" s="4" t="s">
        <v>32</v>
      </c>
    </row>
    <row r="957" ht="18.0" customHeight="1">
      <c r="A957" s="4" t="s">
        <v>65</v>
      </c>
      <c r="B957" s="4">
        <v>95.0</v>
      </c>
      <c r="C957" s="4" t="s">
        <v>232</v>
      </c>
      <c r="D957" s="4" t="s">
        <v>289</v>
      </c>
      <c r="E957" s="16">
        <v>7.623102283105254E-5</v>
      </c>
      <c r="F957" s="16">
        <v>0.9999897312823123</v>
      </c>
      <c r="G957" s="16"/>
      <c r="H957" s="16">
        <v>1.0</v>
      </c>
      <c r="I957" s="16">
        <v>0.45416666666666666</v>
      </c>
      <c r="J957" s="16">
        <v>0.17163120567375884</v>
      </c>
      <c r="K957" s="4">
        <v>1.0</v>
      </c>
      <c r="L957" s="4">
        <v>0.0</v>
      </c>
      <c r="M957" s="4" t="s">
        <v>239</v>
      </c>
    </row>
    <row r="958" ht="18.0" customHeight="1">
      <c r="A958" s="4" t="s">
        <v>65</v>
      </c>
      <c r="B958" s="4">
        <v>96.0</v>
      </c>
      <c r="C958" s="4" t="s">
        <v>464</v>
      </c>
      <c r="D958" s="4" t="s">
        <v>87</v>
      </c>
      <c r="E958" s="16">
        <v>1.8531759269535542E-4</v>
      </c>
      <c r="F958" s="16">
        <v>0.9999735460642114</v>
      </c>
      <c r="G958" s="16"/>
      <c r="H958" s="16">
        <v>1.0</v>
      </c>
      <c r="I958" s="16">
        <v>0.6666666666666666</v>
      </c>
      <c r="J958" s="16">
        <v>0.132387706855792</v>
      </c>
      <c r="K958" s="4">
        <v>0.0</v>
      </c>
      <c r="M958" s="4" t="s">
        <v>32</v>
      </c>
    </row>
    <row r="959" ht="18.0" customHeight="1">
      <c r="A959" s="4" t="s">
        <v>65</v>
      </c>
      <c r="B959" s="4">
        <v>97.0</v>
      </c>
      <c r="C959" s="4" t="s">
        <v>1132</v>
      </c>
      <c r="D959" s="4" t="s">
        <v>1133</v>
      </c>
      <c r="E959" s="16">
        <v>6.778487295378E-5</v>
      </c>
      <c r="F959" s="16">
        <v>0.9999944132022165</v>
      </c>
      <c r="G959" s="16"/>
      <c r="H959" s="16">
        <v>0.0</v>
      </c>
      <c r="I959" s="16">
        <v>0.016666666666666666</v>
      </c>
      <c r="J959" s="16">
        <v>0.0</v>
      </c>
      <c r="K959" s="4">
        <v>0.0</v>
      </c>
      <c r="M959" s="4" t="s">
        <v>32</v>
      </c>
    </row>
    <row r="960" ht="18.0" customHeight="1">
      <c r="A960" s="4" t="s">
        <v>65</v>
      </c>
      <c r="B960" s="4">
        <v>98.0</v>
      </c>
      <c r="C960" s="4" t="s">
        <v>682</v>
      </c>
      <c r="D960" s="4" t="s">
        <v>1106</v>
      </c>
      <c r="E960" s="16">
        <v>1.491180737502873E-4</v>
      </c>
      <c r="F960" s="16">
        <v>0.999985783882039</v>
      </c>
      <c r="G960" s="16"/>
      <c r="H960" s="16">
        <v>0.0</v>
      </c>
      <c r="I960" s="16">
        <v>0.016666666666666666</v>
      </c>
      <c r="J960" s="16">
        <v>0.33333333333333337</v>
      </c>
      <c r="K960" s="4">
        <v>0.0</v>
      </c>
      <c r="M960" s="4" t="s">
        <v>32</v>
      </c>
    </row>
    <row r="961" ht="18.0" customHeight="1">
      <c r="A961" s="4" t="s">
        <v>65</v>
      </c>
      <c r="B961" s="4">
        <v>99.0</v>
      </c>
      <c r="C961" s="4" t="s">
        <v>985</v>
      </c>
      <c r="D961" s="4" t="s">
        <v>949</v>
      </c>
      <c r="E961" s="16">
        <v>1.0901190762524493E-5</v>
      </c>
      <c r="F961" s="16">
        <v>0.9999991187908961</v>
      </c>
      <c r="G961" s="16"/>
      <c r="H961" s="16">
        <v>0.0</v>
      </c>
      <c r="I961" s="16">
        <v>0.041666666666666664</v>
      </c>
      <c r="J961" s="16">
        <v>0.19999999999999996</v>
      </c>
      <c r="K961" s="4">
        <v>0.0</v>
      </c>
      <c r="M961" s="4" t="s">
        <v>32</v>
      </c>
    </row>
    <row r="962" ht="18.0" customHeight="1">
      <c r="A962" s="4" t="s">
        <v>65</v>
      </c>
      <c r="B962" s="4">
        <v>100.0</v>
      </c>
      <c r="C962" s="4" t="s">
        <v>761</v>
      </c>
      <c r="D962" s="4" t="s">
        <v>270</v>
      </c>
      <c r="E962" s="16">
        <v>8.520882147422526E-6</v>
      </c>
      <c r="F962" s="16">
        <v>0.9999995158454311</v>
      </c>
      <c r="G962" s="16"/>
      <c r="H962" s="16">
        <v>0.2727272727272727</v>
      </c>
      <c r="I962" s="16">
        <v>0.3333333333333333</v>
      </c>
      <c r="J962" s="16">
        <v>0.6666666666666667</v>
      </c>
      <c r="K962" s="4">
        <v>0.0</v>
      </c>
      <c r="M962" s="4" t="s">
        <v>32</v>
      </c>
    </row>
    <row r="963" ht="18.0" customHeight="1">
      <c r="A963" s="4" t="s">
        <v>65</v>
      </c>
      <c r="B963" s="4">
        <v>101.0</v>
      </c>
      <c r="C963" s="4" t="s">
        <v>151</v>
      </c>
      <c r="D963" s="4" t="s">
        <v>545</v>
      </c>
      <c r="E963" s="16">
        <v>1.113768757932121E-5</v>
      </c>
      <c r="F963" s="16">
        <v>0.9999993956437834</v>
      </c>
      <c r="G963" s="16"/>
      <c r="H963" s="16">
        <v>1.0</v>
      </c>
      <c r="I963" s="16">
        <v>0.6666666666666666</v>
      </c>
      <c r="J963" s="16">
        <v>0.33333333333333337</v>
      </c>
      <c r="K963" s="4">
        <v>0.0</v>
      </c>
      <c r="M963" s="4" t="s">
        <v>32</v>
      </c>
    </row>
    <row r="964" ht="18.0" customHeight="1">
      <c r="A964" s="4" t="s">
        <v>65</v>
      </c>
      <c r="B964" s="4">
        <v>102.0</v>
      </c>
      <c r="C964" s="4" t="s">
        <v>159</v>
      </c>
      <c r="D964" s="4" t="s">
        <v>634</v>
      </c>
      <c r="E964" s="16">
        <v>2.73078494501533E-5</v>
      </c>
      <c r="F964" s="16">
        <v>0.999997558180894</v>
      </c>
      <c r="G964" s="16"/>
      <c r="H964" s="16">
        <v>0.9090909090909091</v>
      </c>
      <c r="I964" s="16">
        <v>0.6041666666666666</v>
      </c>
      <c r="J964" s="16">
        <v>0.33333333333333337</v>
      </c>
      <c r="K964" s="4">
        <v>0.0</v>
      </c>
      <c r="M964" s="4" t="s">
        <v>32</v>
      </c>
    </row>
    <row r="965" ht="18.0" customHeight="1">
      <c r="A965" s="4" t="s">
        <v>65</v>
      </c>
      <c r="B965" s="4">
        <v>103.0</v>
      </c>
      <c r="C965" s="4" t="s">
        <v>634</v>
      </c>
      <c r="D965" s="4" t="s">
        <v>270</v>
      </c>
      <c r="E965" s="16">
        <v>1.1287950655969325E-5</v>
      </c>
      <c r="F965" s="16">
        <v>0.9999991356595217</v>
      </c>
      <c r="G965" s="16"/>
      <c r="H965" s="16">
        <v>0.09090909090909091</v>
      </c>
      <c r="I965" s="16">
        <v>0.16666666666666666</v>
      </c>
      <c r="J965" s="16">
        <v>0.4</v>
      </c>
      <c r="K965" s="4">
        <v>0.0</v>
      </c>
      <c r="M965" s="4" t="s">
        <v>32</v>
      </c>
    </row>
    <row r="966" ht="18.0" customHeight="1">
      <c r="A966" s="4" t="s">
        <v>65</v>
      </c>
      <c r="B966" s="4">
        <v>104.0</v>
      </c>
      <c r="C966" s="4" t="s">
        <v>151</v>
      </c>
      <c r="D966" s="4" t="s">
        <v>545</v>
      </c>
      <c r="E966" s="16">
        <v>1.4272774933488108E-5</v>
      </c>
      <c r="F966" s="16">
        <v>0.9999990887760646</v>
      </c>
      <c r="G966" s="16"/>
      <c r="H966" s="16">
        <v>1.0</v>
      </c>
      <c r="I966" s="16">
        <v>0.5208333333333334</v>
      </c>
      <c r="J966" s="16">
        <v>0.0</v>
      </c>
      <c r="K966" s="4">
        <v>0.0</v>
      </c>
      <c r="M966" s="4" t="s">
        <v>32</v>
      </c>
    </row>
    <row r="967" ht="18.0" customHeight="1">
      <c r="A967" s="4" t="s">
        <v>65</v>
      </c>
      <c r="B967" s="4">
        <v>105.0</v>
      </c>
      <c r="C967" s="4" t="s">
        <v>159</v>
      </c>
      <c r="D967" s="4" t="s">
        <v>264</v>
      </c>
      <c r="E967" s="16">
        <v>1.6236606825259514E-5</v>
      </c>
      <c r="F967" s="16">
        <v>0.9999987592979096</v>
      </c>
      <c r="G967" s="16"/>
      <c r="H967" s="16">
        <v>1.0</v>
      </c>
      <c r="I967" s="16">
        <v>0.5625</v>
      </c>
      <c r="J967" s="16">
        <v>0.01234567901234568</v>
      </c>
      <c r="K967" s="4">
        <v>0.0</v>
      </c>
      <c r="M967" s="4" t="s">
        <v>32</v>
      </c>
    </row>
    <row r="968" ht="18.0" customHeight="1">
      <c r="A968" s="4" t="s">
        <v>65</v>
      </c>
      <c r="B968" s="4">
        <v>106.0</v>
      </c>
      <c r="C968" s="4" t="s">
        <v>270</v>
      </c>
      <c r="D968" s="4" t="s">
        <v>160</v>
      </c>
      <c r="E968" s="16">
        <v>4.771063686348498E-5</v>
      </c>
      <c r="F968" s="16">
        <v>0.9999961315223231</v>
      </c>
      <c r="G968" s="16"/>
      <c r="H968" s="16">
        <v>0.0</v>
      </c>
      <c r="I968" s="16">
        <v>0.08333333333333333</v>
      </c>
      <c r="J968" s="16">
        <v>0.4</v>
      </c>
      <c r="K968" s="4">
        <v>0.0</v>
      </c>
      <c r="M968" s="4" t="s">
        <v>32</v>
      </c>
    </row>
    <row r="969" ht="18.0" customHeight="1">
      <c r="A969" s="4" t="s">
        <v>65</v>
      </c>
      <c r="B969" s="4">
        <v>107.0</v>
      </c>
      <c r="C969" s="4" t="s">
        <v>151</v>
      </c>
      <c r="D969" s="4" t="s">
        <v>748</v>
      </c>
      <c r="E969" s="16">
        <v>1.3390705134952441E-5</v>
      </c>
      <c r="F969" s="16">
        <v>0.999999027148931</v>
      </c>
      <c r="G969" s="16"/>
      <c r="H969" s="16">
        <v>1.0</v>
      </c>
      <c r="I969" s="16">
        <v>0.4583333333333333</v>
      </c>
      <c r="J969" s="16">
        <v>0.7530864197530864</v>
      </c>
      <c r="K969" s="4">
        <v>0.0</v>
      </c>
      <c r="M969" s="4" t="s">
        <v>32</v>
      </c>
    </row>
    <row r="970" ht="18.0" customHeight="1">
      <c r="A970" s="4" t="s">
        <v>65</v>
      </c>
      <c r="B970" s="4">
        <v>108.0</v>
      </c>
      <c r="C970" s="4" t="s">
        <v>159</v>
      </c>
      <c r="D970" s="4" t="s">
        <v>264</v>
      </c>
      <c r="E970" s="16">
        <v>1.2088023140677251E-5</v>
      </c>
      <c r="F970" s="16">
        <v>0.9999989666103204</v>
      </c>
      <c r="G970" s="16"/>
      <c r="H970" s="16">
        <v>1.0</v>
      </c>
      <c r="I970" s="16">
        <v>0.5416666666666666</v>
      </c>
      <c r="J970" s="16">
        <v>0.01234567901234568</v>
      </c>
      <c r="K970" s="4">
        <v>0.0</v>
      </c>
      <c r="M970" s="4" t="s">
        <v>32</v>
      </c>
    </row>
    <row r="971" ht="18.0" customHeight="1">
      <c r="A971" s="4" t="s">
        <v>65</v>
      </c>
      <c r="B971" s="4">
        <v>109.0</v>
      </c>
      <c r="C971" s="4" t="s">
        <v>851</v>
      </c>
      <c r="D971" s="4" t="s">
        <v>762</v>
      </c>
      <c r="E971" s="16">
        <v>1.4914130588294938E-5</v>
      </c>
      <c r="F971" s="16">
        <v>0.9999988601311429</v>
      </c>
      <c r="G971" s="16"/>
      <c r="H971" s="16">
        <v>0.0</v>
      </c>
      <c r="I971" s="16">
        <v>0.08333333333333333</v>
      </c>
      <c r="J971" s="16">
        <v>0.4</v>
      </c>
      <c r="K971" s="4">
        <v>0.0</v>
      </c>
      <c r="M971" s="4" t="s">
        <v>32</v>
      </c>
    </row>
    <row r="972" ht="18.0" customHeight="1">
      <c r="A972" s="4" t="s">
        <v>65</v>
      </c>
      <c r="B972" s="4">
        <v>110.0</v>
      </c>
      <c r="C972" s="4" t="s">
        <v>151</v>
      </c>
      <c r="D972" s="4" t="s">
        <v>1037</v>
      </c>
      <c r="E972" s="16">
        <v>1.829803477448877E-5</v>
      </c>
      <c r="F972" s="16">
        <v>0.9999988488204821</v>
      </c>
      <c r="G972" s="16"/>
      <c r="H972" s="16">
        <v>1.0</v>
      </c>
      <c r="I972" s="16">
        <v>0.5</v>
      </c>
      <c r="J972" s="16">
        <v>0.01639344262295082</v>
      </c>
      <c r="K972" s="4">
        <v>0.0</v>
      </c>
      <c r="M972" s="4" t="s">
        <v>32</v>
      </c>
    </row>
    <row r="973" ht="18.0" customHeight="1">
      <c r="A973" s="4" t="s">
        <v>65</v>
      </c>
      <c r="B973" s="4">
        <v>111.0</v>
      </c>
      <c r="C973" s="4" t="s">
        <v>159</v>
      </c>
      <c r="D973" s="4" t="s">
        <v>264</v>
      </c>
      <c r="E973" s="16">
        <v>3.648072015494108E-5</v>
      </c>
      <c r="F973" s="16">
        <v>0.9999959883797374</v>
      </c>
      <c r="G973" s="16"/>
      <c r="H973" s="16">
        <v>1.0</v>
      </c>
      <c r="I973" s="16">
        <v>0.5416666666666666</v>
      </c>
      <c r="J973" s="16">
        <v>0.01234567901234568</v>
      </c>
      <c r="K973" s="4">
        <v>0.0</v>
      </c>
      <c r="M973" s="4" t="s">
        <v>32</v>
      </c>
    </row>
    <row r="974" ht="18.0" customHeight="1">
      <c r="A974" s="4" t="s">
        <v>65</v>
      </c>
      <c r="B974" s="4">
        <v>112.0</v>
      </c>
      <c r="C974" s="4" t="s">
        <v>1134</v>
      </c>
      <c r="D974" s="4" t="s">
        <v>990</v>
      </c>
      <c r="E974" s="16">
        <v>9.043224054039456E-6</v>
      </c>
      <c r="F974" s="16">
        <v>0.9999993062456127</v>
      </c>
      <c r="G974" s="16"/>
      <c r="H974" s="16">
        <v>0.09090909090909091</v>
      </c>
      <c r="I974" s="16">
        <v>0.16666666666666666</v>
      </c>
      <c r="J974" s="16">
        <v>0.0</v>
      </c>
      <c r="K974" s="4">
        <v>0.0</v>
      </c>
      <c r="M974" s="4" t="s">
        <v>32</v>
      </c>
    </row>
    <row r="975" ht="18.0" customHeight="1">
      <c r="A975" s="4" t="s">
        <v>65</v>
      </c>
      <c r="B975" s="4">
        <v>113.0</v>
      </c>
      <c r="C975" s="4" t="s">
        <v>151</v>
      </c>
      <c r="D975" s="4" t="s">
        <v>1037</v>
      </c>
      <c r="E975" s="16">
        <v>7.459165317413863E-6</v>
      </c>
      <c r="F975" s="16">
        <v>0.9999995168300728</v>
      </c>
      <c r="G975" s="16"/>
      <c r="H975" s="16">
        <v>1.0</v>
      </c>
      <c r="I975" s="16">
        <v>0.5</v>
      </c>
      <c r="J975" s="16">
        <v>0.01639344262295082</v>
      </c>
      <c r="K975" s="4">
        <v>0.0</v>
      </c>
      <c r="M975" s="4" t="s">
        <v>32</v>
      </c>
    </row>
    <row r="976" ht="18.0" customHeight="1">
      <c r="A976" s="4" t="s">
        <v>65</v>
      </c>
      <c r="B976" s="4">
        <v>114.0</v>
      </c>
      <c r="C976" s="4" t="s">
        <v>159</v>
      </c>
      <c r="D976" s="4" t="s">
        <v>264</v>
      </c>
      <c r="E976" s="16">
        <v>1.4395563084690366E-5</v>
      </c>
      <c r="F976" s="16">
        <v>0.9999985299477885</v>
      </c>
      <c r="G976" s="16"/>
      <c r="H976" s="16">
        <v>1.0</v>
      </c>
      <c r="I976" s="16">
        <v>0.5416666666666666</v>
      </c>
      <c r="J976" s="16">
        <v>0.01234567901234568</v>
      </c>
      <c r="K976" s="4">
        <v>0.0</v>
      </c>
      <c r="M976" s="4" t="s">
        <v>32</v>
      </c>
    </row>
    <row r="977" ht="18.0" customHeight="1">
      <c r="A977" s="4" t="s">
        <v>65</v>
      </c>
      <c r="B977" s="4">
        <v>115.0</v>
      </c>
      <c r="C977" s="4" t="s">
        <v>990</v>
      </c>
      <c r="D977" s="4" t="s">
        <v>762</v>
      </c>
      <c r="E977" s="16">
        <v>6.5919912231038325E-6</v>
      </c>
      <c r="F977" s="16">
        <v>0.9999995430601842</v>
      </c>
      <c r="G977" s="16"/>
      <c r="H977" s="16">
        <v>0.0</v>
      </c>
      <c r="I977" s="16">
        <v>0.08333333333333333</v>
      </c>
      <c r="J977" s="16">
        <v>0.5</v>
      </c>
      <c r="K977" s="4">
        <v>0.0</v>
      </c>
      <c r="M977" s="4" t="s">
        <v>32</v>
      </c>
    </row>
    <row r="978" ht="18.0" customHeight="1">
      <c r="A978" s="4" t="s">
        <v>65</v>
      </c>
      <c r="B978" s="4">
        <v>116.0</v>
      </c>
      <c r="C978" s="4" t="s">
        <v>151</v>
      </c>
      <c r="D978" s="4" t="s">
        <v>748</v>
      </c>
      <c r="E978" s="16">
        <v>2.8772194127668627E-5</v>
      </c>
      <c r="F978" s="16">
        <v>0.9999967061594361</v>
      </c>
      <c r="G978" s="16"/>
      <c r="H978" s="16">
        <v>0.6363636363636364</v>
      </c>
      <c r="I978" s="16">
        <v>0.3333333333333333</v>
      </c>
      <c r="J978" s="16">
        <v>0.75</v>
      </c>
      <c r="K978" s="4">
        <v>0.0</v>
      </c>
      <c r="M978" s="4" t="s">
        <v>32</v>
      </c>
    </row>
    <row r="979" ht="18.0" customHeight="1">
      <c r="A979" s="4" t="s">
        <v>65</v>
      </c>
      <c r="B979" s="4">
        <v>117.0</v>
      </c>
      <c r="C979" s="4" t="s">
        <v>159</v>
      </c>
      <c r="D979" s="4" t="s">
        <v>264</v>
      </c>
      <c r="E979" s="16">
        <v>1.1585222637222614E-5</v>
      </c>
      <c r="F979" s="16">
        <v>0.9999993177897295</v>
      </c>
      <c r="G979" s="16"/>
      <c r="H979" s="16">
        <v>1.0</v>
      </c>
      <c r="I979" s="16">
        <v>0.5416666666666666</v>
      </c>
      <c r="J979" s="16">
        <v>0.01234567901234568</v>
      </c>
      <c r="K979" s="4">
        <v>0.0</v>
      </c>
      <c r="M979" s="4" t="s">
        <v>32</v>
      </c>
    </row>
    <row r="980" ht="18.0" customHeight="1">
      <c r="A980" s="4" t="s">
        <v>65</v>
      </c>
      <c r="B980" s="4">
        <v>118.0</v>
      </c>
      <c r="C980" s="4" t="s">
        <v>160</v>
      </c>
      <c r="D980" s="4" t="s">
        <v>181</v>
      </c>
      <c r="E980" s="16">
        <v>3.740127067430876E-5</v>
      </c>
      <c r="F980" s="16">
        <v>0.9999968635905248</v>
      </c>
      <c r="G980" s="16"/>
      <c r="H980" s="16">
        <v>0.09090909090909091</v>
      </c>
      <c r="I980" s="16">
        <v>0.16666666666666666</v>
      </c>
      <c r="J980" s="16">
        <v>0.5</v>
      </c>
      <c r="K980" s="4">
        <v>0.0</v>
      </c>
      <c r="M980" s="4" t="s">
        <v>32</v>
      </c>
    </row>
    <row r="981" ht="18.0" customHeight="1">
      <c r="A981" s="4" t="s">
        <v>65</v>
      </c>
      <c r="B981" s="4">
        <v>119.0</v>
      </c>
      <c r="C981" s="4" t="s">
        <v>748</v>
      </c>
      <c r="D981" s="4" t="s">
        <v>749</v>
      </c>
      <c r="E981" s="16">
        <v>2.1510693477466702E-4</v>
      </c>
      <c r="F981" s="16">
        <v>0.9999754581922389</v>
      </c>
      <c r="G981" s="16"/>
      <c r="H981" s="16">
        <v>1.0</v>
      </c>
      <c r="I981" s="16">
        <v>0.4791666666666667</v>
      </c>
      <c r="J981" s="16">
        <v>0.0</v>
      </c>
      <c r="K981" s="4">
        <v>0.0</v>
      </c>
      <c r="M981" s="4" t="s">
        <v>32</v>
      </c>
    </row>
    <row r="982" ht="18.0" customHeight="1">
      <c r="A982" s="4" t="s">
        <v>65</v>
      </c>
      <c r="B982" s="4">
        <v>120.0</v>
      </c>
      <c r="C982" s="4" t="s">
        <v>232</v>
      </c>
      <c r="D982" s="4" t="s">
        <v>289</v>
      </c>
      <c r="E982" s="16">
        <v>2.254029386676848E-4</v>
      </c>
      <c r="F982" s="16">
        <v>0.9999706608441556</v>
      </c>
      <c r="G982" s="16"/>
      <c r="H982" s="16">
        <v>1.0</v>
      </c>
      <c r="I982" s="16">
        <v>0.5208333333333334</v>
      </c>
      <c r="J982" s="16">
        <v>0.11111111111111112</v>
      </c>
      <c r="K982" s="4">
        <v>0.0</v>
      </c>
      <c r="M982" s="4" t="s">
        <v>32</v>
      </c>
    </row>
    <row r="983" ht="18.0" customHeight="1">
      <c r="A983" s="4" t="s">
        <v>65</v>
      </c>
      <c r="B983" s="4">
        <v>121.0</v>
      </c>
      <c r="C983" s="4" t="s">
        <v>743</v>
      </c>
      <c r="D983" s="4" t="s">
        <v>87</v>
      </c>
      <c r="E983" s="16">
        <v>1.9121750665362924E-4</v>
      </c>
      <c r="F983" s="16">
        <v>0.9999742757536296</v>
      </c>
      <c r="G983" s="16"/>
      <c r="H983" s="16">
        <v>1.0</v>
      </c>
      <c r="I983" s="16">
        <v>0.6458333333333334</v>
      </c>
      <c r="J983" s="16">
        <v>0.2268518518518519</v>
      </c>
      <c r="K983" s="4">
        <v>0.0</v>
      </c>
      <c r="M983" s="4" t="s">
        <v>32</v>
      </c>
    </row>
    <row r="984" ht="18.0" customHeight="1">
      <c r="A984" s="4" t="s">
        <v>65</v>
      </c>
      <c r="B984" s="4">
        <v>122.0</v>
      </c>
      <c r="C984" s="4" t="s">
        <v>160</v>
      </c>
      <c r="D984" s="4" t="s">
        <v>761</v>
      </c>
      <c r="E984" s="16">
        <v>0.008479858748614788</v>
      </c>
      <c r="F984" s="16">
        <v>0.9979535393649712</v>
      </c>
      <c r="G984" s="16"/>
      <c r="H984" s="16">
        <v>0.0</v>
      </c>
      <c r="I984" s="16">
        <v>0.08333333333333333</v>
      </c>
      <c r="J984" s="16">
        <v>0.4</v>
      </c>
      <c r="K984" s="4">
        <v>0.0</v>
      </c>
      <c r="M984" s="4" t="s">
        <v>32</v>
      </c>
    </row>
    <row r="985" ht="18.0" customHeight="1">
      <c r="A985" s="4" t="s">
        <v>65</v>
      </c>
      <c r="B985" s="4">
        <v>123.0</v>
      </c>
      <c r="C985" s="4" t="s">
        <v>151</v>
      </c>
      <c r="D985" s="4" t="s">
        <v>545</v>
      </c>
      <c r="E985" s="16">
        <v>1.7840360669652E-5</v>
      </c>
      <c r="F985" s="16">
        <v>0.9999989288878197</v>
      </c>
      <c r="G985" s="16"/>
      <c r="H985" s="16">
        <v>1.0</v>
      </c>
      <c r="I985" s="16">
        <v>0.5208333333333334</v>
      </c>
      <c r="J985" s="16">
        <v>0.0</v>
      </c>
      <c r="K985" s="4">
        <v>0.0</v>
      </c>
      <c r="M985" s="4" t="s">
        <v>32</v>
      </c>
    </row>
    <row r="986" ht="18.0" customHeight="1">
      <c r="A986" s="4" t="s">
        <v>65</v>
      </c>
      <c r="B986" s="4">
        <v>124.0</v>
      </c>
      <c r="C986" s="4" t="s">
        <v>159</v>
      </c>
      <c r="D986" s="4" t="s">
        <v>264</v>
      </c>
      <c r="E986" s="16">
        <v>1.750416777213104E-5</v>
      </c>
      <c r="F986" s="16">
        <v>0.9999988338554147</v>
      </c>
      <c r="G986" s="16"/>
      <c r="H986" s="16">
        <v>1.0</v>
      </c>
      <c r="I986" s="16">
        <v>0.5625</v>
      </c>
      <c r="J986" s="16">
        <v>0.01234567901234568</v>
      </c>
      <c r="K986" s="4">
        <v>0.0</v>
      </c>
      <c r="M986" s="4" t="s">
        <v>32</v>
      </c>
    </row>
    <row r="987" ht="18.0" customHeight="1">
      <c r="A987" s="4" t="s">
        <v>65</v>
      </c>
      <c r="B987" s="4">
        <v>125.0</v>
      </c>
      <c r="C987" s="4" t="s">
        <v>634</v>
      </c>
      <c r="D987" s="4" t="s">
        <v>761</v>
      </c>
      <c r="E987" s="16">
        <v>6.273304461501539E-5</v>
      </c>
      <c r="F987" s="16">
        <v>0.9999940673352512</v>
      </c>
      <c r="G987" s="16"/>
      <c r="H987" s="16">
        <v>0.0</v>
      </c>
      <c r="I987" s="16">
        <v>0.08333333333333333</v>
      </c>
      <c r="J987" s="16">
        <v>0.4</v>
      </c>
      <c r="K987" s="4">
        <v>0.0</v>
      </c>
      <c r="M987" s="4" t="s">
        <v>32</v>
      </c>
    </row>
    <row r="988" ht="18.0" customHeight="1">
      <c r="A988" s="4" t="s">
        <v>65</v>
      </c>
      <c r="B988" s="4">
        <v>126.0</v>
      </c>
      <c r="C988" s="4" t="s">
        <v>151</v>
      </c>
      <c r="D988" s="4" t="s">
        <v>545</v>
      </c>
      <c r="E988" s="16">
        <v>2.0703539121313952E-5</v>
      </c>
      <c r="F988" s="16">
        <v>0.9999985989314268</v>
      </c>
      <c r="G988" s="16"/>
      <c r="H988" s="16">
        <v>1.0</v>
      </c>
      <c r="I988" s="16">
        <v>0.5208333333333334</v>
      </c>
      <c r="J988" s="16">
        <v>0.0</v>
      </c>
      <c r="K988" s="4">
        <v>0.0</v>
      </c>
      <c r="M988" s="4" t="s">
        <v>32</v>
      </c>
    </row>
    <row r="989" ht="18.0" customHeight="1">
      <c r="A989" s="4" t="s">
        <v>65</v>
      </c>
      <c r="B989" s="4">
        <v>127.0</v>
      </c>
      <c r="C989" s="4" t="s">
        <v>159</v>
      </c>
      <c r="D989" s="4" t="s">
        <v>264</v>
      </c>
      <c r="E989" s="16">
        <v>4.9949201638810337E-5</v>
      </c>
      <c r="F989" s="16">
        <v>0.9999966843408856</v>
      </c>
      <c r="G989" s="16"/>
      <c r="H989" s="16">
        <v>1.0</v>
      </c>
      <c r="I989" s="16">
        <v>0.5625</v>
      </c>
      <c r="J989" s="16">
        <v>0.01234567901234568</v>
      </c>
      <c r="K989" s="4">
        <v>0.0</v>
      </c>
      <c r="M989" s="4" t="s">
        <v>32</v>
      </c>
    </row>
    <row r="990" ht="18.0" customHeight="1">
      <c r="A990" s="4" t="s">
        <v>65</v>
      </c>
      <c r="B990" s="4">
        <v>128.0</v>
      </c>
      <c r="C990" s="4" t="s">
        <v>270</v>
      </c>
      <c r="D990" s="4" t="s">
        <v>761</v>
      </c>
      <c r="E990" s="16">
        <v>6.922426982782781E-4</v>
      </c>
      <c r="F990" s="16">
        <v>0.9999169563161558</v>
      </c>
      <c r="G990" s="16"/>
      <c r="H990" s="16">
        <v>0.0</v>
      </c>
      <c r="I990" s="16">
        <v>0.08333333333333333</v>
      </c>
      <c r="J990" s="16">
        <v>0.4</v>
      </c>
      <c r="K990" s="4">
        <v>0.0</v>
      </c>
      <c r="M990" s="4" t="s">
        <v>32</v>
      </c>
    </row>
    <row r="991" ht="18.0" customHeight="1">
      <c r="A991" s="4" t="s">
        <v>65</v>
      </c>
      <c r="B991" s="4">
        <v>129.0</v>
      </c>
      <c r="C991" s="4" t="s">
        <v>151</v>
      </c>
      <c r="D991" s="4" t="s">
        <v>779</v>
      </c>
      <c r="E991" s="16">
        <v>2.096581010846421E-5</v>
      </c>
      <c r="F991" s="16">
        <v>0.9999987699662256</v>
      </c>
      <c r="G991" s="16"/>
      <c r="H991" s="16">
        <v>1.0</v>
      </c>
      <c r="I991" s="16">
        <v>0.5</v>
      </c>
      <c r="J991" s="16">
        <v>0.2098765432098766</v>
      </c>
      <c r="K991" s="4">
        <v>0.0</v>
      </c>
      <c r="M991" s="4" t="s">
        <v>32</v>
      </c>
    </row>
    <row r="992" ht="18.0" customHeight="1">
      <c r="A992" s="4" t="s">
        <v>65</v>
      </c>
      <c r="B992" s="4">
        <v>130.0</v>
      </c>
      <c r="C992" s="4" t="s">
        <v>159</v>
      </c>
      <c r="D992" s="4" t="s">
        <v>264</v>
      </c>
      <c r="E992" s="16">
        <v>1.4906800060998648E-5</v>
      </c>
      <c r="F992" s="16">
        <v>0.9999989298917171</v>
      </c>
      <c r="G992" s="16"/>
      <c r="H992" s="16">
        <v>1.0</v>
      </c>
      <c r="I992" s="16">
        <v>0.5416666666666666</v>
      </c>
      <c r="J992" s="16">
        <v>0.01234567901234568</v>
      </c>
      <c r="K992" s="4">
        <v>0.0</v>
      </c>
      <c r="M992" s="4" t="s">
        <v>32</v>
      </c>
    </row>
    <row r="993" ht="18.0" customHeight="1">
      <c r="A993" s="4" t="s">
        <v>65</v>
      </c>
      <c r="B993" s="4">
        <v>131.0</v>
      </c>
      <c r="C993" s="4" t="s">
        <v>851</v>
      </c>
      <c r="D993" s="4" t="s">
        <v>761</v>
      </c>
      <c r="E993" s="16">
        <v>4.801789327757433E-5</v>
      </c>
      <c r="F993" s="16">
        <v>0.9999946908922084</v>
      </c>
      <c r="G993" s="16"/>
      <c r="H993" s="16">
        <v>0.09090909090909091</v>
      </c>
      <c r="I993" s="16">
        <v>0.16666666666666666</v>
      </c>
      <c r="J993" s="16">
        <v>0.0</v>
      </c>
      <c r="K993" s="4">
        <v>0.0</v>
      </c>
      <c r="M993" s="4" t="s">
        <v>32</v>
      </c>
    </row>
    <row r="994" ht="18.0" customHeight="1">
      <c r="A994" s="4" t="s">
        <v>65</v>
      </c>
      <c r="B994" s="4">
        <v>132.0</v>
      </c>
      <c r="C994" s="4" t="s">
        <v>151</v>
      </c>
      <c r="D994" s="4" t="s">
        <v>159</v>
      </c>
      <c r="E994" s="16">
        <v>2.3643466192879714E-5</v>
      </c>
      <c r="F994" s="16">
        <v>0.9999985543054208</v>
      </c>
      <c r="G994" s="16"/>
      <c r="H994" s="16">
        <v>1.0</v>
      </c>
      <c r="I994" s="16">
        <v>0.3125</v>
      </c>
      <c r="J994" s="16">
        <v>0.0</v>
      </c>
      <c r="K994" s="4">
        <v>0.0</v>
      </c>
      <c r="M994" s="4" t="s">
        <v>32</v>
      </c>
    </row>
    <row r="995" ht="18.0" customHeight="1">
      <c r="A995" s="4" t="s">
        <v>65</v>
      </c>
      <c r="B995" s="4">
        <v>133.0</v>
      </c>
      <c r="C995" s="4" t="s">
        <v>159</v>
      </c>
      <c r="D995" s="4" t="s">
        <v>264</v>
      </c>
      <c r="E995" s="16">
        <v>2.621869498398155E-5</v>
      </c>
      <c r="F995" s="16">
        <v>0.9999981560010838</v>
      </c>
      <c r="G995" s="16"/>
      <c r="H995" s="16">
        <v>1.0</v>
      </c>
      <c r="I995" s="16">
        <v>0.4583333333333333</v>
      </c>
      <c r="J995" s="16">
        <v>0.01639344262295082</v>
      </c>
      <c r="K995" s="4">
        <v>0.0</v>
      </c>
      <c r="M995" s="4" t="s">
        <v>32</v>
      </c>
    </row>
    <row r="996" ht="18.0" customHeight="1">
      <c r="A996" s="4" t="s">
        <v>65</v>
      </c>
      <c r="B996" s="4">
        <v>134.0</v>
      </c>
      <c r="C996" s="4" t="s">
        <v>1134</v>
      </c>
      <c r="D996" s="4" t="s">
        <v>990</v>
      </c>
      <c r="E996" s="16">
        <v>9.539439633954316E-5</v>
      </c>
      <c r="F996" s="16">
        <v>0.9999873139468036</v>
      </c>
      <c r="G996" s="16"/>
      <c r="H996" s="16">
        <v>0.0</v>
      </c>
      <c r="I996" s="16">
        <v>0.08333333333333333</v>
      </c>
      <c r="J996" s="16">
        <v>0.33333333333333337</v>
      </c>
      <c r="K996" s="4">
        <v>0.0</v>
      </c>
      <c r="M996" s="4" t="s">
        <v>32</v>
      </c>
    </row>
    <row r="997" ht="18.0" customHeight="1">
      <c r="A997" s="4" t="s">
        <v>65</v>
      </c>
      <c r="B997" s="4">
        <v>135.0</v>
      </c>
      <c r="C997" s="4" t="s">
        <v>151</v>
      </c>
      <c r="D997" s="4" t="s">
        <v>159</v>
      </c>
      <c r="E997" s="16">
        <v>8.357998922292609E-6</v>
      </c>
      <c r="F997" s="16">
        <v>0.9999995644212945</v>
      </c>
      <c r="G997" s="16"/>
      <c r="H997" s="16">
        <v>1.0</v>
      </c>
      <c r="I997" s="16">
        <v>0.30833333333333335</v>
      </c>
      <c r="J997" s="16">
        <v>0.33333333333333337</v>
      </c>
      <c r="K997" s="4">
        <v>0.0</v>
      </c>
      <c r="M997" s="4" t="s">
        <v>32</v>
      </c>
    </row>
    <row r="998" ht="18.0" customHeight="1">
      <c r="A998" s="4" t="s">
        <v>65</v>
      </c>
      <c r="B998" s="4">
        <v>136.0</v>
      </c>
      <c r="C998" s="4" t="s">
        <v>159</v>
      </c>
      <c r="D998" s="4" t="s">
        <v>264</v>
      </c>
      <c r="E998" s="16">
        <v>1.5592757335980423E-5</v>
      </c>
      <c r="F998" s="16">
        <v>0.999999110446538</v>
      </c>
      <c r="G998" s="16"/>
      <c r="H998" s="16">
        <v>1.0</v>
      </c>
      <c r="I998" s="16">
        <v>0.4791666666666667</v>
      </c>
      <c r="J998" s="16">
        <v>0.01639344262295082</v>
      </c>
      <c r="K998" s="4">
        <v>0.0</v>
      </c>
      <c r="M998" s="4" t="s">
        <v>32</v>
      </c>
    </row>
    <row r="999" ht="18.0" customHeight="1">
      <c r="A999" s="4" t="s">
        <v>65</v>
      </c>
      <c r="B999" s="4">
        <v>137.0</v>
      </c>
      <c r="C999" s="4" t="s">
        <v>990</v>
      </c>
      <c r="D999" s="4" t="s">
        <v>634</v>
      </c>
      <c r="E999" s="16">
        <v>3.1201903766486794E-5</v>
      </c>
      <c r="F999" s="16">
        <v>0.9999974834408363</v>
      </c>
      <c r="G999" s="16"/>
      <c r="H999" s="16">
        <v>0.2727272727272727</v>
      </c>
      <c r="I999" s="16">
        <v>0.26666666666666666</v>
      </c>
      <c r="J999" s="16">
        <v>0.5</v>
      </c>
      <c r="K999" s="4">
        <v>0.0</v>
      </c>
      <c r="M999" s="4" t="s">
        <v>32</v>
      </c>
    </row>
    <row r="1000" ht="18.0" customHeight="1">
      <c r="A1000" s="4" t="s">
        <v>65</v>
      </c>
      <c r="B1000" s="4">
        <v>138.0</v>
      </c>
      <c r="C1000" s="4" t="s">
        <v>151</v>
      </c>
      <c r="D1000" s="4" t="s">
        <v>779</v>
      </c>
      <c r="E1000" s="16">
        <v>4.253159568179399E-5</v>
      </c>
      <c r="F1000" s="16">
        <v>0.9999967645679249</v>
      </c>
      <c r="G1000" s="16"/>
      <c r="H1000" s="16">
        <v>1.0</v>
      </c>
      <c r="I1000" s="16">
        <v>0.37083333333333335</v>
      </c>
      <c r="J1000" s="16">
        <v>0.17460317460317462</v>
      </c>
      <c r="K1000" s="4">
        <v>0.0</v>
      </c>
      <c r="M1000" s="4" t="s">
        <v>32</v>
      </c>
    </row>
    <row r="1001" ht="18.0" customHeight="1">
      <c r="A1001" s="4" t="s">
        <v>65</v>
      </c>
      <c r="B1001" s="4">
        <v>139.0</v>
      </c>
      <c r="C1001" s="4" t="s">
        <v>159</v>
      </c>
      <c r="D1001" s="4" t="s">
        <v>264</v>
      </c>
      <c r="E1001" s="16">
        <v>3.482072861515917E-5</v>
      </c>
      <c r="F1001" s="16">
        <v>0.9999976358786284</v>
      </c>
      <c r="G1001" s="16"/>
      <c r="H1001" s="16">
        <v>1.0</v>
      </c>
      <c r="I1001" s="16">
        <v>0.4583333333333333</v>
      </c>
      <c r="J1001" s="16">
        <v>0.047619047619047616</v>
      </c>
      <c r="K1001" s="4">
        <v>0.0</v>
      </c>
      <c r="M1001" s="4" t="s">
        <v>32</v>
      </c>
    </row>
    <row r="1002" ht="18.0" customHeight="1">
      <c r="A1002" s="4" t="s">
        <v>65</v>
      </c>
      <c r="B1002" s="4">
        <v>140.0</v>
      </c>
      <c r="C1002" s="4" t="s">
        <v>761</v>
      </c>
      <c r="D1002" s="4" t="s">
        <v>270</v>
      </c>
      <c r="E1002" s="16">
        <v>1.16222734504845E-4</v>
      </c>
      <c r="F1002" s="16">
        <v>0.9999866006578486</v>
      </c>
      <c r="G1002" s="16"/>
      <c r="H1002" s="16">
        <v>0.5454545454545454</v>
      </c>
      <c r="I1002" s="16">
        <v>0.39166666666666666</v>
      </c>
      <c r="J1002" s="16">
        <v>0.507936507936508</v>
      </c>
      <c r="K1002" s="4">
        <v>0.0</v>
      </c>
      <c r="M1002" s="4" t="s">
        <v>32</v>
      </c>
    </row>
    <row r="1003" ht="18.0" customHeight="1">
      <c r="A1003" s="4" t="s">
        <v>65</v>
      </c>
      <c r="B1003" s="4">
        <v>141.0</v>
      </c>
      <c r="C1003" s="4" t="s">
        <v>779</v>
      </c>
      <c r="D1003" s="4" t="s">
        <v>194</v>
      </c>
      <c r="E1003" s="16">
        <v>0.0012618607142940164</v>
      </c>
      <c r="F1003" s="16">
        <v>0.9998005158267915</v>
      </c>
      <c r="G1003" s="16"/>
      <c r="H1003" s="16">
        <v>1.0</v>
      </c>
      <c r="I1003" s="16">
        <v>0.47500000000000003</v>
      </c>
      <c r="J1003" s="16">
        <v>0.8571428571428572</v>
      </c>
      <c r="K1003" s="4">
        <v>0.0</v>
      </c>
      <c r="M1003" s="4" t="s">
        <v>32</v>
      </c>
    </row>
    <row r="1004" ht="18.0" customHeight="1">
      <c r="A1004" s="4" t="s">
        <v>65</v>
      </c>
      <c r="B1004" s="4">
        <v>142.0</v>
      </c>
      <c r="C1004" s="4" t="s">
        <v>232</v>
      </c>
      <c r="D1004" s="4" t="s">
        <v>289</v>
      </c>
      <c r="E1004" s="16">
        <v>0.0013179434463381767</v>
      </c>
      <c r="F1004" s="16">
        <v>0.9997905417330912</v>
      </c>
      <c r="G1004" s="16"/>
      <c r="H1004" s="16">
        <v>1.0</v>
      </c>
      <c r="I1004" s="16">
        <v>0.41250000000000003</v>
      </c>
      <c r="J1004" s="16">
        <v>0.0</v>
      </c>
      <c r="K1004" s="4">
        <v>0.0</v>
      </c>
      <c r="M1004" s="4" t="s">
        <v>32</v>
      </c>
    </row>
    <row r="1005" ht="18.0" customHeight="1">
      <c r="A1005" s="4" t="s">
        <v>65</v>
      </c>
      <c r="B1005" s="4">
        <v>143.0</v>
      </c>
      <c r="C1005" s="4" t="s">
        <v>87</v>
      </c>
      <c r="D1005" s="4" t="s">
        <v>563</v>
      </c>
      <c r="E1005" s="16">
        <v>0.06564940512180328</v>
      </c>
      <c r="F1005" s="16">
        <v>0.976730665192008</v>
      </c>
      <c r="G1005" s="16"/>
      <c r="H1005" s="16">
        <v>0.8181818181818182</v>
      </c>
      <c r="I1005" s="16">
        <v>0.47500000000000003</v>
      </c>
      <c r="J1005" s="16">
        <v>0.4041994750656169</v>
      </c>
      <c r="K1005" s="4">
        <v>0.0</v>
      </c>
      <c r="M1005" s="4" t="s">
        <v>32</v>
      </c>
    </row>
    <row r="1006" ht="18.0" customHeight="1">
      <c r="A1006" s="4" t="s">
        <v>65</v>
      </c>
      <c r="B1006" s="4">
        <v>144.0</v>
      </c>
      <c r="C1006" s="4" t="s">
        <v>232</v>
      </c>
      <c r="D1006" s="4" t="s">
        <v>289</v>
      </c>
      <c r="E1006" s="16">
        <v>0.014870942570269108</v>
      </c>
      <c r="F1006" s="16">
        <v>0.9962193676037714</v>
      </c>
      <c r="G1006" s="16"/>
      <c r="H1006" s="16">
        <v>0.9090909090909091</v>
      </c>
      <c r="I1006" s="16">
        <v>0.44583333333333336</v>
      </c>
      <c r="J1006" s="16">
        <v>0.45833333333333337</v>
      </c>
      <c r="K1006" s="4">
        <v>0.0</v>
      </c>
      <c r="M1006" s="4" t="s">
        <v>32</v>
      </c>
    </row>
    <row r="1007" ht="18.0" customHeight="1">
      <c r="A1007" s="4" t="s">
        <v>65</v>
      </c>
      <c r="B1007" s="4">
        <v>145.0</v>
      </c>
      <c r="C1007" s="4" t="s">
        <v>666</v>
      </c>
      <c r="D1007" s="4" t="s">
        <v>163</v>
      </c>
      <c r="E1007" s="16">
        <v>1.8498245477676392</v>
      </c>
      <c r="F1007" s="16">
        <v>0.11343264579772949</v>
      </c>
      <c r="G1007" s="16"/>
      <c r="H1007" s="16">
        <v>1.0</v>
      </c>
      <c r="I1007" s="16">
        <v>0.725</v>
      </c>
      <c r="J1007" s="16">
        <v>0.9</v>
      </c>
      <c r="K1007" s="4">
        <v>1.0</v>
      </c>
      <c r="L1007" s="4">
        <v>0.0</v>
      </c>
      <c r="M1007" s="4" t="s">
        <v>239</v>
      </c>
    </row>
    <row r="1008" ht="18.0" customHeight="1">
      <c r="A1008" s="4" t="s">
        <v>65</v>
      </c>
      <c r="B1008" s="4">
        <v>146.0</v>
      </c>
      <c r="C1008" s="4" t="s">
        <v>681</v>
      </c>
      <c r="D1008" s="4" t="s">
        <v>682</v>
      </c>
      <c r="E1008" s="16">
        <v>1.3544502258300781</v>
      </c>
      <c r="F1008" s="16">
        <v>0.05955502390861511</v>
      </c>
      <c r="G1008" s="16"/>
      <c r="H1008" s="16">
        <v>1.0</v>
      </c>
      <c r="I1008" s="16">
        <v>0.6416666666666667</v>
      </c>
      <c r="J1008" s="16">
        <v>0.48283499446290146</v>
      </c>
      <c r="K1008" s="4">
        <v>1.0</v>
      </c>
      <c r="L1008" s="4">
        <v>1.0</v>
      </c>
      <c r="M1008" s="4" t="s">
        <v>486</v>
      </c>
    </row>
    <row r="1009" ht="18.0" customHeight="1">
      <c r="A1009" s="4" t="s">
        <v>65</v>
      </c>
      <c r="B1009" s="4">
        <v>147.0</v>
      </c>
      <c r="C1009" s="4" t="s">
        <v>180</v>
      </c>
      <c r="D1009" s="4" t="s">
        <v>1135</v>
      </c>
      <c r="E1009" s="16">
        <v>0.01700078323483467</v>
      </c>
      <c r="F1009" s="16">
        <v>0.9965195691911504</v>
      </c>
      <c r="G1009" s="16"/>
      <c r="H1009" s="16">
        <v>1.0</v>
      </c>
      <c r="I1009" s="16">
        <v>0.7083333333333334</v>
      </c>
      <c r="J1009" s="16">
        <v>0.35135135135135137</v>
      </c>
      <c r="K1009" s="4">
        <v>0.0</v>
      </c>
      <c r="M1009" s="4" t="s">
        <v>32</v>
      </c>
    </row>
    <row r="1010" ht="18.0" customHeight="1">
      <c r="A1010" s="4" t="s">
        <v>65</v>
      </c>
      <c r="B1010" s="4">
        <v>148.0</v>
      </c>
      <c r="C1010" s="4" t="s">
        <v>666</v>
      </c>
      <c r="D1010" s="4" t="s">
        <v>743</v>
      </c>
      <c r="E1010" s="16">
        <v>0.6484144330024719</v>
      </c>
      <c r="F1010" s="16">
        <v>0.43977418541908264</v>
      </c>
      <c r="G1010" s="16"/>
      <c r="H1010" s="16">
        <v>1.0</v>
      </c>
      <c r="I1010" s="16">
        <v>0.6208333333333333</v>
      </c>
      <c r="J1010" s="16">
        <v>0.5972222222222222</v>
      </c>
      <c r="K1010" s="4">
        <v>0.0</v>
      </c>
      <c r="M1010" s="4" t="s">
        <v>32</v>
      </c>
    </row>
    <row r="1011" ht="18.0" customHeight="1">
      <c r="A1011" s="4" t="s">
        <v>65</v>
      </c>
      <c r="B1011" s="4">
        <v>149.0</v>
      </c>
      <c r="C1011" s="4" t="s">
        <v>953</v>
      </c>
      <c r="D1011" s="4" t="s">
        <v>985</v>
      </c>
      <c r="E1011" s="16">
        <v>0.993342936038971</v>
      </c>
      <c r="F1011" s="16">
        <v>0.5827619880437851</v>
      </c>
      <c r="G1011" s="16"/>
      <c r="H1011" s="16">
        <v>1.0</v>
      </c>
      <c r="I1011" s="16">
        <v>0.6458333333333334</v>
      </c>
      <c r="J1011" s="16">
        <v>0.5266841644794401</v>
      </c>
      <c r="K1011" s="4">
        <v>0.0</v>
      </c>
      <c r="M1011" s="4" t="s">
        <v>32</v>
      </c>
    </row>
    <row r="1012" ht="18.0" customHeight="1">
      <c r="A1012" s="4" t="s">
        <v>65</v>
      </c>
      <c r="B1012" s="4">
        <v>150.0</v>
      </c>
      <c r="C1012" s="4" t="s">
        <v>604</v>
      </c>
      <c r="D1012" s="4" t="s">
        <v>311</v>
      </c>
      <c r="E1012" s="16">
        <v>0.01944766566157341</v>
      </c>
      <c r="F1012" s="16">
        <v>0.995100035564974</v>
      </c>
      <c r="G1012" s="16"/>
      <c r="H1012" s="16">
        <v>1.0</v>
      </c>
      <c r="I1012" s="16">
        <v>0.49583333333333335</v>
      </c>
      <c r="J1012" s="16">
        <v>0.6666666666666667</v>
      </c>
      <c r="K1012" s="4">
        <v>0.0</v>
      </c>
      <c r="M1012" s="4" t="s">
        <v>32</v>
      </c>
    </row>
    <row r="1013" ht="18.0" customHeight="1">
      <c r="A1013" s="4" t="s">
        <v>65</v>
      </c>
      <c r="B1013" s="4">
        <v>151.0</v>
      </c>
      <c r="C1013" s="4" t="s">
        <v>1107</v>
      </c>
      <c r="D1013" s="4" t="s">
        <v>1136</v>
      </c>
      <c r="E1013" s="16">
        <v>3.369118203409016E-4</v>
      </c>
      <c r="F1013" s="16">
        <v>0.9999697807720622</v>
      </c>
      <c r="G1013" s="16"/>
      <c r="H1013" s="16">
        <v>0.0</v>
      </c>
      <c r="I1013" s="16">
        <v>0.041666666666666664</v>
      </c>
      <c r="J1013" s="16">
        <v>0.0</v>
      </c>
      <c r="K1013" s="4">
        <v>0.0</v>
      </c>
      <c r="M1013" s="4" t="s">
        <v>32</v>
      </c>
    </row>
    <row r="1014" ht="18.0" customHeight="1">
      <c r="A1014" s="4" t="s">
        <v>65</v>
      </c>
      <c r="B1014" s="4">
        <v>152.0</v>
      </c>
      <c r="C1014" s="4" t="s">
        <v>1137</v>
      </c>
      <c r="D1014" s="4" t="s">
        <v>169</v>
      </c>
      <c r="E1014" s="16">
        <v>0.02074521593749523</v>
      </c>
      <c r="F1014" s="16">
        <v>0.9955292866798118</v>
      </c>
      <c r="G1014" s="16"/>
      <c r="H1014" s="16">
        <v>1.0</v>
      </c>
      <c r="I1014" s="16">
        <v>0.45416666666666666</v>
      </c>
      <c r="J1014" s="16">
        <v>0.8333333333333334</v>
      </c>
      <c r="K1014" s="4">
        <v>0.0</v>
      </c>
      <c r="M1014" s="4" t="s">
        <v>32</v>
      </c>
    </row>
    <row r="1015" ht="18.0" customHeight="1">
      <c r="A1015" s="4" t="s">
        <v>65</v>
      </c>
      <c r="B1015" s="4">
        <v>153.0</v>
      </c>
      <c r="C1015" s="4" t="s">
        <v>538</v>
      </c>
      <c r="D1015" s="4" t="s">
        <v>1138</v>
      </c>
      <c r="E1015" s="16">
        <v>0.005018444731831551</v>
      </c>
      <c r="F1015" s="16">
        <v>0.9992279258731287</v>
      </c>
      <c r="G1015" s="16"/>
      <c r="H1015" s="16">
        <v>1.0</v>
      </c>
      <c r="I1015" s="16">
        <v>0.47500000000000003</v>
      </c>
      <c r="J1015" s="16">
        <v>0.0</v>
      </c>
      <c r="K1015" s="4">
        <v>0.0</v>
      </c>
      <c r="M1015" s="4" t="s">
        <v>32</v>
      </c>
    </row>
    <row r="1016" ht="18.0" customHeight="1">
      <c r="A1016" s="4" t="s">
        <v>65</v>
      </c>
      <c r="B1016" s="4">
        <v>154.0</v>
      </c>
      <c r="C1016" s="4" t="s">
        <v>535</v>
      </c>
      <c r="D1016" s="4" t="s">
        <v>1136</v>
      </c>
      <c r="E1016" s="16">
        <v>0.09218651056289673</v>
      </c>
      <c r="F1016" s="16">
        <v>0.9647433962672949</v>
      </c>
      <c r="G1016" s="16"/>
      <c r="H1016" s="16">
        <v>1.0</v>
      </c>
      <c r="I1016" s="16">
        <v>0.4291666666666667</v>
      </c>
      <c r="J1016" s="16">
        <v>0.3525641025641026</v>
      </c>
      <c r="K1016" s="4">
        <v>0.0</v>
      </c>
      <c r="M1016" s="4" t="s">
        <v>32</v>
      </c>
    </row>
    <row r="1017" ht="18.0" customHeight="1">
      <c r="A1017" s="4" t="s">
        <v>65</v>
      </c>
      <c r="B1017" s="4">
        <v>155.0</v>
      </c>
      <c r="C1017" s="4" t="s">
        <v>461</v>
      </c>
      <c r="D1017" s="4" t="s">
        <v>147</v>
      </c>
      <c r="E1017" s="16">
        <v>0.5388310551643372</v>
      </c>
      <c r="F1017" s="16">
        <v>0.5789761543273926</v>
      </c>
      <c r="G1017" s="16"/>
      <c r="H1017" s="16">
        <v>0.09090909090909091</v>
      </c>
      <c r="I1017" s="16">
        <v>0.03333333333333333</v>
      </c>
      <c r="J1017" s="16">
        <v>0.0</v>
      </c>
      <c r="K1017" s="4">
        <v>0.0</v>
      </c>
      <c r="M1017" s="4" t="s">
        <v>32</v>
      </c>
    </row>
    <row r="1018" ht="18.0" customHeight="1">
      <c r="A1018" s="4" t="s">
        <v>65</v>
      </c>
      <c r="B1018" s="4">
        <v>156.0</v>
      </c>
      <c r="C1018" s="4" t="s">
        <v>258</v>
      </c>
      <c r="D1018" s="4" t="s">
        <v>1139</v>
      </c>
      <c r="E1018" s="16">
        <v>0.0010743625462055206</v>
      </c>
      <c r="F1018" s="16">
        <v>0.9998648192267865</v>
      </c>
      <c r="G1018" s="16"/>
      <c r="H1018" s="16">
        <v>1.0</v>
      </c>
      <c r="I1018" s="16">
        <v>0.5375</v>
      </c>
      <c r="J1018" s="16">
        <v>0.0</v>
      </c>
      <c r="K1018" s="4">
        <v>0.0</v>
      </c>
      <c r="M1018" s="4" t="s">
        <v>32</v>
      </c>
    </row>
    <row r="1019" ht="18.0" customHeight="1">
      <c r="A1019" s="4" t="s">
        <v>65</v>
      </c>
      <c r="B1019" s="4">
        <v>157.0</v>
      </c>
      <c r="C1019" s="4" t="s">
        <v>461</v>
      </c>
      <c r="D1019" s="4" t="s">
        <v>657</v>
      </c>
      <c r="E1019" s="16">
        <v>0.7616146802902222</v>
      </c>
      <c r="F1019" s="16">
        <v>0.5923986881971359</v>
      </c>
      <c r="G1019" s="16"/>
      <c r="H1019" s="16">
        <v>1.0</v>
      </c>
      <c r="I1019" s="16">
        <v>0.6208333333333333</v>
      </c>
      <c r="J1019" s="16">
        <v>0.75</v>
      </c>
      <c r="K1019" s="4">
        <v>1.0</v>
      </c>
      <c r="L1019" s="4">
        <v>0.0</v>
      </c>
      <c r="M1019" s="4" t="s">
        <v>239</v>
      </c>
    </row>
    <row r="1020" ht="18.0" customHeight="1">
      <c r="A1020" s="4" t="s">
        <v>65</v>
      </c>
      <c r="B1020" s="4">
        <v>158.0</v>
      </c>
      <c r="C1020" s="4" t="s">
        <v>686</v>
      </c>
      <c r="D1020" s="4" t="s">
        <v>959</v>
      </c>
      <c r="E1020" s="16">
        <v>0.405844122171402</v>
      </c>
      <c r="F1020" s="16">
        <v>0.8650285415351391</v>
      </c>
      <c r="G1020" s="16"/>
      <c r="H1020" s="16">
        <v>0.0</v>
      </c>
      <c r="I1020" s="16">
        <v>0.08333333333333333</v>
      </c>
      <c r="J1020" s="16">
        <v>0.4</v>
      </c>
      <c r="K1020" s="4">
        <v>0.0</v>
      </c>
      <c r="M1020" s="4" t="s">
        <v>32</v>
      </c>
    </row>
    <row r="1021" ht="18.0" customHeight="1">
      <c r="A1021" s="4" t="s">
        <v>65</v>
      </c>
      <c r="B1021" s="4">
        <v>159.0</v>
      </c>
      <c r="C1021" s="4" t="s">
        <v>159</v>
      </c>
      <c r="D1021" s="4" t="s">
        <v>710</v>
      </c>
      <c r="E1021" s="16">
        <v>0.0019860798493027687</v>
      </c>
      <c r="F1021" s="16">
        <v>0.9996362916717771</v>
      </c>
      <c r="G1021" s="16"/>
      <c r="H1021" s="16">
        <v>0.9090909090909091</v>
      </c>
      <c r="I1021" s="16">
        <v>0.6041666666666666</v>
      </c>
      <c r="J1021" s="16">
        <v>0.7310924369747899</v>
      </c>
      <c r="K1021" s="4">
        <v>0.0</v>
      </c>
      <c r="M1021" s="4" t="s">
        <v>32</v>
      </c>
    </row>
    <row r="1022" ht="18.0" customHeight="1">
      <c r="A1022" s="4" t="s">
        <v>65</v>
      </c>
      <c r="B1022" s="4">
        <v>160.0</v>
      </c>
      <c r="C1022" s="4" t="s">
        <v>270</v>
      </c>
      <c r="D1022" s="4" t="s">
        <v>181</v>
      </c>
      <c r="E1022" s="16">
        <v>0.0010141858365386724</v>
      </c>
      <c r="F1022" s="16">
        <v>0.9998878395781503</v>
      </c>
      <c r="G1022" s="16"/>
      <c r="H1022" s="16">
        <v>0.9090909090909091</v>
      </c>
      <c r="I1022" s="16">
        <v>0.4083333333333334</v>
      </c>
      <c r="J1022" s="16">
        <v>0.6</v>
      </c>
      <c r="K1022" s="4">
        <v>0.0</v>
      </c>
      <c r="M1022" s="4" t="s">
        <v>32</v>
      </c>
    </row>
    <row r="1023" ht="18.0" customHeight="1">
      <c r="A1023" s="4" t="s">
        <v>65</v>
      </c>
      <c r="B1023" s="4">
        <v>161.0</v>
      </c>
      <c r="C1023" s="4" t="s">
        <v>591</v>
      </c>
      <c r="D1023" s="4" t="s">
        <v>143</v>
      </c>
      <c r="E1023" s="16">
        <v>0.5378789305686951</v>
      </c>
      <c r="F1023" s="16">
        <v>0.8163671717047691</v>
      </c>
      <c r="G1023" s="16"/>
      <c r="H1023" s="16">
        <v>0.9090909090909091</v>
      </c>
      <c r="I1023" s="16">
        <v>0.5208333333333334</v>
      </c>
      <c r="J1023" s="16">
        <v>0.6666666666666667</v>
      </c>
      <c r="K1023" s="4">
        <v>0.0</v>
      </c>
      <c r="M1023" s="4" t="s">
        <v>32</v>
      </c>
    </row>
    <row r="1024" ht="18.0" customHeight="1">
      <c r="A1024" s="4" t="s">
        <v>65</v>
      </c>
      <c r="B1024" s="4">
        <v>162.0</v>
      </c>
      <c r="C1024" s="4" t="s">
        <v>232</v>
      </c>
      <c r="D1024" s="4" t="s">
        <v>289</v>
      </c>
      <c r="E1024" s="16">
        <v>0.010868576355278492</v>
      </c>
      <c r="F1024" s="16">
        <v>0.9971671339590102</v>
      </c>
      <c r="G1024" s="16"/>
      <c r="H1024" s="16">
        <v>1.0</v>
      </c>
      <c r="I1024" s="16">
        <v>0.6458333333333334</v>
      </c>
      <c r="J1024" s="16">
        <v>0.6666666666666667</v>
      </c>
      <c r="K1024" s="4">
        <v>0.0</v>
      </c>
      <c r="M1024" s="4" t="s">
        <v>32</v>
      </c>
    </row>
    <row r="1025" ht="18.0" customHeight="1">
      <c r="A1025" s="4" t="s">
        <v>65</v>
      </c>
      <c r="B1025" s="4">
        <v>163.0</v>
      </c>
      <c r="C1025" s="4" t="s">
        <v>666</v>
      </c>
      <c r="D1025" s="4" t="s">
        <v>657</v>
      </c>
      <c r="E1025" s="16">
        <v>1.564569354057312</v>
      </c>
      <c r="F1025" s="16">
        <v>0.2721961885690689</v>
      </c>
      <c r="G1025" s="16"/>
      <c r="H1025" s="16">
        <v>0.9090909090909091</v>
      </c>
      <c r="I1025" s="16">
        <v>0.48333333333333334</v>
      </c>
      <c r="J1025" s="16">
        <v>0.2175324675324675</v>
      </c>
      <c r="K1025" s="4">
        <v>1.0</v>
      </c>
      <c r="L1025" s="4">
        <v>0.0</v>
      </c>
      <c r="M1025" s="4" t="s">
        <v>239</v>
      </c>
    </row>
    <row r="1026" ht="18.0" customHeight="1">
      <c r="A1026" s="4" t="s">
        <v>65</v>
      </c>
      <c r="B1026" s="4">
        <v>164.0</v>
      </c>
      <c r="C1026" s="4" t="s">
        <v>1135</v>
      </c>
      <c r="D1026" s="4" t="s">
        <v>682</v>
      </c>
      <c r="E1026" s="16">
        <v>0.34649577736854553</v>
      </c>
      <c r="F1026" s="16">
        <v>0.8613460659980774</v>
      </c>
      <c r="G1026" s="16"/>
      <c r="H1026" s="16">
        <v>1.0</v>
      </c>
      <c r="I1026" s="16">
        <v>0.6791666666666667</v>
      </c>
      <c r="J1026" s="16">
        <v>0.0</v>
      </c>
      <c r="K1026" s="4">
        <v>0.0</v>
      </c>
      <c r="M1026" s="4" t="s">
        <v>32</v>
      </c>
    </row>
    <row r="1027" ht="18.0" customHeight="1">
      <c r="A1027" s="4" t="s">
        <v>65</v>
      </c>
      <c r="B1027" s="4">
        <v>165.0</v>
      </c>
      <c r="C1027" s="4" t="s">
        <v>180</v>
      </c>
      <c r="D1027" s="4" t="s">
        <v>1140</v>
      </c>
      <c r="E1027" s="16">
        <v>0.011927753686904907</v>
      </c>
      <c r="F1027" s="16">
        <v>0.99718338472303</v>
      </c>
      <c r="G1027" s="16"/>
      <c r="H1027" s="16">
        <v>1.0</v>
      </c>
      <c r="I1027" s="16">
        <v>0.6166666666666667</v>
      </c>
      <c r="J1027" s="16">
        <v>0.0</v>
      </c>
      <c r="K1027" s="4">
        <v>0.0</v>
      </c>
      <c r="M1027" s="4" t="s">
        <v>32</v>
      </c>
    </row>
    <row r="1028" ht="18.0" customHeight="1">
      <c r="A1028" s="4" t="s">
        <v>65</v>
      </c>
      <c r="B1028" s="4">
        <v>166.0</v>
      </c>
      <c r="C1028" s="4" t="s">
        <v>666</v>
      </c>
      <c r="D1028" s="4" t="s">
        <v>743</v>
      </c>
      <c r="E1028" s="16">
        <v>0.5692716836929321</v>
      </c>
      <c r="F1028" s="16">
        <v>0.520180881023407</v>
      </c>
      <c r="G1028" s="16"/>
      <c r="H1028" s="16">
        <v>0.18181818181818182</v>
      </c>
      <c r="I1028" s="16">
        <v>0.08333333333333333</v>
      </c>
      <c r="J1028" s="16">
        <v>0.26330532212885155</v>
      </c>
      <c r="K1028" s="4">
        <v>0.0</v>
      </c>
      <c r="M1028" s="4" t="s">
        <v>32</v>
      </c>
    </row>
    <row r="1029" ht="18.0" customHeight="1">
      <c r="A1029" s="4" t="s">
        <v>65</v>
      </c>
      <c r="B1029" s="4">
        <v>167.0</v>
      </c>
      <c r="C1029" s="4" t="s">
        <v>1107</v>
      </c>
      <c r="D1029" s="4" t="s">
        <v>985</v>
      </c>
      <c r="E1029" s="16">
        <v>0.2574581801891327</v>
      </c>
      <c r="F1029" s="16">
        <v>0.8811496570706367</v>
      </c>
      <c r="G1029" s="16"/>
      <c r="H1029" s="16">
        <v>1.0</v>
      </c>
      <c r="I1029" s="16">
        <v>0.6166666666666667</v>
      </c>
      <c r="J1029" s="16">
        <v>0.6</v>
      </c>
      <c r="K1029" s="4">
        <v>0.0</v>
      </c>
      <c r="M1029" s="4" t="s">
        <v>32</v>
      </c>
    </row>
    <row r="1030" ht="18.0" customHeight="1">
      <c r="A1030" s="4" t="s">
        <v>65</v>
      </c>
      <c r="B1030" s="4">
        <v>168.0</v>
      </c>
      <c r="C1030" s="4" t="s">
        <v>542</v>
      </c>
      <c r="D1030" s="4" t="s">
        <v>151</v>
      </c>
      <c r="E1030" s="16">
        <v>0.37523728609085083</v>
      </c>
      <c r="F1030" s="16">
        <v>0.8788766264915466</v>
      </c>
      <c r="G1030" s="16"/>
      <c r="H1030" s="16">
        <v>1.0</v>
      </c>
      <c r="I1030" s="16">
        <v>0.44583333333333336</v>
      </c>
      <c r="J1030" s="16">
        <v>0.8333333333333334</v>
      </c>
      <c r="K1030" s="4">
        <v>0.0</v>
      </c>
      <c r="M1030" s="4" t="s">
        <v>32</v>
      </c>
    </row>
    <row r="1031" ht="18.0" customHeight="1">
      <c r="A1031" s="4" t="s">
        <v>65</v>
      </c>
      <c r="B1031" s="4">
        <v>169.0</v>
      </c>
      <c r="C1031" s="4" t="s">
        <v>194</v>
      </c>
      <c r="D1031" s="4" t="s">
        <v>686</v>
      </c>
      <c r="E1031" s="16">
        <v>0.002827458782121539</v>
      </c>
      <c r="F1031" s="16">
        <v>0.9995172362978337</v>
      </c>
      <c r="G1031" s="16"/>
      <c r="H1031" s="16">
        <v>1.0</v>
      </c>
      <c r="I1031" s="16">
        <v>0.5583333333333333</v>
      </c>
      <c r="J1031" s="16">
        <v>0.7142857142857143</v>
      </c>
      <c r="K1031" s="4">
        <v>0.0</v>
      </c>
      <c r="M1031" s="4" t="s">
        <v>32</v>
      </c>
    </row>
    <row r="1032" ht="18.0" customHeight="1">
      <c r="A1032" s="4" t="s">
        <v>65</v>
      </c>
      <c r="B1032" s="4">
        <v>170.0</v>
      </c>
      <c r="C1032" s="4" t="s">
        <v>453</v>
      </c>
      <c r="D1032" s="4" t="s">
        <v>94</v>
      </c>
      <c r="E1032" s="16">
        <v>0.08697769045829773</v>
      </c>
      <c r="F1032" s="16">
        <v>0.9656377583742142</v>
      </c>
      <c r="G1032" s="16"/>
      <c r="H1032" s="16">
        <v>0.9090909090909091</v>
      </c>
      <c r="I1032" s="16">
        <v>0.5833333333333334</v>
      </c>
      <c r="J1032" s="16">
        <v>0.9</v>
      </c>
      <c r="K1032" s="4">
        <v>0.0</v>
      </c>
      <c r="M1032" s="4" t="s">
        <v>32</v>
      </c>
    </row>
    <row r="1033" ht="18.0" customHeight="1">
      <c r="A1033" s="4" t="s">
        <v>65</v>
      </c>
      <c r="B1033" s="4">
        <v>171.0</v>
      </c>
      <c r="C1033" s="4" t="s">
        <v>147</v>
      </c>
      <c r="D1033" s="4" t="s">
        <v>456</v>
      </c>
      <c r="E1033" s="16">
        <v>1.8463711603544652E-4</v>
      </c>
      <c r="F1033" s="16">
        <v>0.9999848641543849</v>
      </c>
      <c r="G1033" s="16"/>
      <c r="H1033" s="16">
        <v>1.0</v>
      </c>
      <c r="I1033" s="16">
        <v>0.5</v>
      </c>
      <c r="J1033" s="16">
        <v>0.5</v>
      </c>
      <c r="K1033" s="4">
        <v>0.0</v>
      </c>
      <c r="M1033" s="4" t="s">
        <v>32</v>
      </c>
    </row>
    <row r="1034" ht="18.0" customHeight="1">
      <c r="A1034" s="4" t="s">
        <v>65</v>
      </c>
      <c r="B1034" s="4">
        <v>172.0</v>
      </c>
      <c r="C1034" s="4" t="s">
        <v>172</v>
      </c>
      <c r="D1034" s="4" t="s">
        <v>151</v>
      </c>
      <c r="E1034" s="16">
        <v>0.002249697921797633</v>
      </c>
      <c r="F1034" s="16">
        <v>0.9995503324898891</v>
      </c>
      <c r="G1034" s="16"/>
      <c r="H1034" s="16">
        <v>1.0</v>
      </c>
      <c r="I1034" s="16">
        <v>0.5541666666666667</v>
      </c>
      <c r="J1034" s="16">
        <v>0.8571428571428572</v>
      </c>
      <c r="K1034" s="4">
        <v>0.0</v>
      </c>
      <c r="M1034" s="4" t="s">
        <v>32</v>
      </c>
    </row>
    <row r="1035" ht="18.0" customHeight="1">
      <c r="A1035" s="4" t="s">
        <v>65</v>
      </c>
      <c r="B1035" s="4">
        <v>173.0</v>
      </c>
      <c r="C1035" s="4" t="s">
        <v>666</v>
      </c>
      <c r="D1035" s="4" t="s">
        <v>599</v>
      </c>
      <c r="E1035" s="16">
        <v>0.24189043045043945</v>
      </c>
      <c r="F1035" s="16">
        <v>0.8785234950482845</v>
      </c>
      <c r="G1035" s="16"/>
      <c r="H1035" s="16">
        <v>1.0</v>
      </c>
      <c r="I1035" s="16">
        <v>0.5583333333333333</v>
      </c>
      <c r="J1035" s="16">
        <v>1.0</v>
      </c>
      <c r="K1035" s="4">
        <v>1.0</v>
      </c>
      <c r="L1035" s="4">
        <v>1.0</v>
      </c>
      <c r="M1035" s="4" t="s">
        <v>486</v>
      </c>
    </row>
    <row r="1036" ht="18.0" customHeight="1">
      <c r="A1036" s="4" t="s">
        <v>65</v>
      </c>
      <c r="B1036" s="4">
        <v>174.0</v>
      </c>
      <c r="C1036" s="4" t="s">
        <v>681</v>
      </c>
      <c r="D1036" s="4" t="s">
        <v>1141</v>
      </c>
      <c r="E1036" s="16">
        <v>2.240797912236303E-4</v>
      </c>
      <c r="F1036" s="16">
        <v>0.9999763788214295</v>
      </c>
      <c r="G1036" s="16"/>
      <c r="H1036" s="16">
        <v>0.0</v>
      </c>
      <c r="I1036" s="16">
        <v>0.016666666666666666</v>
      </c>
      <c r="J1036" s="16">
        <v>0.0</v>
      </c>
      <c r="K1036" s="4">
        <v>0.0</v>
      </c>
      <c r="M1036" s="4" t="s">
        <v>32</v>
      </c>
    </row>
    <row r="1037" ht="18.0" customHeight="1">
      <c r="A1037" s="4" t="s">
        <v>65</v>
      </c>
      <c r="B1037" s="4">
        <v>175.0</v>
      </c>
      <c r="C1037" s="4" t="s">
        <v>591</v>
      </c>
      <c r="D1037" s="4" t="s">
        <v>94</v>
      </c>
      <c r="E1037" s="16">
        <v>0.677941083908081</v>
      </c>
      <c r="F1037" s="16">
        <v>0.3687872588634491</v>
      </c>
      <c r="G1037" s="16"/>
      <c r="H1037" s="16">
        <v>1.0</v>
      </c>
      <c r="I1037" s="16">
        <v>0.47500000000000003</v>
      </c>
      <c r="J1037" s="16">
        <v>0.875</v>
      </c>
      <c r="K1037" s="4">
        <v>0.0</v>
      </c>
      <c r="M1037" s="4" t="s">
        <v>32</v>
      </c>
    </row>
    <row r="1038" ht="18.0" customHeight="1">
      <c r="A1038" s="4" t="s">
        <v>65</v>
      </c>
      <c r="B1038" s="4">
        <v>176.0</v>
      </c>
      <c r="C1038" s="4" t="s">
        <v>232</v>
      </c>
      <c r="D1038" s="4" t="s">
        <v>289</v>
      </c>
      <c r="E1038" s="16">
        <v>0.18943007290363312</v>
      </c>
      <c r="F1038" s="16">
        <v>0.9065081812441349</v>
      </c>
      <c r="G1038" s="16"/>
      <c r="H1038" s="16">
        <v>1.0</v>
      </c>
      <c r="I1038" s="16">
        <v>0.5625</v>
      </c>
      <c r="J1038" s="16">
        <v>0.0</v>
      </c>
      <c r="K1038" s="4">
        <v>0.0</v>
      </c>
      <c r="M1038" s="4" t="s">
        <v>32</v>
      </c>
    </row>
    <row r="1039" ht="18.0" customHeight="1">
      <c r="A1039" s="4" t="s">
        <v>65</v>
      </c>
      <c r="B1039" s="4">
        <v>177.0</v>
      </c>
      <c r="C1039" s="4" t="s">
        <v>281</v>
      </c>
      <c r="D1039" s="4" t="s">
        <v>657</v>
      </c>
      <c r="E1039" s="16">
        <v>1.1263659000396729</v>
      </c>
      <c r="F1039" s="16">
        <v>0.4015777111053467</v>
      </c>
      <c r="G1039" s="16"/>
      <c r="H1039" s="16">
        <v>1.0</v>
      </c>
      <c r="I1039" s="16">
        <v>0.6</v>
      </c>
      <c r="J1039" s="16">
        <v>0.2175324675324675</v>
      </c>
      <c r="K1039" s="4">
        <v>0.0</v>
      </c>
      <c r="M1039" s="4" t="s">
        <v>32</v>
      </c>
    </row>
    <row r="1040" ht="18.0" customHeight="1">
      <c r="A1040" s="4" t="s">
        <v>65</v>
      </c>
      <c r="B1040" s="4">
        <v>178.0</v>
      </c>
      <c r="C1040" s="4" t="s">
        <v>180</v>
      </c>
      <c r="D1040" s="4" t="s">
        <v>1142</v>
      </c>
      <c r="E1040" s="16">
        <v>9.77812916971743E-4</v>
      </c>
      <c r="F1040" s="16">
        <v>0.9998950748613424</v>
      </c>
      <c r="G1040" s="16"/>
      <c r="H1040" s="16">
        <v>1.0</v>
      </c>
      <c r="I1040" s="16">
        <v>0.625</v>
      </c>
      <c r="J1040" s="16">
        <v>0.0</v>
      </c>
      <c r="K1040" s="4">
        <v>0.0</v>
      </c>
      <c r="M1040" s="4" t="s">
        <v>32</v>
      </c>
    </row>
    <row r="1041" ht="18.0" customHeight="1">
      <c r="A1041" s="4" t="s">
        <v>65</v>
      </c>
      <c r="B1041" s="4">
        <v>179.0</v>
      </c>
      <c r="C1041" s="4" t="s">
        <v>657</v>
      </c>
      <c r="D1041" s="4" t="s">
        <v>806</v>
      </c>
      <c r="E1041" s="16">
        <v>0.6766819357872009</v>
      </c>
      <c r="F1041" s="16">
        <v>0.6281337440013885</v>
      </c>
      <c r="G1041" s="16"/>
      <c r="H1041" s="16">
        <v>1.0</v>
      </c>
      <c r="I1041" s="16">
        <v>0.5166666666666667</v>
      </c>
      <c r="J1041" s="16">
        <v>0.25</v>
      </c>
      <c r="K1041" s="4">
        <v>0.0</v>
      </c>
      <c r="M1041" s="4" t="s">
        <v>32</v>
      </c>
    </row>
    <row r="1042" ht="18.0" customHeight="1">
      <c r="A1042" s="4" t="s">
        <v>65</v>
      </c>
      <c r="B1042" s="4">
        <v>180.0</v>
      </c>
      <c r="C1042" s="4" t="s">
        <v>1143</v>
      </c>
      <c r="D1042" s="4" t="s">
        <v>1144</v>
      </c>
      <c r="E1042" s="16">
        <v>0.1576002836227417</v>
      </c>
      <c r="F1042" s="16">
        <v>0.9300278760492802</v>
      </c>
      <c r="G1042" s="16"/>
      <c r="H1042" s="16">
        <v>1.0</v>
      </c>
      <c r="I1042" s="16">
        <v>0.5416666666666666</v>
      </c>
      <c r="J1042" s="16">
        <v>0.4</v>
      </c>
      <c r="K1042" s="4">
        <v>0.0</v>
      </c>
      <c r="M1042" s="4" t="s">
        <v>32</v>
      </c>
    </row>
    <row r="1043" ht="18.0" customHeight="1">
      <c r="A1043" s="4" t="s">
        <v>65</v>
      </c>
      <c r="B1043" s="4">
        <v>181.0</v>
      </c>
      <c r="C1043" s="4" t="s">
        <v>232</v>
      </c>
      <c r="D1043" s="4" t="s">
        <v>289</v>
      </c>
      <c r="E1043" s="16">
        <v>0.02148888073861599</v>
      </c>
      <c r="F1043" s="16">
        <v>0.9936507008969784</v>
      </c>
      <c r="G1043" s="16"/>
      <c r="H1043" s="16">
        <v>1.0</v>
      </c>
      <c r="I1043" s="16">
        <v>0.5375</v>
      </c>
      <c r="J1043" s="16">
        <v>0.0</v>
      </c>
      <c r="K1043" s="4">
        <v>0.0</v>
      </c>
      <c r="M1043" s="4" t="s">
        <v>32</v>
      </c>
    </row>
    <row r="1044" ht="18.0" customHeight="1">
      <c r="A1044" s="4" t="s">
        <v>65</v>
      </c>
      <c r="B1044" s="4">
        <v>182.0</v>
      </c>
      <c r="C1044" s="4" t="s">
        <v>453</v>
      </c>
      <c r="D1044" s="4" t="s">
        <v>281</v>
      </c>
      <c r="E1044" s="16">
        <v>0.05195327475667</v>
      </c>
      <c r="F1044" s="16">
        <v>0.9909311046358198</v>
      </c>
      <c r="G1044" s="16"/>
      <c r="H1044" s="16">
        <v>1.0</v>
      </c>
      <c r="I1044" s="16">
        <v>0.5541666666666667</v>
      </c>
      <c r="J1044" s="16">
        <v>0.9402985074626866</v>
      </c>
      <c r="K1044" s="4">
        <v>1.0</v>
      </c>
      <c r="L1044" s="4">
        <v>0.0</v>
      </c>
      <c r="M1044" s="4" t="s">
        <v>239</v>
      </c>
    </row>
    <row r="1045" ht="18.0" customHeight="1">
      <c r="A1045" s="4" t="s">
        <v>65</v>
      </c>
      <c r="B1045" s="4">
        <v>183.0</v>
      </c>
      <c r="C1045" s="4" t="s">
        <v>147</v>
      </c>
      <c r="D1045" s="4" t="s">
        <v>675</v>
      </c>
      <c r="E1045" s="16">
        <v>1.5444318056106567</v>
      </c>
      <c r="F1045" s="16">
        <v>0.44501470029354095</v>
      </c>
      <c r="G1045" s="16"/>
      <c r="H1045" s="16">
        <v>1.0</v>
      </c>
      <c r="I1045" s="16">
        <v>0.4416666666666667</v>
      </c>
      <c r="J1045" s="16">
        <v>0.33333333333333337</v>
      </c>
      <c r="K1045" s="4">
        <v>1.0</v>
      </c>
      <c r="L1045" s="4">
        <v>0.0</v>
      </c>
      <c r="M1045" s="4" t="s">
        <v>239</v>
      </c>
    </row>
    <row r="1046" ht="18.0" customHeight="1">
      <c r="A1046" s="4" t="s">
        <v>65</v>
      </c>
      <c r="B1046" s="4">
        <v>184.0</v>
      </c>
      <c r="C1046" s="4" t="s">
        <v>151</v>
      </c>
      <c r="D1046" s="4" t="s">
        <v>172</v>
      </c>
      <c r="E1046" s="16">
        <v>0.14015613496303558</v>
      </c>
      <c r="F1046" s="16">
        <v>0.937623891979456</v>
      </c>
      <c r="G1046" s="16"/>
      <c r="H1046" s="16">
        <v>1.0</v>
      </c>
      <c r="I1046" s="16">
        <v>0.45</v>
      </c>
      <c r="J1046" s="16">
        <v>0.75</v>
      </c>
      <c r="K1046" s="4">
        <v>0.0</v>
      </c>
      <c r="M1046" s="4" t="s">
        <v>32</v>
      </c>
    </row>
    <row r="1047" ht="18.0" customHeight="1">
      <c r="A1047" s="4" t="s">
        <v>65</v>
      </c>
      <c r="B1047" s="4">
        <v>185.0</v>
      </c>
      <c r="C1047" s="4" t="s">
        <v>669</v>
      </c>
      <c r="D1047" s="4" t="s">
        <v>670</v>
      </c>
      <c r="E1047" s="16">
        <v>1.4176113605499268</v>
      </c>
      <c r="F1047" s="16">
        <v>0.2613847553730011</v>
      </c>
      <c r="G1047" s="16"/>
      <c r="H1047" s="16">
        <v>0.0</v>
      </c>
      <c r="I1047" s="16">
        <v>0.016666666666666666</v>
      </c>
      <c r="J1047" s="16">
        <v>0.0</v>
      </c>
      <c r="K1047" s="4">
        <v>1.0</v>
      </c>
      <c r="L1047" s="4">
        <v>0.0</v>
      </c>
      <c r="M1047" s="4" t="s">
        <v>239</v>
      </c>
    </row>
    <row r="1048" ht="18.0" customHeight="1">
      <c r="A1048" s="4" t="s">
        <v>65</v>
      </c>
      <c r="B1048" s="4">
        <v>186.0</v>
      </c>
      <c r="C1048" s="4" t="s">
        <v>172</v>
      </c>
      <c r="D1048" s="4" t="s">
        <v>862</v>
      </c>
      <c r="E1048" s="16">
        <v>9.811503696255386E-5</v>
      </c>
      <c r="F1048" s="16">
        <v>0.9999917487828043</v>
      </c>
      <c r="G1048" s="16"/>
      <c r="H1048" s="16">
        <v>1.0</v>
      </c>
      <c r="I1048" s="16">
        <v>0.47500000000000003</v>
      </c>
      <c r="J1048" s="16">
        <v>0.0</v>
      </c>
      <c r="K1048" s="4">
        <v>0.0</v>
      </c>
      <c r="M1048" s="4" t="s">
        <v>32</v>
      </c>
    </row>
    <row r="1049" ht="18.0" customHeight="1">
      <c r="A1049" s="4" t="s">
        <v>65</v>
      </c>
      <c r="B1049" s="4">
        <v>187.0</v>
      </c>
      <c r="C1049" s="4" t="s">
        <v>1145</v>
      </c>
      <c r="D1049" s="4" t="s">
        <v>175</v>
      </c>
      <c r="E1049" s="16">
        <v>0.011549689806997776</v>
      </c>
      <c r="F1049" s="16">
        <v>0.9972505625337362</v>
      </c>
      <c r="G1049" s="16"/>
      <c r="H1049" s="16">
        <v>0.7272727272727273</v>
      </c>
      <c r="I1049" s="16">
        <v>0.19166666666666665</v>
      </c>
      <c r="J1049" s="16">
        <v>0.6666666666666667</v>
      </c>
      <c r="K1049" s="4">
        <v>0.0</v>
      </c>
      <c r="M1049" s="4" t="s">
        <v>32</v>
      </c>
    </row>
    <row r="1050" ht="18.0" customHeight="1">
      <c r="A1050" s="4" t="s">
        <v>65</v>
      </c>
      <c r="B1050" s="4">
        <v>188.0</v>
      </c>
      <c r="C1050" s="4" t="s">
        <v>1146</v>
      </c>
      <c r="D1050" s="4" t="s">
        <v>953</v>
      </c>
      <c r="E1050" s="16">
        <v>5.086504970677197E-4</v>
      </c>
      <c r="F1050" s="16">
        <v>0.999924420590105</v>
      </c>
      <c r="G1050" s="16"/>
      <c r="H1050" s="16">
        <v>1.0</v>
      </c>
      <c r="I1050" s="16">
        <v>0.45416666666666666</v>
      </c>
      <c r="J1050" s="16">
        <v>1.0</v>
      </c>
      <c r="K1050" s="4">
        <v>0.0</v>
      </c>
      <c r="M1050" s="4" t="s">
        <v>32</v>
      </c>
    </row>
    <row r="1051" ht="18.0" customHeight="1">
      <c r="A1051" s="4" t="s">
        <v>65</v>
      </c>
      <c r="B1051" s="4">
        <v>189.0</v>
      </c>
      <c r="C1051" s="4" t="s">
        <v>681</v>
      </c>
      <c r="D1051" s="4" t="s">
        <v>1147</v>
      </c>
      <c r="E1051" s="16">
        <v>5.023248959332705E-4</v>
      </c>
      <c r="F1051" s="16">
        <v>0.9999539150730925</v>
      </c>
      <c r="G1051" s="16"/>
      <c r="H1051" s="16">
        <v>0.0</v>
      </c>
      <c r="I1051" s="16">
        <v>0.016666666666666666</v>
      </c>
      <c r="J1051" s="16">
        <v>0.0</v>
      </c>
      <c r="K1051" s="4">
        <v>0.0</v>
      </c>
      <c r="M1051" s="4" t="s">
        <v>32</v>
      </c>
    </row>
    <row r="1052" ht="18.0" customHeight="1">
      <c r="A1052" s="4" t="s">
        <v>65</v>
      </c>
      <c r="B1052" s="4">
        <v>190.0</v>
      </c>
      <c r="C1052" s="4" t="s">
        <v>151</v>
      </c>
      <c r="D1052" s="4" t="s">
        <v>217</v>
      </c>
      <c r="E1052" s="16">
        <v>1.1329214612487704E-4</v>
      </c>
      <c r="F1052" s="16">
        <v>0.9999882338756834</v>
      </c>
      <c r="G1052" s="16"/>
      <c r="H1052" s="16">
        <v>1.0</v>
      </c>
      <c r="I1052" s="16">
        <v>0.43333333333333335</v>
      </c>
      <c r="J1052" s="16">
        <v>0.5</v>
      </c>
      <c r="K1052" s="4">
        <v>0.0</v>
      </c>
      <c r="M1052" s="4" t="s">
        <v>32</v>
      </c>
    </row>
    <row r="1053" ht="18.0" customHeight="1">
      <c r="A1053" s="4" t="s">
        <v>65</v>
      </c>
      <c r="B1053" s="4">
        <v>191.0</v>
      </c>
      <c r="C1053" s="4" t="s">
        <v>666</v>
      </c>
      <c r="D1053" s="4" t="s">
        <v>1148</v>
      </c>
      <c r="E1053" s="16">
        <v>1.0708348418120295E-4</v>
      </c>
      <c r="F1053" s="16">
        <v>0.9999913612996352</v>
      </c>
      <c r="G1053" s="16"/>
      <c r="H1053" s="16">
        <v>0.0</v>
      </c>
      <c r="I1053" s="16">
        <v>0.016666666666666666</v>
      </c>
      <c r="J1053" s="16">
        <v>0.0</v>
      </c>
      <c r="K1053" s="4">
        <v>0.0</v>
      </c>
      <c r="M1053" s="4" t="s">
        <v>32</v>
      </c>
    </row>
    <row r="1054" ht="18.0" customHeight="1">
      <c r="A1054" s="4" t="s">
        <v>65</v>
      </c>
      <c r="B1054" s="4">
        <v>192.0</v>
      </c>
      <c r="C1054" s="4" t="s">
        <v>1135</v>
      </c>
      <c r="D1054" s="4" t="s">
        <v>1149</v>
      </c>
      <c r="E1054" s="16">
        <v>4.594576239469461E-5</v>
      </c>
      <c r="F1054" s="16">
        <v>0.9999966391189332</v>
      </c>
      <c r="G1054" s="16"/>
      <c r="H1054" s="16">
        <v>0.0</v>
      </c>
      <c r="I1054" s="16">
        <v>0.016666666666666666</v>
      </c>
      <c r="J1054" s="16">
        <v>0.0</v>
      </c>
      <c r="K1054" s="4">
        <v>0.0</v>
      </c>
      <c r="M1054" s="4" t="s">
        <v>32</v>
      </c>
    </row>
    <row r="1055" ht="18.0" customHeight="1">
      <c r="A1055" s="4" t="s">
        <v>65</v>
      </c>
      <c r="B1055" s="4">
        <v>193.0</v>
      </c>
      <c r="C1055" s="4" t="s">
        <v>139</v>
      </c>
      <c r="D1055" s="4" t="s">
        <v>140</v>
      </c>
      <c r="E1055" s="16">
        <v>7.477400358766317E-4</v>
      </c>
      <c r="F1055" s="16">
        <v>0.9999171879426285</v>
      </c>
      <c r="G1055" s="16"/>
      <c r="H1055" s="16">
        <v>1.0</v>
      </c>
      <c r="I1055" s="16">
        <v>0.5</v>
      </c>
      <c r="J1055" s="16">
        <v>0.0</v>
      </c>
      <c r="K1055" s="4">
        <v>0.0</v>
      </c>
      <c r="M1055" s="4" t="s">
        <v>32</v>
      </c>
    </row>
    <row r="1056" ht="18.0" customHeight="1">
      <c r="A1056" s="4" t="s">
        <v>60</v>
      </c>
      <c r="B1056" s="4">
        <v>2.0</v>
      </c>
      <c r="C1056" s="4" t="s">
        <v>1150</v>
      </c>
      <c r="D1056" s="4" t="s">
        <v>1151</v>
      </c>
      <c r="E1056" s="16">
        <v>1.4661659952253103E-4</v>
      </c>
      <c r="F1056" s="16">
        <v>0.9999883877658249</v>
      </c>
      <c r="G1056" s="16"/>
      <c r="H1056" s="16">
        <v>1.0</v>
      </c>
      <c r="I1056" s="16">
        <v>0.3666666666666667</v>
      </c>
      <c r="J1056" s="16">
        <v>0.5838509316770187</v>
      </c>
      <c r="K1056" s="4">
        <v>0.0</v>
      </c>
      <c r="M1056" s="4" t="s">
        <v>32</v>
      </c>
    </row>
    <row r="1057" ht="18.0" customHeight="1">
      <c r="A1057" s="4" t="s">
        <v>60</v>
      </c>
      <c r="B1057" s="4">
        <v>3.0</v>
      </c>
      <c r="C1057" s="4" t="s">
        <v>1152</v>
      </c>
      <c r="D1057" s="4" t="s">
        <v>1153</v>
      </c>
      <c r="E1057" s="16">
        <v>2.82589957350865E-4</v>
      </c>
      <c r="F1057" s="16">
        <v>0.9999670617198717</v>
      </c>
      <c r="G1057" s="16"/>
      <c r="H1057" s="16">
        <v>0.0</v>
      </c>
      <c r="I1057" s="16">
        <v>0.016666666666666666</v>
      </c>
      <c r="J1057" s="16">
        <v>0.6666666666666667</v>
      </c>
      <c r="K1057" s="4">
        <v>0.0</v>
      </c>
      <c r="M1057" s="4" t="s">
        <v>32</v>
      </c>
    </row>
    <row r="1058" ht="18.0" customHeight="1">
      <c r="A1058" s="4" t="s">
        <v>60</v>
      </c>
      <c r="B1058" s="4">
        <v>4.0</v>
      </c>
      <c r="C1058" s="4" t="s">
        <v>254</v>
      </c>
      <c r="D1058" s="4" t="s">
        <v>1154</v>
      </c>
      <c r="E1058" s="16">
        <v>5.845286068506539E-4</v>
      </c>
      <c r="F1058" s="16">
        <v>0.9999334804033424</v>
      </c>
      <c r="G1058" s="16"/>
      <c r="H1058" s="16">
        <v>0.0</v>
      </c>
      <c r="I1058" s="16">
        <v>0.041666666666666664</v>
      </c>
      <c r="J1058" s="16">
        <v>0.0</v>
      </c>
      <c r="K1058" s="4">
        <v>0.0</v>
      </c>
      <c r="M1058" s="4" t="s">
        <v>32</v>
      </c>
    </row>
    <row r="1059" ht="18.0" customHeight="1">
      <c r="A1059" s="4" t="s">
        <v>60</v>
      </c>
      <c r="B1059" s="4">
        <v>5.0</v>
      </c>
      <c r="C1059" s="4" t="s">
        <v>258</v>
      </c>
      <c r="D1059" s="4" t="s">
        <v>139</v>
      </c>
      <c r="E1059" s="16">
        <v>0.006436137016862631</v>
      </c>
      <c r="F1059" s="16">
        <v>0.9986986142466776</v>
      </c>
      <c r="G1059" s="16"/>
      <c r="H1059" s="16">
        <v>0.9090909090909091</v>
      </c>
      <c r="I1059" s="16">
        <v>0.38333333333333336</v>
      </c>
      <c r="J1059" s="16">
        <v>0.0</v>
      </c>
      <c r="K1059" s="4">
        <v>0.0</v>
      </c>
      <c r="M1059" s="4" t="s">
        <v>32</v>
      </c>
    </row>
    <row r="1060" ht="18.0" customHeight="1">
      <c r="A1060" s="4" t="s">
        <v>60</v>
      </c>
      <c r="B1060" s="4">
        <v>6.0</v>
      </c>
      <c r="C1060" s="4" t="s">
        <v>263</v>
      </c>
      <c r="D1060" s="4" t="s">
        <v>264</v>
      </c>
      <c r="E1060" s="16">
        <v>2.725349913816899E-4</v>
      </c>
      <c r="F1060" s="16">
        <v>0.9999723113442087</v>
      </c>
      <c r="G1060" s="16"/>
      <c r="H1060" s="16">
        <v>0.9090909090909091</v>
      </c>
      <c r="I1060" s="16">
        <v>0.32083333333333336</v>
      </c>
      <c r="J1060" s="16">
        <v>0.36111111111111116</v>
      </c>
      <c r="K1060" s="4">
        <v>0.0</v>
      </c>
      <c r="M1060" s="4" t="s">
        <v>32</v>
      </c>
    </row>
    <row r="1061" ht="18.0" customHeight="1">
      <c r="A1061" s="4" t="s">
        <v>60</v>
      </c>
      <c r="B1061" s="4">
        <v>7.0</v>
      </c>
      <c r="C1061" s="4" t="s">
        <v>139</v>
      </c>
      <c r="D1061" s="4" t="s">
        <v>169</v>
      </c>
      <c r="E1061" s="16">
        <v>0.13467209041118622</v>
      </c>
      <c r="F1061" s="16">
        <v>0.9463444575667381</v>
      </c>
      <c r="G1061" s="16"/>
      <c r="H1061" s="16">
        <v>1.0</v>
      </c>
      <c r="I1061" s="16">
        <v>0.34166666666666673</v>
      </c>
      <c r="J1061" s="16">
        <v>0.6666666666666667</v>
      </c>
      <c r="K1061" s="4">
        <v>1.0</v>
      </c>
      <c r="L1061" s="4">
        <v>0.0</v>
      </c>
      <c r="M1061" s="4" t="s">
        <v>239</v>
      </c>
    </row>
    <row r="1062" ht="18.0" customHeight="1">
      <c r="A1062" s="4" t="s">
        <v>60</v>
      </c>
      <c r="B1062" s="4">
        <v>8.0</v>
      </c>
      <c r="C1062" s="4" t="s">
        <v>232</v>
      </c>
      <c r="D1062" s="4" t="s">
        <v>289</v>
      </c>
      <c r="E1062" s="16">
        <v>0.0040879566222429276</v>
      </c>
      <c r="F1062" s="16">
        <v>0.9994947833911283</v>
      </c>
      <c r="G1062" s="16"/>
      <c r="H1062" s="16">
        <v>1.0</v>
      </c>
      <c r="I1062" s="16">
        <v>0.48750000000000004</v>
      </c>
      <c r="J1062" s="16">
        <v>1.0</v>
      </c>
      <c r="K1062" s="4">
        <v>0.0</v>
      </c>
      <c r="M1062" s="4" t="s">
        <v>32</v>
      </c>
    </row>
    <row r="1063" ht="18.0" customHeight="1">
      <c r="A1063" s="4" t="s">
        <v>60</v>
      </c>
      <c r="B1063" s="4">
        <v>9.0</v>
      </c>
      <c r="C1063" s="4" t="s">
        <v>87</v>
      </c>
      <c r="D1063" s="4" t="s">
        <v>692</v>
      </c>
      <c r="E1063" s="16">
        <v>0.43617141246795654</v>
      </c>
      <c r="F1063" s="16">
        <v>0.8039043098688126</v>
      </c>
      <c r="G1063" s="16"/>
      <c r="H1063" s="16">
        <v>1.0</v>
      </c>
      <c r="I1063" s="16">
        <v>0.6416666666666667</v>
      </c>
      <c r="J1063" s="16">
        <v>1.0</v>
      </c>
      <c r="K1063" s="4">
        <v>1.0</v>
      </c>
      <c r="L1063" s="4">
        <v>0.0</v>
      </c>
      <c r="M1063" s="4" t="s">
        <v>239</v>
      </c>
    </row>
    <row r="1064" ht="18.0" customHeight="1">
      <c r="A1064" s="4" t="s">
        <v>60</v>
      </c>
      <c r="B1064" s="4">
        <v>10.0</v>
      </c>
      <c r="C1064" s="4" t="s">
        <v>232</v>
      </c>
      <c r="D1064" s="4" t="s">
        <v>326</v>
      </c>
      <c r="E1064" s="16">
        <v>5.779670318588614E-4</v>
      </c>
      <c r="F1064" s="16">
        <v>0.9999224324819806</v>
      </c>
      <c r="G1064" s="16"/>
      <c r="H1064" s="16">
        <v>0.0</v>
      </c>
      <c r="I1064" s="16">
        <v>0.0</v>
      </c>
      <c r="J1064" s="16">
        <v>0.0</v>
      </c>
      <c r="K1064" s="4">
        <v>0.0</v>
      </c>
      <c r="M1064" s="4" t="s">
        <v>32</v>
      </c>
    </row>
    <row r="1065" ht="18.0" customHeight="1">
      <c r="A1065" s="4" t="s">
        <v>60</v>
      </c>
      <c r="B1065" s="4">
        <v>11.0</v>
      </c>
      <c r="C1065" s="4" t="s">
        <v>752</v>
      </c>
      <c r="D1065" s="4" t="s">
        <v>753</v>
      </c>
      <c r="E1065" s="16">
        <v>0.05856769531965256</v>
      </c>
      <c r="F1065" s="16">
        <v>0.986815779004246</v>
      </c>
      <c r="G1065" s="16"/>
      <c r="H1065" s="16">
        <v>1.0</v>
      </c>
      <c r="I1065" s="16">
        <v>0.35000000000000003</v>
      </c>
      <c r="J1065" s="16">
        <v>0.13043478260869568</v>
      </c>
      <c r="K1065" s="4">
        <v>0.0</v>
      </c>
      <c r="M1065" s="4" t="s">
        <v>32</v>
      </c>
    </row>
    <row r="1066" ht="18.0" customHeight="1">
      <c r="A1066" s="4" t="s">
        <v>60</v>
      </c>
      <c r="B1066" s="4">
        <v>12.0</v>
      </c>
      <c r="C1066" s="4" t="s">
        <v>338</v>
      </c>
      <c r="D1066" s="4" t="s">
        <v>767</v>
      </c>
      <c r="E1066" s="16">
        <v>7.974655600264668E-4</v>
      </c>
      <c r="F1066" s="16">
        <v>0.999886892583163</v>
      </c>
      <c r="G1066" s="16"/>
      <c r="H1066" s="16">
        <v>1.0</v>
      </c>
      <c r="I1066" s="16">
        <v>0.4416666666666667</v>
      </c>
      <c r="J1066" s="16">
        <v>0.5031055900621118</v>
      </c>
      <c r="K1066" s="4">
        <v>0.0</v>
      </c>
      <c r="M1066" s="4" t="s">
        <v>32</v>
      </c>
    </row>
    <row r="1067" ht="18.0" customHeight="1">
      <c r="A1067" s="4" t="s">
        <v>60</v>
      </c>
      <c r="B1067" s="4">
        <v>13.0</v>
      </c>
      <c r="C1067" s="4" t="s">
        <v>714</v>
      </c>
      <c r="D1067" s="4" t="s">
        <v>715</v>
      </c>
      <c r="E1067" s="16">
        <v>8.851490565575659E-5</v>
      </c>
      <c r="F1067" s="16">
        <v>0.9999931519853362</v>
      </c>
      <c r="G1067" s="16"/>
      <c r="H1067" s="16">
        <v>0.0</v>
      </c>
      <c r="I1067" s="16">
        <v>0.016666666666666666</v>
      </c>
      <c r="J1067" s="16">
        <v>0.0</v>
      </c>
      <c r="K1067" s="4">
        <v>1.0</v>
      </c>
      <c r="L1067" s="4">
        <v>0.0</v>
      </c>
      <c r="M1067" s="4" t="s">
        <v>239</v>
      </c>
    </row>
    <row r="1068" ht="18.0" customHeight="1">
      <c r="A1068" s="4" t="s">
        <v>60</v>
      </c>
      <c r="B1068" s="4">
        <v>14.0</v>
      </c>
      <c r="C1068" s="4" t="s">
        <v>132</v>
      </c>
      <c r="D1068" s="4" t="s">
        <v>314</v>
      </c>
      <c r="E1068" s="16">
        <v>6.129259709268808E-4</v>
      </c>
      <c r="F1068" s="16">
        <v>0.9999097305772011</v>
      </c>
      <c r="G1068" s="16"/>
      <c r="H1068" s="16">
        <v>1.0</v>
      </c>
      <c r="I1068" s="16">
        <v>0.3875</v>
      </c>
      <c r="J1068" s="16">
        <v>0.0</v>
      </c>
      <c r="K1068" s="4">
        <v>0.0</v>
      </c>
      <c r="M1068" s="4" t="s">
        <v>32</v>
      </c>
    </row>
    <row r="1069" ht="18.0" customHeight="1">
      <c r="A1069" s="4" t="s">
        <v>60</v>
      </c>
      <c r="B1069" s="4">
        <v>15.0</v>
      </c>
      <c r="C1069" s="4" t="s">
        <v>767</v>
      </c>
      <c r="D1069" s="4" t="s">
        <v>1154</v>
      </c>
      <c r="E1069" s="16">
        <v>5.7938857935369015E-5</v>
      </c>
      <c r="F1069" s="16">
        <v>0.9999951557963414</v>
      </c>
      <c r="G1069" s="16"/>
      <c r="H1069" s="16">
        <v>0.09090909090909091</v>
      </c>
      <c r="I1069" s="16">
        <v>0.08333333333333333</v>
      </c>
      <c r="J1069" s="16">
        <v>0.0</v>
      </c>
      <c r="K1069" s="4">
        <v>0.0</v>
      </c>
      <c r="M1069" s="4" t="s">
        <v>32</v>
      </c>
    </row>
    <row r="1070" ht="18.0" customHeight="1">
      <c r="A1070" s="4" t="s">
        <v>60</v>
      </c>
      <c r="B1070" s="4">
        <v>16.0</v>
      </c>
      <c r="C1070" s="4" t="s">
        <v>309</v>
      </c>
      <c r="D1070" s="4" t="s">
        <v>738</v>
      </c>
      <c r="E1070" s="16">
        <v>7.804262713762E-5</v>
      </c>
      <c r="F1070" s="16">
        <v>0.9999924896178527</v>
      </c>
      <c r="G1070" s="16"/>
      <c r="H1070" s="16">
        <v>0.0</v>
      </c>
      <c r="I1070" s="16">
        <v>0.08333333333333333</v>
      </c>
      <c r="J1070" s="16">
        <v>0.28260869565217395</v>
      </c>
      <c r="K1070" s="4">
        <v>0.0</v>
      </c>
      <c r="M1070" s="4" t="s">
        <v>32</v>
      </c>
    </row>
    <row r="1071" ht="18.0" customHeight="1">
      <c r="A1071" s="4" t="s">
        <v>60</v>
      </c>
      <c r="B1071" s="4">
        <v>17.0</v>
      </c>
      <c r="C1071" s="4" t="s">
        <v>1155</v>
      </c>
      <c r="D1071" s="4" t="s">
        <v>1112</v>
      </c>
      <c r="E1071" s="16">
        <v>2.515257801860571E-4</v>
      </c>
      <c r="F1071" s="16">
        <v>0.999973731605678</v>
      </c>
      <c r="G1071" s="16"/>
      <c r="H1071" s="16">
        <v>0.9090909090909091</v>
      </c>
      <c r="I1071" s="16">
        <v>0.25</v>
      </c>
      <c r="J1071" s="16">
        <v>0.0</v>
      </c>
      <c r="K1071" s="4">
        <v>0.0</v>
      </c>
      <c r="M1071" s="4" t="s">
        <v>32</v>
      </c>
    </row>
    <row r="1072" ht="18.0" customHeight="1">
      <c r="A1072" s="4" t="s">
        <v>60</v>
      </c>
      <c r="B1072" s="4">
        <v>18.0</v>
      </c>
      <c r="C1072" s="4" t="s">
        <v>1150</v>
      </c>
      <c r="D1072" s="4" t="s">
        <v>1156</v>
      </c>
      <c r="E1072" s="16">
        <v>2.786786644719541E-4</v>
      </c>
      <c r="F1072" s="16">
        <v>0.9999718676990597</v>
      </c>
      <c r="G1072" s="16"/>
      <c r="H1072" s="16">
        <v>0.9090909090909091</v>
      </c>
      <c r="I1072" s="16">
        <v>0.2583333333333333</v>
      </c>
      <c r="J1072" s="16">
        <v>0.0</v>
      </c>
      <c r="K1072" s="4">
        <v>0.0</v>
      </c>
      <c r="M1072" s="4" t="s">
        <v>32</v>
      </c>
    </row>
    <row r="1073" ht="18.0" customHeight="1">
      <c r="A1073" s="4" t="s">
        <v>60</v>
      </c>
      <c r="B1073" s="4">
        <v>19.0</v>
      </c>
      <c r="C1073" s="4" t="s">
        <v>1152</v>
      </c>
      <c r="D1073" s="4" t="s">
        <v>1153</v>
      </c>
      <c r="E1073" s="16">
        <v>2.1983476472087204E-4</v>
      </c>
      <c r="F1073" s="16">
        <v>0.9999755407125122</v>
      </c>
      <c r="G1073" s="16"/>
      <c r="H1073" s="16">
        <v>0.0</v>
      </c>
      <c r="I1073" s="16">
        <v>0.016666666666666666</v>
      </c>
      <c r="J1073" s="16">
        <v>0.0</v>
      </c>
      <c r="K1073" s="4">
        <v>0.0</v>
      </c>
      <c r="M1073" s="4" t="s">
        <v>32</v>
      </c>
    </row>
    <row r="1074" ht="18.0" customHeight="1">
      <c r="A1074" s="4" t="s">
        <v>60</v>
      </c>
      <c r="B1074" s="4">
        <v>20.0</v>
      </c>
      <c r="C1074" s="4" t="s">
        <v>1110</v>
      </c>
      <c r="D1074" s="4" t="s">
        <v>1157</v>
      </c>
      <c r="E1074" s="16">
        <v>6.702832615701482E-5</v>
      </c>
      <c r="F1074" s="16">
        <v>0.9999953738975478</v>
      </c>
      <c r="G1074" s="16"/>
      <c r="H1074" s="16">
        <v>0.2727272727272727</v>
      </c>
      <c r="I1074" s="16">
        <v>0.18333333333333335</v>
      </c>
      <c r="J1074" s="16">
        <v>0.5</v>
      </c>
      <c r="K1074" s="4">
        <v>0.0</v>
      </c>
      <c r="M1074" s="4" t="s">
        <v>32</v>
      </c>
    </row>
    <row r="1075" ht="18.0" customHeight="1">
      <c r="A1075" s="4" t="s">
        <v>60</v>
      </c>
      <c r="B1075" s="4">
        <v>21.0</v>
      </c>
      <c r="C1075" s="4" t="s">
        <v>115</v>
      </c>
      <c r="D1075" s="4" t="s">
        <v>114</v>
      </c>
      <c r="E1075" s="16">
        <v>6.675260374322534E-4</v>
      </c>
      <c r="F1075" s="16">
        <v>0.9999173434971453</v>
      </c>
      <c r="G1075" s="16"/>
      <c r="H1075" s="16">
        <v>1.0</v>
      </c>
      <c r="I1075" s="16">
        <v>0.19166666666666668</v>
      </c>
      <c r="J1075" s="16">
        <v>0.0</v>
      </c>
      <c r="K1075" s="4">
        <v>0.0</v>
      </c>
      <c r="M1075" s="4" t="s">
        <v>32</v>
      </c>
    </row>
    <row r="1076" ht="18.0" customHeight="1">
      <c r="A1076" s="4" t="s">
        <v>60</v>
      </c>
      <c r="B1076" s="4">
        <v>22.0</v>
      </c>
      <c r="C1076" s="4" t="s">
        <v>1158</v>
      </c>
      <c r="D1076" s="4" t="s">
        <v>264</v>
      </c>
      <c r="E1076" s="16">
        <v>3.3853945205919445E-4</v>
      </c>
      <c r="F1076" s="16">
        <v>0.9999641570329914</v>
      </c>
      <c r="G1076" s="16"/>
      <c r="H1076" s="16">
        <v>0.9090909090909091</v>
      </c>
      <c r="I1076" s="16">
        <v>0.2166666666666667</v>
      </c>
      <c r="J1076" s="16">
        <v>0.0</v>
      </c>
      <c r="K1076" s="4">
        <v>0.0</v>
      </c>
      <c r="M1076" s="4" t="s">
        <v>32</v>
      </c>
    </row>
    <row r="1077" ht="18.0" customHeight="1">
      <c r="A1077" s="4" t="s">
        <v>60</v>
      </c>
      <c r="B1077" s="4">
        <v>23.0</v>
      </c>
      <c r="C1077" s="4" t="s">
        <v>1159</v>
      </c>
      <c r="D1077" s="4" t="s">
        <v>1160</v>
      </c>
      <c r="E1077" s="16">
        <v>3.9067577745299786E-5</v>
      </c>
      <c r="F1077" s="16">
        <v>0.9999969682202163</v>
      </c>
      <c r="G1077" s="16"/>
      <c r="H1077" s="16">
        <v>1.0</v>
      </c>
      <c r="I1077" s="16">
        <v>0.4083333333333334</v>
      </c>
      <c r="J1077" s="16">
        <v>1.0</v>
      </c>
      <c r="K1077" s="4">
        <v>0.0</v>
      </c>
      <c r="M1077" s="4" t="s">
        <v>32</v>
      </c>
    </row>
    <row r="1078" ht="18.0" customHeight="1">
      <c r="A1078" s="4" t="s">
        <v>60</v>
      </c>
      <c r="B1078" s="4">
        <v>24.0</v>
      </c>
      <c r="C1078" s="4" t="s">
        <v>132</v>
      </c>
      <c r="D1078" s="4" t="s">
        <v>122</v>
      </c>
      <c r="E1078" s="16">
        <v>2.2466621885541826E-4</v>
      </c>
      <c r="F1078" s="16">
        <v>0.9999759965576231</v>
      </c>
      <c r="G1078" s="16"/>
      <c r="H1078" s="16">
        <v>0.9090909090909091</v>
      </c>
      <c r="I1078" s="16">
        <v>0.21666666666666667</v>
      </c>
      <c r="J1078" s="16">
        <v>0.23076923076923078</v>
      </c>
      <c r="K1078" s="4">
        <v>0.0</v>
      </c>
      <c r="M1078" s="4" t="s">
        <v>32</v>
      </c>
    </row>
    <row r="1079" ht="18.0" customHeight="1">
      <c r="A1079" s="4" t="s">
        <v>60</v>
      </c>
      <c r="B1079" s="4">
        <v>25.0</v>
      </c>
      <c r="C1079" s="4" t="s">
        <v>114</v>
      </c>
      <c r="D1079" s="4" t="s">
        <v>122</v>
      </c>
      <c r="E1079" s="16">
        <v>6.947460933588445E-4</v>
      </c>
      <c r="F1079" s="16">
        <v>0.9999155262848944</v>
      </c>
      <c r="G1079" s="16"/>
      <c r="H1079" s="16">
        <v>0.7272727272727273</v>
      </c>
      <c r="I1079" s="16">
        <v>0.4083333333333334</v>
      </c>
      <c r="J1079" s="16">
        <v>1.0</v>
      </c>
      <c r="K1079" s="4">
        <v>0.0</v>
      </c>
      <c r="M1079" s="4" t="s">
        <v>32</v>
      </c>
    </row>
    <row r="1080" ht="18.0" customHeight="1">
      <c r="A1080" s="4" t="s">
        <v>60</v>
      </c>
      <c r="B1080" s="4">
        <v>26.0</v>
      </c>
      <c r="C1080" s="4" t="s">
        <v>232</v>
      </c>
      <c r="D1080" s="4" t="s">
        <v>289</v>
      </c>
      <c r="E1080" s="16">
        <v>3.654447791632265E-4</v>
      </c>
      <c r="F1080" s="16">
        <v>0.9999461359820998</v>
      </c>
      <c r="G1080" s="16"/>
      <c r="H1080" s="16">
        <v>1.0</v>
      </c>
      <c r="I1080" s="16">
        <v>0.40416666666666673</v>
      </c>
      <c r="J1080" s="16">
        <v>1.0</v>
      </c>
      <c r="K1080" s="4">
        <v>0.0</v>
      </c>
      <c r="M1080" s="4" t="s">
        <v>32</v>
      </c>
    </row>
    <row r="1081" ht="18.0" customHeight="1">
      <c r="A1081" s="4" t="s">
        <v>60</v>
      </c>
      <c r="B1081" s="4">
        <v>27.0</v>
      </c>
      <c r="C1081" s="4" t="s">
        <v>87</v>
      </c>
      <c r="D1081" s="4" t="s">
        <v>563</v>
      </c>
      <c r="E1081" s="16">
        <v>0.003731059841811657</v>
      </c>
      <c r="F1081" s="16">
        <v>0.9992732599203009</v>
      </c>
      <c r="G1081" s="16"/>
      <c r="H1081" s="16">
        <v>0.9090909090909091</v>
      </c>
      <c r="I1081" s="16">
        <v>0.4708333333333334</v>
      </c>
      <c r="J1081" s="16">
        <v>1.0</v>
      </c>
      <c r="K1081" s="4">
        <v>0.0</v>
      </c>
      <c r="M1081" s="4" t="s">
        <v>32</v>
      </c>
    </row>
    <row r="1082" ht="18.0" customHeight="1">
      <c r="A1082" s="4" t="s">
        <v>60</v>
      </c>
      <c r="B1082" s="4">
        <v>28.0</v>
      </c>
      <c r="C1082" s="4" t="s">
        <v>232</v>
      </c>
      <c r="D1082" s="4" t="s">
        <v>289</v>
      </c>
      <c r="E1082" s="16">
        <v>0.005713178776204586</v>
      </c>
      <c r="F1082" s="16">
        <v>0.9987288154079579</v>
      </c>
      <c r="G1082" s="16"/>
      <c r="H1082" s="16">
        <v>1.0</v>
      </c>
      <c r="I1082" s="16">
        <v>0.5083333333333334</v>
      </c>
      <c r="J1082" s="16">
        <v>0.75</v>
      </c>
      <c r="K1082" s="4">
        <v>0.0</v>
      </c>
      <c r="M1082" s="4" t="s">
        <v>32</v>
      </c>
    </row>
    <row r="1083" ht="18.0" customHeight="1">
      <c r="A1083" s="4" t="s">
        <v>60</v>
      </c>
      <c r="B1083" s="4">
        <v>29.0</v>
      </c>
      <c r="C1083" s="4" t="s">
        <v>625</v>
      </c>
      <c r="D1083" s="4" t="s">
        <v>692</v>
      </c>
      <c r="E1083" s="16">
        <v>0.7812324166297913</v>
      </c>
      <c r="F1083" s="16">
        <v>0.11507019400596619</v>
      </c>
      <c r="G1083" s="16"/>
      <c r="H1083" s="16">
        <v>1.0</v>
      </c>
      <c r="I1083" s="16">
        <v>0.5750000000000001</v>
      </c>
      <c r="J1083" s="16">
        <v>1.0</v>
      </c>
      <c r="K1083" s="4">
        <v>1.0</v>
      </c>
      <c r="L1083" s="4">
        <v>0.0</v>
      </c>
      <c r="M1083" s="4" t="s">
        <v>239</v>
      </c>
    </row>
    <row r="1084" ht="18.0" customHeight="1">
      <c r="A1084" s="4" t="s">
        <v>60</v>
      </c>
      <c r="B1084" s="4">
        <v>30.0</v>
      </c>
      <c r="C1084" s="4" t="s">
        <v>695</v>
      </c>
      <c r="D1084" s="4" t="s">
        <v>413</v>
      </c>
      <c r="E1084" s="16">
        <v>0.1931341290473938</v>
      </c>
      <c r="F1084" s="16">
        <v>0.9628524854779243</v>
      </c>
      <c r="G1084" s="16"/>
      <c r="H1084" s="16">
        <v>1.0</v>
      </c>
      <c r="I1084" s="16">
        <v>0.22083333333333333</v>
      </c>
      <c r="J1084" s="16">
        <v>0.8353909465020576</v>
      </c>
      <c r="K1084" s="4">
        <v>1.0</v>
      </c>
      <c r="L1084" s="4">
        <v>0.0</v>
      </c>
      <c r="M1084" s="4" t="s">
        <v>239</v>
      </c>
    </row>
    <row r="1085" ht="18.0" customHeight="1">
      <c r="A1085" s="4" t="s">
        <v>60</v>
      </c>
      <c r="B1085" s="4">
        <v>31.0</v>
      </c>
      <c r="C1085" s="4" t="s">
        <v>132</v>
      </c>
      <c r="D1085" s="4" t="s">
        <v>767</v>
      </c>
      <c r="E1085" s="16">
        <v>0.03823333606123924</v>
      </c>
      <c r="F1085" s="16">
        <v>0.9899884699843824</v>
      </c>
      <c r="G1085" s="16"/>
      <c r="H1085" s="16">
        <v>1.0</v>
      </c>
      <c r="I1085" s="16">
        <v>0.25</v>
      </c>
      <c r="J1085" s="16">
        <v>0.28723404255319146</v>
      </c>
      <c r="K1085" s="4">
        <v>0.0</v>
      </c>
      <c r="M1085" s="4" t="s">
        <v>32</v>
      </c>
    </row>
    <row r="1086" ht="18.0" customHeight="1">
      <c r="A1086" s="4" t="s">
        <v>60</v>
      </c>
      <c r="B1086" s="4">
        <v>32.0</v>
      </c>
      <c r="C1086" s="4" t="s">
        <v>393</v>
      </c>
      <c r="D1086" s="4" t="s">
        <v>1161</v>
      </c>
      <c r="E1086" s="16">
        <v>0.04775918275117874</v>
      </c>
      <c r="F1086" s="16">
        <v>0.9840001668781042</v>
      </c>
      <c r="G1086" s="16"/>
      <c r="H1086" s="16">
        <v>0.9090909090909091</v>
      </c>
      <c r="I1086" s="16">
        <v>0.33749999999999997</v>
      </c>
      <c r="J1086" s="16">
        <v>0.23376623376623376</v>
      </c>
      <c r="K1086" s="4">
        <v>0.0</v>
      </c>
      <c r="M1086" s="4" t="s">
        <v>32</v>
      </c>
    </row>
    <row r="1087" ht="18.0" customHeight="1">
      <c r="A1087" s="4" t="s">
        <v>60</v>
      </c>
      <c r="B1087" s="4">
        <v>33.0</v>
      </c>
      <c r="C1087" s="4" t="s">
        <v>692</v>
      </c>
      <c r="D1087" s="4" t="s">
        <v>1162</v>
      </c>
      <c r="E1087" s="16">
        <v>5.453065969049931E-4</v>
      </c>
      <c r="F1087" s="16">
        <v>0.9999369951456174</v>
      </c>
      <c r="G1087" s="16"/>
      <c r="H1087" s="16">
        <v>0.09090909090909091</v>
      </c>
      <c r="I1087" s="16">
        <v>0.03333333333333333</v>
      </c>
      <c r="J1087" s="16">
        <v>0.5</v>
      </c>
      <c r="K1087" s="4">
        <v>0.0</v>
      </c>
      <c r="M1087" s="4" t="s">
        <v>32</v>
      </c>
    </row>
    <row r="1088" ht="18.0" customHeight="1">
      <c r="A1088" s="4" t="s">
        <v>60</v>
      </c>
      <c r="B1088" s="4">
        <v>34.0</v>
      </c>
      <c r="C1088" s="4" t="s">
        <v>115</v>
      </c>
      <c r="D1088" s="4" t="s">
        <v>364</v>
      </c>
      <c r="E1088" s="16">
        <v>0.042134154587984085</v>
      </c>
      <c r="F1088" s="16">
        <v>0.9861246822401881</v>
      </c>
      <c r="G1088" s="16"/>
      <c r="H1088" s="16">
        <v>1.0</v>
      </c>
      <c r="I1088" s="16">
        <v>0.4875</v>
      </c>
      <c r="J1088" s="16">
        <v>0.8</v>
      </c>
      <c r="K1088" s="4">
        <v>0.0</v>
      </c>
      <c r="M1088" s="4" t="s">
        <v>32</v>
      </c>
    </row>
    <row r="1089" ht="18.0" customHeight="1">
      <c r="A1089" s="4" t="s">
        <v>60</v>
      </c>
      <c r="B1089" s="4">
        <v>35.0</v>
      </c>
      <c r="C1089" s="4" t="s">
        <v>1163</v>
      </c>
      <c r="D1089" s="4" t="s">
        <v>1164</v>
      </c>
      <c r="E1089" s="16">
        <v>0.0016505687963217497</v>
      </c>
      <c r="F1089" s="16">
        <v>0.9997371493009268</v>
      </c>
      <c r="G1089" s="16"/>
      <c r="H1089" s="16">
        <v>0.0</v>
      </c>
      <c r="I1089" s="16">
        <v>0.016666666666666666</v>
      </c>
      <c r="J1089" s="16">
        <v>0.0</v>
      </c>
      <c r="K1089" s="4">
        <v>0.0</v>
      </c>
      <c r="M1089" s="4" t="s">
        <v>32</v>
      </c>
    </row>
    <row r="1090" ht="18.0" customHeight="1">
      <c r="A1090" s="4" t="s">
        <v>60</v>
      </c>
      <c r="B1090" s="4">
        <v>36.0</v>
      </c>
      <c r="C1090" s="4" t="s">
        <v>364</v>
      </c>
      <c r="D1090" s="4" t="s">
        <v>711</v>
      </c>
      <c r="E1090" s="16">
        <v>6.643471424467862E-4</v>
      </c>
      <c r="F1090" s="16">
        <v>0.9999198548521235</v>
      </c>
      <c r="G1090" s="16"/>
      <c r="H1090" s="16">
        <v>1.0</v>
      </c>
      <c r="I1090" s="16">
        <v>0.45</v>
      </c>
      <c r="J1090" s="16">
        <v>0.18750000000000003</v>
      </c>
      <c r="K1090" s="4">
        <v>0.0</v>
      </c>
      <c r="M1090" s="4" t="s">
        <v>32</v>
      </c>
    </row>
    <row r="1091" ht="18.0" customHeight="1">
      <c r="A1091" s="4" t="s">
        <v>60</v>
      </c>
      <c r="B1091" s="4">
        <v>37.0</v>
      </c>
      <c r="C1091" s="4" t="s">
        <v>187</v>
      </c>
      <c r="D1091" s="4" t="s">
        <v>290</v>
      </c>
      <c r="E1091" s="16">
        <v>2.046397712547332E-4</v>
      </c>
      <c r="F1091" s="16">
        <v>0.9999860627800672</v>
      </c>
      <c r="G1091" s="16"/>
      <c r="H1091" s="16">
        <v>1.0</v>
      </c>
      <c r="I1091" s="16">
        <v>0.4875</v>
      </c>
      <c r="J1091" s="16">
        <v>0.2650602409638555</v>
      </c>
      <c r="K1091" s="4">
        <v>0.0</v>
      </c>
      <c r="M1091" s="4" t="s">
        <v>32</v>
      </c>
    </row>
    <row r="1092" ht="18.0" customHeight="1">
      <c r="A1092" s="4" t="s">
        <v>60</v>
      </c>
      <c r="B1092" s="4">
        <v>38.0</v>
      </c>
      <c r="C1092" s="4" t="s">
        <v>159</v>
      </c>
      <c r="D1092" s="4" t="s">
        <v>1049</v>
      </c>
      <c r="E1092" s="16">
        <v>2.2628167062066495E-4</v>
      </c>
      <c r="F1092" s="16">
        <v>0.9999801243902766</v>
      </c>
      <c r="G1092" s="16"/>
      <c r="H1092" s="16">
        <v>1.0</v>
      </c>
      <c r="I1092" s="16">
        <v>0.5833333333333334</v>
      </c>
      <c r="J1092" s="16">
        <v>0.14457831325301207</v>
      </c>
      <c r="K1092" s="4">
        <v>0.0</v>
      </c>
      <c r="M1092" s="4" t="s">
        <v>32</v>
      </c>
    </row>
    <row r="1093" ht="18.0" customHeight="1">
      <c r="A1093" s="4" t="s">
        <v>60</v>
      </c>
      <c r="B1093" s="4">
        <v>39.0</v>
      </c>
      <c r="C1093" s="4" t="s">
        <v>270</v>
      </c>
      <c r="D1093" s="4" t="s">
        <v>160</v>
      </c>
      <c r="E1093" s="16">
        <v>2.412420290056616E-4</v>
      </c>
      <c r="F1093" s="16">
        <v>0.9999691353777962</v>
      </c>
      <c r="G1093" s="16"/>
      <c r="H1093" s="16">
        <v>1.0</v>
      </c>
      <c r="I1093" s="16">
        <v>0.6208333333333333</v>
      </c>
      <c r="J1093" s="16">
        <v>0.5</v>
      </c>
      <c r="K1093" s="4">
        <v>0.0</v>
      </c>
      <c r="M1093" s="4" t="s">
        <v>32</v>
      </c>
    </row>
    <row r="1094" ht="18.0" customHeight="1">
      <c r="A1094" s="4" t="s">
        <v>60</v>
      </c>
      <c r="B1094" s="4">
        <v>40.0</v>
      </c>
      <c r="C1094" s="4" t="s">
        <v>114</v>
      </c>
      <c r="D1094" s="4" t="s">
        <v>115</v>
      </c>
      <c r="E1094" s="16">
        <v>0.016822513192892075</v>
      </c>
      <c r="F1094" s="16">
        <v>0.9970141974044964</v>
      </c>
      <c r="G1094" s="16"/>
      <c r="H1094" s="16">
        <v>1.0</v>
      </c>
      <c r="I1094" s="16">
        <v>0.44583333333333336</v>
      </c>
      <c r="J1094" s="16">
        <v>0.22857142857142856</v>
      </c>
      <c r="K1094" s="4">
        <v>0.0</v>
      </c>
      <c r="M1094" s="4" t="s">
        <v>32</v>
      </c>
    </row>
    <row r="1095" ht="18.0" customHeight="1">
      <c r="A1095" s="4" t="s">
        <v>60</v>
      </c>
      <c r="B1095" s="4">
        <v>41.0</v>
      </c>
      <c r="C1095" s="4" t="s">
        <v>232</v>
      </c>
      <c r="D1095" s="4" t="s">
        <v>289</v>
      </c>
      <c r="E1095" s="16">
        <v>1.8891204672399908E-4</v>
      </c>
      <c r="F1095" s="16">
        <v>0.9999807261847309</v>
      </c>
      <c r="G1095" s="16"/>
      <c r="H1095" s="16">
        <v>1.0</v>
      </c>
      <c r="I1095" s="16">
        <v>0.6458333333333334</v>
      </c>
      <c r="J1095" s="16">
        <v>0.19047619047619047</v>
      </c>
      <c r="K1095" s="4">
        <v>0.0</v>
      </c>
      <c r="M1095" s="4" t="s">
        <v>32</v>
      </c>
    </row>
    <row r="1096" ht="18.0" customHeight="1">
      <c r="A1096" s="4" t="s">
        <v>60</v>
      </c>
      <c r="B1096" s="4">
        <v>42.0</v>
      </c>
      <c r="C1096" s="4" t="s">
        <v>692</v>
      </c>
      <c r="D1096" s="4" t="s">
        <v>1165</v>
      </c>
      <c r="E1096" s="16">
        <v>2.454528585076332E-4</v>
      </c>
      <c r="F1096" s="16">
        <v>0.9999816287254362</v>
      </c>
      <c r="G1096" s="16"/>
      <c r="H1096" s="16">
        <v>0.0</v>
      </c>
      <c r="I1096" s="16">
        <v>0.041666666666666664</v>
      </c>
      <c r="J1096" s="16">
        <v>0.0</v>
      </c>
      <c r="K1096" s="4">
        <v>0.0</v>
      </c>
      <c r="M1096" s="4" t="s">
        <v>32</v>
      </c>
    </row>
    <row r="1097" ht="18.0" customHeight="1">
      <c r="A1097" s="4" t="s">
        <v>60</v>
      </c>
      <c r="B1097" s="4">
        <v>43.0</v>
      </c>
      <c r="C1097" s="4" t="s">
        <v>180</v>
      </c>
      <c r="D1097" s="4" t="s">
        <v>1166</v>
      </c>
      <c r="E1097" s="16">
        <v>5.462213812279515E-5</v>
      </c>
      <c r="F1097" s="16">
        <v>0.9999957052741593</v>
      </c>
      <c r="G1097" s="16"/>
      <c r="H1097" s="16">
        <v>1.0</v>
      </c>
      <c r="I1097" s="16">
        <v>0.7916666666666666</v>
      </c>
      <c r="J1097" s="16">
        <v>0.0</v>
      </c>
      <c r="K1097" s="4">
        <v>0.0</v>
      </c>
      <c r="M1097" s="4" t="s">
        <v>32</v>
      </c>
    </row>
    <row r="1098" ht="18.0" customHeight="1">
      <c r="A1098" s="4" t="s">
        <v>60</v>
      </c>
      <c r="B1098" s="4">
        <v>44.0</v>
      </c>
      <c r="C1098" s="4" t="s">
        <v>743</v>
      </c>
      <c r="D1098" s="4" t="s">
        <v>1167</v>
      </c>
      <c r="E1098" s="16">
        <v>2.582218439783901E-4</v>
      </c>
      <c r="F1098" s="16">
        <v>0.9999723445362179</v>
      </c>
      <c r="G1098" s="16"/>
      <c r="H1098" s="16">
        <v>0.5454545454545454</v>
      </c>
      <c r="I1098" s="16">
        <v>0.4375</v>
      </c>
      <c r="J1098" s="16">
        <v>0.5</v>
      </c>
      <c r="K1098" s="4">
        <v>0.0</v>
      </c>
      <c r="M1098" s="4" t="s">
        <v>32</v>
      </c>
    </row>
    <row r="1099" ht="18.0" customHeight="1">
      <c r="A1099" s="4" t="s">
        <v>60</v>
      </c>
      <c r="B1099" s="4">
        <v>45.0</v>
      </c>
      <c r="C1099" s="4" t="s">
        <v>1168</v>
      </c>
      <c r="D1099" s="4" t="s">
        <v>587</v>
      </c>
      <c r="E1099" s="16">
        <v>2.5210671083186753E-5</v>
      </c>
      <c r="F1099" s="16">
        <v>0.9999978637799813</v>
      </c>
      <c r="G1099" s="16"/>
      <c r="H1099" s="16">
        <v>0.0</v>
      </c>
      <c r="I1099" s="16">
        <v>0.016666666666666666</v>
      </c>
      <c r="J1099" s="16">
        <v>0.0</v>
      </c>
      <c r="K1099" s="4">
        <v>0.0</v>
      </c>
      <c r="M1099" s="4" t="s">
        <v>32</v>
      </c>
    </row>
    <row r="1100" ht="18.0" customHeight="1">
      <c r="A1100" s="4" t="s">
        <v>60</v>
      </c>
      <c r="B1100" s="4">
        <v>46.0</v>
      </c>
      <c r="C1100" s="4" t="s">
        <v>723</v>
      </c>
      <c r="D1100" s="4" t="s">
        <v>542</v>
      </c>
      <c r="E1100" s="16">
        <v>3.8611344643868506E-4</v>
      </c>
      <c r="F1100" s="16">
        <v>0.99995233941263</v>
      </c>
      <c r="G1100" s="16"/>
      <c r="H1100" s="16">
        <v>1.0</v>
      </c>
      <c r="I1100" s="16">
        <v>0.7708333333333334</v>
      </c>
      <c r="J1100" s="16">
        <v>0.38414634146341464</v>
      </c>
      <c r="K1100" s="4">
        <v>1.0</v>
      </c>
      <c r="L1100" s="4">
        <v>0.0</v>
      </c>
      <c r="M1100" s="4" t="s">
        <v>239</v>
      </c>
    </row>
    <row r="1101" ht="18.0" customHeight="1">
      <c r="A1101" s="4" t="s">
        <v>60</v>
      </c>
      <c r="B1101" s="4">
        <v>47.0</v>
      </c>
      <c r="C1101" s="4" t="s">
        <v>270</v>
      </c>
      <c r="D1101" s="4" t="s">
        <v>160</v>
      </c>
      <c r="E1101" s="16">
        <v>0.0013335492694750428</v>
      </c>
      <c r="F1101" s="16">
        <v>0.999834451071365</v>
      </c>
      <c r="G1101" s="16"/>
      <c r="H1101" s="16">
        <v>0.09090909090909091</v>
      </c>
      <c r="I1101" s="16">
        <v>0.16666666666666666</v>
      </c>
      <c r="J1101" s="16">
        <v>0.19999999999999996</v>
      </c>
      <c r="K1101" s="4">
        <v>0.0</v>
      </c>
      <c r="M1101" s="4" t="s">
        <v>32</v>
      </c>
    </row>
    <row r="1102" ht="18.0" customHeight="1">
      <c r="A1102" s="4" t="s">
        <v>60</v>
      </c>
      <c r="B1102" s="4">
        <v>48.0</v>
      </c>
      <c r="C1102" s="4" t="s">
        <v>629</v>
      </c>
      <c r="D1102" s="4" t="s">
        <v>1169</v>
      </c>
      <c r="E1102" s="16">
        <v>5.183278117328882E-4</v>
      </c>
      <c r="F1102" s="16">
        <v>0.9999153522257984</v>
      </c>
      <c r="G1102" s="16"/>
      <c r="H1102" s="16">
        <v>1.0</v>
      </c>
      <c r="I1102" s="16">
        <v>0.7083333333333334</v>
      </c>
      <c r="J1102" s="16">
        <v>0.14146341463414633</v>
      </c>
      <c r="K1102" s="4">
        <v>0.0</v>
      </c>
      <c r="M1102" s="4" t="s">
        <v>32</v>
      </c>
    </row>
    <row r="1103" ht="18.0" customHeight="1">
      <c r="A1103" s="4" t="s">
        <v>60</v>
      </c>
      <c r="B1103" s="4">
        <v>49.0</v>
      </c>
      <c r="C1103" s="4" t="s">
        <v>147</v>
      </c>
      <c r="D1103" s="4" t="s">
        <v>1170</v>
      </c>
      <c r="E1103" s="16">
        <v>8.607118797954172E-5</v>
      </c>
      <c r="F1103" s="16">
        <v>0.9999907121739398</v>
      </c>
      <c r="G1103" s="16"/>
      <c r="H1103" s="16">
        <v>0.09090909090909091</v>
      </c>
      <c r="I1103" s="16">
        <v>0.03333333333333333</v>
      </c>
      <c r="J1103" s="16">
        <v>0.0</v>
      </c>
      <c r="K1103" s="4">
        <v>0.0</v>
      </c>
      <c r="M1103" s="4" t="s">
        <v>32</v>
      </c>
    </row>
    <row r="1104" ht="18.0" customHeight="1">
      <c r="A1104" s="4" t="s">
        <v>60</v>
      </c>
      <c r="B1104" s="4">
        <v>50.0</v>
      </c>
      <c r="C1104" s="4" t="s">
        <v>140</v>
      </c>
      <c r="D1104" s="4" t="s">
        <v>1171</v>
      </c>
      <c r="E1104" s="16">
        <v>0.0040964228101074696</v>
      </c>
      <c r="F1104" s="16">
        <v>0.9990746291587129</v>
      </c>
      <c r="G1104" s="16"/>
      <c r="H1104" s="16">
        <v>0.0</v>
      </c>
      <c r="I1104" s="16">
        <v>0.041666666666666664</v>
      </c>
      <c r="J1104" s="16">
        <v>0.0</v>
      </c>
      <c r="K1104" s="4">
        <v>0.0</v>
      </c>
      <c r="M1104" s="4" t="s">
        <v>32</v>
      </c>
    </row>
    <row r="1105" ht="18.0" customHeight="1">
      <c r="A1105" s="4" t="s">
        <v>60</v>
      </c>
      <c r="B1105" s="4">
        <v>51.0</v>
      </c>
      <c r="C1105" s="4" t="s">
        <v>1172</v>
      </c>
      <c r="D1105" s="4" t="s">
        <v>766</v>
      </c>
      <c r="E1105" s="16">
        <v>4.390515969134867E-4</v>
      </c>
      <c r="F1105" s="16">
        <v>0.9999304056000256</v>
      </c>
      <c r="G1105" s="16"/>
      <c r="H1105" s="16">
        <v>0.0</v>
      </c>
      <c r="I1105" s="16">
        <v>0.016666666666666666</v>
      </c>
      <c r="J1105" s="16">
        <v>0.0</v>
      </c>
      <c r="K1105" s="4">
        <v>0.0</v>
      </c>
      <c r="M1105" s="4" t="s">
        <v>32</v>
      </c>
    </row>
    <row r="1106" ht="18.0" customHeight="1">
      <c r="A1106" s="4" t="s">
        <v>60</v>
      </c>
      <c r="B1106" s="4">
        <v>52.0</v>
      </c>
      <c r="C1106" s="4" t="s">
        <v>872</v>
      </c>
      <c r="D1106" s="4" t="s">
        <v>311</v>
      </c>
      <c r="E1106" s="16">
        <v>4.157041621510871E-5</v>
      </c>
      <c r="F1106" s="16">
        <v>0.9999962229356925</v>
      </c>
      <c r="G1106" s="16"/>
      <c r="H1106" s="16">
        <v>0.09090909090909091</v>
      </c>
      <c r="I1106" s="16">
        <v>0.08333333333333333</v>
      </c>
      <c r="J1106" s="16">
        <v>0.0</v>
      </c>
      <c r="K1106" s="4">
        <v>0.0</v>
      </c>
      <c r="M1106" s="4" t="s">
        <v>32</v>
      </c>
    </row>
    <row r="1107" ht="18.0" customHeight="1">
      <c r="A1107" s="4" t="s">
        <v>60</v>
      </c>
      <c r="B1107" s="4">
        <v>53.0</v>
      </c>
      <c r="C1107" s="4" t="s">
        <v>270</v>
      </c>
      <c r="D1107" s="4" t="s">
        <v>159</v>
      </c>
      <c r="E1107" s="16">
        <v>2.3544105715700425E-5</v>
      </c>
      <c r="F1107" s="16">
        <v>0.9999983630667941</v>
      </c>
      <c r="G1107" s="16"/>
      <c r="H1107" s="16">
        <v>1.0</v>
      </c>
      <c r="I1107" s="16">
        <v>0.6875</v>
      </c>
      <c r="J1107" s="16">
        <v>0.0</v>
      </c>
      <c r="K1107" s="4">
        <v>0.0</v>
      </c>
      <c r="M1107" s="4" t="s">
        <v>32</v>
      </c>
    </row>
    <row r="1108" ht="18.0" customHeight="1">
      <c r="A1108" s="4" t="s">
        <v>60</v>
      </c>
      <c r="B1108" s="4">
        <v>54.0</v>
      </c>
      <c r="C1108" s="4" t="s">
        <v>629</v>
      </c>
      <c r="D1108" s="4" t="s">
        <v>1169</v>
      </c>
      <c r="E1108" s="16">
        <v>6.225703691598028E-5</v>
      </c>
      <c r="F1108" s="16">
        <v>0.9999945920161508</v>
      </c>
      <c r="G1108" s="16"/>
      <c r="H1108" s="16">
        <v>1.0</v>
      </c>
      <c r="I1108" s="16">
        <v>0.75</v>
      </c>
      <c r="J1108" s="16">
        <v>0.0</v>
      </c>
      <c r="K1108" s="4">
        <v>0.0</v>
      </c>
      <c r="M1108" s="4" t="s">
        <v>32</v>
      </c>
    </row>
    <row r="1109" ht="18.0" customHeight="1">
      <c r="A1109" s="4" t="s">
        <v>60</v>
      </c>
      <c r="B1109" s="4">
        <v>55.0</v>
      </c>
      <c r="C1109" s="4" t="s">
        <v>147</v>
      </c>
      <c r="D1109" s="4" t="s">
        <v>264</v>
      </c>
      <c r="E1109" s="16">
        <v>1.2727522698696703E-4</v>
      </c>
      <c r="F1109" s="16">
        <v>0.9999887231390403</v>
      </c>
      <c r="G1109" s="16"/>
      <c r="H1109" s="16">
        <v>1.0</v>
      </c>
      <c r="I1109" s="16">
        <v>0.625</v>
      </c>
      <c r="J1109" s="16">
        <v>0.06542056074766354</v>
      </c>
      <c r="K1109" s="4">
        <v>0.0</v>
      </c>
      <c r="M1109" s="4" t="s">
        <v>32</v>
      </c>
    </row>
    <row r="1110" ht="18.0" customHeight="1">
      <c r="A1110" s="4" t="s">
        <v>60</v>
      </c>
      <c r="B1110" s="4">
        <v>56.0</v>
      </c>
      <c r="C1110" s="4" t="s">
        <v>630</v>
      </c>
      <c r="D1110" s="4" t="s">
        <v>890</v>
      </c>
      <c r="E1110" s="16">
        <v>4.4774053094442934E-5</v>
      </c>
      <c r="F1110" s="16">
        <v>0.9999959468357247</v>
      </c>
      <c r="G1110" s="16"/>
      <c r="H1110" s="16">
        <v>1.0</v>
      </c>
      <c r="I1110" s="16">
        <v>0.7291666666666666</v>
      </c>
      <c r="J1110" s="16">
        <v>0.0</v>
      </c>
      <c r="K1110" s="4">
        <v>0.0</v>
      </c>
      <c r="M1110" s="4" t="s">
        <v>32</v>
      </c>
    </row>
    <row r="1111" ht="18.0" customHeight="1">
      <c r="A1111" s="4" t="s">
        <v>60</v>
      </c>
      <c r="B1111" s="4">
        <v>57.0</v>
      </c>
      <c r="C1111" s="4" t="s">
        <v>159</v>
      </c>
      <c r="D1111" s="4" t="s">
        <v>264</v>
      </c>
      <c r="E1111" s="16">
        <v>9.952771506505087E-5</v>
      </c>
      <c r="F1111" s="16">
        <v>0.9999875822459217</v>
      </c>
      <c r="G1111" s="16"/>
      <c r="H1111" s="16">
        <v>1.0</v>
      </c>
      <c r="I1111" s="16">
        <v>0.5833333333333334</v>
      </c>
      <c r="J1111" s="16">
        <v>0.06542056074766354</v>
      </c>
      <c r="K1111" s="4">
        <v>0.0</v>
      </c>
      <c r="M1111" s="4" t="s">
        <v>32</v>
      </c>
    </row>
    <row r="1112" ht="18.0" customHeight="1">
      <c r="A1112" s="4" t="s">
        <v>60</v>
      </c>
      <c r="B1112" s="4">
        <v>58.0</v>
      </c>
      <c r="C1112" s="4" t="s">
        <v>270</v>
      </c>
      <c r="D1112" s="4" t="s">
        <v>160</v>
      </c>
      <c r="E1112" s="16">
        <v>1.3601737919088919E-5</v>
      </c>
      <c r="F1112" s="16">
        <v>0.9999986677458992</v>
      </c>
      <c r="G1112" s="16"/>
      <c r="H1112" s="16">
        <v>0.0</v>
      </c>
      <c r="I1112" s="16">
        <v>0.08333333333333333</v>
      </c>
      <c r="J1112" s="16">
        <v>0.33333333333333337</v>
      </c>
      <c r="K1112" s="4">
        <v>0.0</v>
      </c>
      <c r="M1112" s="4" t="s">
        <v>32</v>
      </c>
    </row>
    <row r="1113" ht="18.0" customHeight="1">
      <c r="A1113" s="4" t="s">
        <v>60</v>
      </c>
      <c r="B1113" s="4">
        <v>59.0</v>
      </c>
      <c r="C1113" s="4" t="s">
        <v>118</v>
      </c>
      <c r="D1113" s="4" t="s">
        <v>169</v>
      </c>
      <c r="E1113" s="16">
        <v>4.169491148786619E-5</v>
      </c>
      <c r="F1113" s="16">
        <v>0.9999965901223504</v>
      </c>
      <c r="G1113" s="16"/>
      <c r="H1113" s="16">
        <v>1.0</v>
      </c>
      <c r="I1113" s="16">
        <v>0.6666666666666666</v>
      </c>
      <c r="J1113" s="16">
        <v>0.0</v>
      </c>
      <c r="K1113" s="4">
        <v>0.0</v>
      </c>
      <c r="M1113" s="4" t="s">
        <v>32</v>
      </c>
    </row>
    <row r="1114" ht="18.0" customHeight="1">
      <c r="A1114" s="4" t="s">
        <v>60</v>
      </c>
      <c r="B1114" s="4">
        <v>60.0</v>
      </c>
      <c r="C1114" s="4" t="s">
        <v>710</v>
      </c>
      <c r="D1114" s="4" t="s">
        <v>1173</v>
      </c>
      <c r="E1114" s="16">
        <v>1.0574320913292468E-4</v>
      </c>
      <c r="F1114" s="16">
        <v>0.9999870324618314</v>
      </c>
      <c r="G1114" s="16"/>
      <c r="H1114" s="16">
        <v>0.0</v>
      </c>
      <c r="I1114" s="16">
        <v>0.016666666666666666</v>
      </c>
      <c r="J1114" s="16">
        <v>0.0</v>
      </c>
      <c r="K1114" s="4">
        <v>0.0</v>
      </c>
      <c r="M1114" s="4" t="s">
        <v>32</v>
      </c>
    </row>
    <row r="1115" ht="18.0" customHeight="1">
      <c r="A1115" s="4" t="s">
        <v>60</v>
      </c>
      <c r="B1115" s="4">
        <v>61.0</v>
      </c>
      <c r="C1115" s="4" t="s">
        <v>254</v>
      </c>
      <c r="D1115" s="4" t="s">
        <v>729</v>
      </c>
      <c r="E1115" s="16">
        <v>6.6597611294128E-5</v>
      </c>
      <c r="F1115" s="16">
        <v>0.9999948875488371</v>
      </c>
      <c r="G1115" s="16"/>
      <c r="H1115" s="16">
        <v>0.0</v>
      </c>
      <c r="I1115" s="16">
        <v>0.041666666666666664</v>
      </c>
      <c r="J1115" s="16">
        <v>0.0</v>
      </c>
      <c r="K1115" s="4">
        <v>0.0</v>
      </c>
      <c r="M1115" s="4" t="s">
        <v>32</v>
      </c>
    </row>
    <row r="1116" ht="18.0" customHeight="1">
      <c r="A1116" s="4" t="s">
        <v>60</v>
      </c>
      <c r="B1116" s="4">
        <v>62.0</v>
      </c>
      <c r="C1116" s="4" t="s">
        <v>1174</v>
      </c>
      <c r="D1116" s="4" t="s">
        <v>1175</v>
      </c>
      <c r="E1116" s="16">
        <v>2.251106343464926E-4</v>
      </c>
      <c r="F1116" s="16">
        <v>0.9999730615700173</v>
      </c>
      <c r="G1116" s="16"/>
      <c r="H1116" s="16">
        <v>1.0</v>
      </c>
      <c r="I1116" s="16">
        <v>0.5833333333333334</v>
      </c>
      <c r="J1116" s="16">
        <v>0.14021164021164018</v>
      </c>
      <c r="K1116" s="4">
        <v>0.0</v>
      </c>
      <c r="M1116" s="4" t="s">
        <v>32</v>
      </c>
    </row>
    <row r="1117" ht="18.0" customHeight="1">
      <c r="A1117" s="4" t="s">
        <v>60</v>
      </c>
      <c r="B1117" s="4">
        <v>63.0</v>
      </c>
      <c r="C1117" s="4" t="s">
        <v>453</v>
      </c>
      <c r="D1117" s="4" t="s">
        <v>264</v>
      </c>
      <c r="E1117" s="16">
        <v>1.9667309243232012E-4</v>
      </c>
      <c r="F1117" s="16">
        <v>0.9999800378186592</v>
      </c>
      <c r="G1117" s="16"/>
      <c r="H1117" s="16">
        <v>1.0</v>
      </c>
      <c r="I1117" s="16">
        <v>0.5333333333333333</v>
      </c>
      <c r="J1117" s="16">
        <v>0.14021164021164018</v>
      </c>
      <c r="K1117" s="4">
        <v>0.0</v>
      </c>
      <c r="M1117" s="4" t="s">
        <v>32</v>
      </c>
    </row>
    <row r="1118" ht="18.0" customHeight="1">
      <c r="A1118" s="4" t="s">
        <v>60</v>
      </c>
      <c r="B1118" s="4">
        <v>64.0</v>
      </c>
      <c r="C1118" s="4" t="s">
        <v>147</v>
      </c>
      <c r="D1118" s="4" t="s">
        <v>159</v>
      </c>
      <c r="E1118" s="16">
        <v>1.6136385966092348E-5</v>
      </c>
      <c r="F1118" s="16">
        <v>0.9999986830580383</v>
      </c>
      <c r="G1118" s="16"/>
      <c r="H1118" s="16">
        <v>1.0</v>
      </c>
      <c r="I1118" s="16">
        <v>0.6458333333333334</v>
      </c>
      <c r="J1118" s="16">
        <v>0.13999999999999999</v>
      </c>
      <c r="K1118" s="4">
        <v>0.0</v>
      </c>
      <c r="M1118" s="4" t="s">
        <v>32</v>
      </c>
    </row>
    <row r="1119" ht="18.0" customHeight="1">
      <c r="A1119" s="4" t="s">
        <v>60</v>
      </c>
      <c r="B1119" s="4">
        <v>65.0</v>
      </c>
      <c r="C1119" s="4" t="s">
        <v>172</v>
      </c>
      <c r="D1119" s="4" t="s">
        <v>599</v>
      </c>
      <c r="E1119" s="16">
        <v>5.2288953156676143E-5</v>
      </c>
      <c r="F1119" s="16">
        <v>0.9999950467599774</v>
      </c>
      <c r="G1119" s="16"/>
      <c r="H1119" s="16">
        <v>1.0</v>
      </c>
      <c r="I1119" s="16">
        <v>0.5833333333333334</v>
      </c>
      <c r="J1119" s="16">
        <v>0.2857142857142857</v>
      </c>
      <c r="K1119" s="4">
        <v>0.0</v>
      </c>
      <c r="M1119" s="4" t="s">
        <v>32</v>
      </c>
    </row>
    <row r="1120" ht="18.0" customHeight="1">
      <c r="A1120" s="4" t="s">
        <v>60</v>
      </c>
      <c r="B1120" s="4">
        <v>66.0</v>
      </c>
      <c r="C1120" s="4" t="s">
        <v>599</v>
      </c>
      <c r="D1120" s="4" t="s">
        <v>122</v>
      </c>
      <c r="E1120" s="16">
        <v>2.1750616724602878E-4</v>
      </c>
      <c r="F1120" s="16">
        <v>0.9999692263218094</v>
      </c>
      <c r="G1120" s="16"/>
      <c r="H1120" s="16">
        <v>1.0</v>
      </c>
      <c r="I1120" s="16">
        <v>0.5375</v>
      </c>
      <c r="J1120" s="16">
        <v>0.13956639566395662</v>
      </c>
      <c r="K1120" s="4">
        <v>0.0</v>
      </c>
      <c r="M1120" s="4" t="s">
        <v>32</v>
      </c>
    </row>
    <row r="1121" ht="18.0" customHeight="1">
      <c r="A1121" s="4" t="s">
        <v>60</v>
      </c>
      <c r="B1121" s="4">
        <v>67.0</v>
      </c>
      <c r="C1121" s="4" t="s">
        <v>872</v>
      </c>
      <c r="D1121" s="4" t="s">
        <v>604</v>
      </c>
      <c r="E1121" s="16">
        <v>4.347213689470664E-5</v>
      </c>
      <c r="F1121" s="16">
        <v>0.9999960544622581</v>
      </c>
      <c r="G1121" s="16"/>
      <c r="H1121" s="16">
        <v>1.0</v>
      </c>
      <c r="I1121" s="16">
        <v>0.5</v>
      </c>
      <c r="J1121" s="16">
        <v>0.16666666666666669</v>
      </c>
      <c r="K1121" s="4">
        <v>0.0</v>
      </c>
      <c r="M1121" s="4" t="s">
        <v>32</v>
      </c>
    </row>
    <row r="1122" ht="18.0" customHeight="1">
      <c r="A1122" s="4" t="s">
        <v>60</v>
      </c>
      <c r="B1122" s="4">
        <v>68.0</v>
      </c>
      <c r="C1122" s="4" t="s">
        <v>1173</v>
      </c>
      <c r="D1122" s="4" t="s">
        <v>710</v>
      </c>
      <c r="E1122" s="16">
        <v>9.317225703853182E-6</v>
      </c>
      <c r="F1122" s="16">
        <v>0.9999990135899566</v>
      </c>
      <c r="G1122" s="16"/>
      <c r="H1122" s="16">
        <v>0.0</v>
      </c>
      <c r="I1122" s="16">
        <v>0.016666666666666666</v>
      </c>
      <c r="J1122" s="16">
        <v>0.0</v>
      </c>
      <c r="K1122" s="4">
        <v>0.0</v>
      </c>
      <c r="M1122" s="4" t="s">
        <v>32</v>
      </c>
    </row>
    <row r="1123" ht="18.0" customHeight="1">
      <c r="A1123" s="4" t="s">
        <v>60</v>
      </c>
      <c r="B1123" s="4">
        <v>69.0</v>
      </c>
      <c r="C1123" s="4" t="s">
        <v>254</v>
      </c>
      <c r="D1123" s="4" t="s">
        <v>729</v>
      </c>
      <c r="E1123" s="16">
        <v>6.298196967691183E-5</v>
      </c>
      <c r="F1123" s="16">
        <v>0.9999952418961584</v>
      </c>
      <c r="G1123" s="16"/>
      <c r="H1123" s="16">
        <v>0.0</v>
      </c>
      <c r="I1123" s="16">
        <v>0.041666666666666664</v>
      </c>
      <c r="J1123" s="16">
        <v>0.0</v>
      </c>
      <c r="K1123" s="4">
        <v>1.0</v>
      </c>
      <c r="L1123" s="4">
        <v>0.0</v>
      </c>
      <c r="M1123" s="4" t="s">
        <v>239</v>
      </c>
    </row>
    <row r="1124" ht="18.0" customHeight="1">
      <c r="A1124" s="4" t="s">
        <v>60</v>
      </c>
      <c r="B1124" s="4">
        <v>70.0</v>
      </c>
      <c r="C1124" s="4" t="s">
        <v>169</v>
      </c>
      <c r="D1124" s="4" t="s">
        <v>1176</v>
      </c>
      <c r="E1124" s="16">
        <v>2.6929716113954782E-5</v>
      </c>
      <c r="F1124" s="16">
        <v>0.9999974547465627</v>
      </c>
      <c r="G1124" s="16"/>
      <c r="H1124" s="16">
        <v>0.9090909090909091</v>
      </c>
      <c r="I1124" s="16">
        <v>0.45416666666666666</v>
      </c>
      <c r="J1124" s="16">
        <v>0.09629629629629631</v>
      </c>
      <c r="K1124" s="4">
        <v>0.0</v>
      </c>
      <c r="M1124" s="4" t="s">
        <v>32</v>
      </c>
    </row>
    <row r="1125" ht="18.0" customHeight="1">
      <c r="A1125" s="4" t="s">
        <v>60</v>
      </c>
      <c r="B1125" s="4">
        <v>71.0</v>
      </c>
      <c r="C1125" s="4" t="s">
        <v>630</v>
      </c>
      <c r="D1125" s="4" t="s">
        <v>959</v>
      </c>
      <c r="E1125" s="16">
        <v>4.324584733694792E-5</v>
      </c>
      <c r="F1125" s="16">
        <v>0.9999945968932025</v>
      </c>
      <c r="G1125" s="16"/>
      <c r="H1125" s="16">
        <v>0.9090909090909091</v>
      </c>
      <c r="I1125" s="16">
        <v>0.4291666666666667</v>
      </c>
      <c r="J1125" s="16">
        <v>0.1609756097560976</v>
      </c>
      <c r="K1125" s="4">
        <v>0.0</v>
      </c>
      <c r="M1125" s="4" t="s">
        <v>32</v>
      </c>
    </row>
    <row r="1126" ht="18.0" customHeight="1">
      <c r="A1126" s="4" t="s">
        <v>60</v>
      </c>
      <c r="B1126" s="4">
        <v>72.0</v>
      </c>
      <c r="C1126" s="4" t="s">
        <v>159</v>
      </c>
      <c r="D1126" s="4" t="s">
        <v>264</v>
      </c>
      <c r="E1126" s="16">
        <v>7.04073318047449E-6</v>
      </c>
      <c r="F1126" s="16">
        <v>0.9999994597094997</v>
      </c>
      <c r="G1126" s="16"/>
      <c r="H1126" s="16">
        <v>0.0</v>
      </c>
      <c r="I1126" s="16">
        <v>0.0</v>
      </c>
      <c r="J1126" s="16">
        <v>0.0</v>
      </c>
      <c r="K1126" s="4">
        <v>1.0</v>
      </c>
      <c r="L1126" s="4">
        <v>0.0</v>
      </c>
      <c r="M1126" s="4" t="s">
        <v>239</v>
      </c>
    </row>
    <row r="1127" ht="18.0" customHeight="1">
      <c r="A1127" s="4" t="s">
        <v>60</v>
      </c>
      <c r="B1127" s="4">
        <v>73.0</v>
      </c>
      <c r="C1127" s="4" t="s">
        <v>160</v>
      </c>
      <c r="D1127" s="4" t="s">
        <v>181</v>
      </c>
      <c r="E1127" s="16">
        <v>1.7259707965422422E-4</v>
      </c>
      <c r="F1127" s="16">
        <v>0.9999736839945399</v>
      </c>
      <c r="G1127" s="16"/>
      <c r="H1127" s="16">
        <v>0.0</v>
      </c>
      <c r="I1127" s="16">
        <v>0.08333333333333333</v>
      </c>
      <c r="J1127" s="16">
        <v>0.4</v>
      </c>
      <c r="K1127" s="4">
        <v>0.0</v>
      </c>
      <c r="M1127" s="4" t="s">
        <v>32</v>
      </c>
    </row>
    <row r="1128" ht="18.0" customHeight="1">
      <c r="A1128" s="4" t="s">
        <v>60</v>
      </c>
      <c r="B1128" s="4">
        <v>74.0</v>
      </c>
      <c r="C1128" s="4" t="s">
        <v>169</v>
      </c>
      <c r="D1128" s="4" t="s">
        <v>1177</v>
      </c>
      <c r="E1128" s="16">
        <v>6.669452704954892E-5</v>
      </c>
      <c r="F1128" s="16">
        <v>0.999990736448126</v>
      </c>
      <c r="G1128" s="16"/>
      <c r="H1128" s="16">
        <v>1.0</v>
      </c>
      <c r="I1128" s="16">
        <v>0.4708333333333334</v>
      </c>
      <c r="J1128" s="16">
        <v>0.0</v>
      </c>
      <c r="K1128" s="4">
        <v>0.0</v>
      </c>
      <c r="M1128" s="4" t="s">
        <v>32</v>
      </c>
    </row>
    <row r="1129" ht="18.0" customHeight="1">
      <c r="A1129" s="4" t="s">
        <v>60</v>
      </c>
      <c r="B1129" s="4">
        <v>75.0</v>
      </c>
      <c r="C1129" s="4" t="s">
        <v>959</v>
      </c>
      <c r="D1129" s="4" t="s">
        <v>1178</v>
      </c>
      <c r="E1129" s="16">
        <v>6.402695726137608E-5</v>
      </c>
      <c r="F1129" s="16">
        <v>0.999993226061406</v>
      </c>
      <c r="G1129" s="16"/>
      <c r="H1129" s="16">
        <v>1.0</v>
      </c>
      <c r="I1129" s="16">
        <v>0.3666666666666667</v>
      </c>
      <c r="J1129" s="16">
        <v>0.0</v>
      </c>
      <c r="K1129" s="4">
        <v>0.0</v>
      </c>
      <c r="M1129" s="4" t="s">
        <v>32</v>
      </c>
    </row>
    <row r="1130" ht="18.0" customHeight="1">
      <c r="A1130" s="4" t="s">
        <v>60</v>
      </c>
      <c r="B1130" s="4">
        <v>76.0</v>
      </c>
      <c r="C1130" s="4" t="s">
        <v>159</v>
      </c>
      <c r="D1130" s="4" t="s">
        <v>264</v>
      </c>
      <c r="E1130" s="16">
        <v>6.116278382251039E-5</v>
      </c>
      <c r="F1130" s="16">
        <v>0.9999938388084502</v>
      </c>
      <c r="G1130" s="16"/>
      <c r="H1130" s="16">
        <v>0.18181818181818182</v>
      </c>
      <c r="I1130" s="16">
        <v>0.08333333333333333</v>
      </c>
      <c r="J1130" s="16">
        <v>0.23232323232323232</v>
      </c>
      <c r="K1130" s="4">
        <v>0.0</v>
      </c>
      <c r="M1130" s="4" t="s">
        <v>32</v>
      </c>
    </row>
    <row r="1131" ht="18.0" customHeight="1">
      <c r="A1131" s="4" t="s">
        <v>60</v>
      </c>
      <c r="B1131" s="4">
        <v>77.0</v>
      </c>
      <c r="C1131" s="4" t="s">
        <v>270</v>
      </c>
      <c r="D1131" s="4" t="s">
        <v>160</v>
      </c>
      <c r="E1131" s="16">
        <v>7.4680983743746765E-6</v>
      </c>
      <c r="F1131" s="16">
        <v>0.9999994494419582</v>
      </c>
      <c r="G1131" s="16"/>
      <c r="H1131" s="16">
        <v>0.2727272727272727</v>
      </c>
      <c r="I1131" s="16">
        <v>0.18333333333333335</v>
      </c>
      <c r="J1131" s="16">
        <v>0.5</v>
      </c>
      <c r="K1131" s="4">
        <v>0.0</v>
      </c>
      <c r="M1131" s="4" t="s">
        <v>32</v>
      </c>
    </row>
    <row r="1132" ht="18.0" customHeight="1">
      <c r="A1132" s="4" t="s">
        <v>60</v>
      </c>
      <c r="B1132" s="4">
        <v>78.0</v>
      </c>
      <c r="C1132" s="4" t="s">
        <v>1179</v>
      </c>
      <c r="D1132" s="4" t="s">
        <v>1180</v>
      </c>
      <c r="E1132" s="16">
        <v>8.706095395609736E-4</v>
      </c>
      <c r="F1132" s="16">
        <v>0.9998708692473883</v>
      </c>
      <c r="G1132" s="16"/>
      <c r="H1132" s="16">
        <v>0.8181818181818182</v>
      </c>
      <c r="I1132" s="16">
        <v>0.3333333333333333</v>
      </c>
      <c r="J1132" s="16">
        <v>0.0</v>
      </c>
      <c r="K1132" s="4">
        <v>0.0</v>
      </c>
      <c r="M1132" s="4" t="s">
        <v>32</v>
      </c>
    </row>
    <row r="1133" ht="18.0" customHeight="1">
      <c r="A1133" s="4" t="s">
        <v>60</v>
      </c>
      <c r="B1133" s="4">
        <v>79.0</v>
      </c>
      <c r="C1133" s="4" t="s">
        <v>232</v>
      </c>
      <c r="D1133" s="4" t="s">
        <v>289</v>
      </c>
      <c r="E1133" s="16">
        <v>0.0029656216502189636</v>
      </c>
      <c r="F1133" s="16">
        <v>0.9993626216601115</v>
      </c>
      <c r="G1133" s="16"/>
      <c r="H1133" s="16">
        <v>1.0</v>
      </c>
      <c r="I1133" s="16">
        <v>0.3958333333333333</v>
      </c>
      <c r="J1133" s="16">
        <v>0.0</v>
      </c>
      <c r="K1133" s="4">
        <v>0.0</v>
      </c>
      <c r="M1133" s="4" t="s">
        <v>32</v>
      </c>
    </row>
    <row r="1134" ht="18.0" customHeight="1">
      <c r="A1134" s="4" t="s">
        <v>60</v>
      </c>
      <c r="B1134" s="4">
        <v>80.0</v>
      </c>
      <c r="C1134" s="4" t="s">
        <v>625</v>
      </c>
      <c r="D1134" s="4" t="s">
        <v>692</v>
      </c>
      <c r="E1134" s="16">
        <v>2.7094263350591063E-4</v>
      </c>
      <c r="F1134" s="16">
        <v>0.9999603782980557</v>
      </c>
      <c r="G1134" s="16"/>
      <c r="H1134" s="16">
        <v>0.9090909090909091</v>
      </c>
      <c r="I1134" s="16">
        <v>0.6666666666666666</v>
      </c>
      <c r="J1134" s="16">
        <v>1.0</v>
      </c>
      <c r="K1134" s="4">
        <v>0.0</v>
      </c>
      <c r="M1134" s="4" t="s">
        <v>32</v>
      </c>
    </row>
    <row r="1135" ht="18.0" customHeight="1">
      <c r="A1135" s="4" t="s">
        <v>60</v>
      </c>
      <c r="B1135" s="4">
        <v>81.0</v>
      </c>
      <c r="C1135" s="4" t="s">
        <v>703</v>
      </c>
      <c r="D1135" s="4" t="s">
        <v>413</v>
      </c>
      <c r="E1135" s="16">
        <v>1.1727849245071411</v>
      </c>
      <c r="F1135" s="16">
        <v>0.06364214420318604</v>
      </c>
      <c r="G1135" s="16"/>
      <c r="H1135" s="16">
        <v>1.0</v>
      </c>
      <c r="I1135" s="16">
        <v>0.38333333333333336</v>
      </c>
      <c r="J1135" s="16">
        <v>0.0</v>
      </c>
      <c r="K1135" s="4">
        <v>1.0</v>
      </c>
      <c r="L1135" s="4">
        <v>0.0</v>
      </c>
      <c r="M1135" s="4" t="s">
        <v>239</v>
      </c>
    </row>
    <row r="1136" ht="18.0" customHeight="1">
      <c r="A1136" s="4" t="s">
        <v>60</v>
      </c>
      <c r="B1136" s="4">
        <v>82.0</v>
      </c>
      <c r="C1136" s="4" t="s">
        <v>1181</v>
      </c>
      <c r="D1136" s="4" t="s">
        <v>700</v>
      </c>
      <c r="E1136" s="16">
        <v>0.004884802270680666</v>
      </c>
      <c r="F1136" s="16">
        <v>0.9991679552476853</v>
      </c>
      <c r="G1136" s="16"/>
      <c r="H1136" s="16">
        <v>1.0</v>
      </c>
      <c r="I1136" s="16">
        <v>0.3875000000000001</v>
      </c>
      <c r="J1136" s="16">
        <v>0.0</v>
      </c>
      <c r="K1136" s="4">
        <v>0.0</v>
      </c>
      <c r="M1136" s="4" t="s">
        <v>32</v>
      </c>
    </row>
    <row r="1137" ht="18.0" customHeight="1">
      <c r="A1137" s="4" t="s">
        <v>60</v>
      </c>
      <c r="B1137" s="4">
        <v>83.0</v>
      </c>
      <c r="C1137" s="4" t="s">
        <v>172</v>
      </c>
      <c r="D1137" s="4" t="s">
        <v>700</v>
      </c>
      <c r="E1137" s="16">
        <v>0.0062242974527180195</v>
      </c>
      <c r="F1137" s="16">
        <v>0.9988408496719785</v>
      </c>
      <c r="G1137" s="16"/>
      <c r="H1137" s="16">
        <v>1.0</v>
      </c>
      <c r="I1137" s="16">
        <v>0.3916666666666668</v>
      </c>
      <c r="J1137" s="16">
        <v>0.2173913043478261</v>
      </c>
      <c r="K1137" s="4">
        <v>1.0</v>
      </c>
      <c r="L1137" s="4">
        <v>0.0</v>
      </c>
      <c r="M1137" s="4" t="s">
        <v>239</v>
      </c>
    </row>
    <row r="1138" ht="18.0" customHeight="1">
      <c r="A1138" s="4" t="s">
        <v>60</v>
      </c>
      <c r="B1138" s="4">
        <v>84.0</v>
      </c>
      <c r="C1138" s="4" t="s">
        <v>1164</v>
      </c>
      <c r="D1138" s="4" t="s">
        <v>413</v>
      </c>
      <c r="E1138" s="16">
        <v>0.04316180571913719</v>
      </c>
      <c r="F1138" s="16">
        <v>0.9878994938917458</v>
      </c>
      <c r="G1138" s="16"/>
      <c r="H1138" s="16">
        <v>0.9090909090909091</v>
      </c>
      <c r="I1138" s="16">
        <v>0.35000000000000003</v>
      </c>
      <c r="J1138" s="16">
        <v>0.5</v>
      </c>
      <c r="K1138" s="4">
        <v>0.0</v>
      </c>
      <c r="M1138" s="4" t="s">
        <v>32</v>
      </c>
    </row>
    <row r="1139" ht="18.0" customHeight="1">
      <c r="A1139" s="4" t="s">
        <v>60</v>
      </c>
      <c r="B1139" s="4">
        <v>85.0</v>
      </c>
      <c r="C1139" s="4" t="s">
        <v>711</v>
      </c>
      <c r="D1139" s="4" t="s">
        <v>692</v>
      </c>
      <c r="E1139" s="16">
        <v>3.4508685348555446E-4</v>
      </c>
      <c r="F1139" s="16">
        <v>0.9999740167609161</v>
      </c>
      <c r="G1139" s="16"/>
      <c r="H1139" s="16">
        <v>1.0</v>
      </c>
      <c r="I1139" s="16">
        <v>0.24583333333333332</v>
      </c>
      <c r="J1139" s="16">
        <v>0.0</v>
      </c>
      <c r="K1139" s="4">
        <v>0.0</v>
      </c>
      <c r="M1139" s="4" t="s">
        <v>32</v>
      </c>
    </row>
    <row r="1140" ht="18.0" customHeight="1">
      <c r="A1140" s="4" t="s">
        <v>60</v>
      </c>
      <c r="B1140" s="4">
        <v>86.0</v>
      </c>
      <c r="C1140" s="4" t="s">
        <v>115</v>
      </c>
      <c r="D1140" s="4" t="s">
        <v>700</v>
      </c>
      <c r="E1140" s="16">
        <v>1.3113048076629639</v>
      </c>
      <c r="F1140" s="16">
        <v>0.09408211708068848</v>
      </c>
      <c r="G1140" s="16"/>
      <c r="H1140" s="16">
        <v>1.0</v>
      </c>
      <c r="I1140" s="16">
        <v>0.25</v>
      </c>
      <c r="J1140" s="16">
        <v>0.28723404255319146</v>
      </c>
      <c r="K1140" s="4">
        <v>1.0</v>
      </c>
      <c r="L1140" s="4">
        <v>0.0</v>
      </c>
      <c r="M1140" s="4" t="s">
        <v>239</v>
      </c>
    </row>
    <row r="1141" ht="18.0" customHeight="1">
      <c r="A1141" s="4" t="s">
        <v>60</v>
      </c>
      <c r="B1141" s="4">
        <v>87.0</v>
      </c>
      <c r="C1141" s="4" t="s">
        <v>1182</v>
      </c>
      <c r="D1141" s="4" t="s">
        <v>1183</v>
      </c>
      <c r="E1141" s="16">
        <v>0.034276530146598816</v>
      </c>
      <c r="F1141" s="16">
        <v>0.9956540717394091</v>
      </c>
      <c r="G1141" s="16"/>
      <c r="H1141" s="16">
        <v>1.0</v>
      </c>
      <c r="I1141" s="16">
        <v>0.4416666666666667</v>
      </c>
      <c r="J1141" s="16">
        <v>1.0</v>
      </c>
      <c r="K1141" s="4">
        <v>0.0</v>
      </c>
      <c r="M1141" s="4" t="s">
        <v>32</v>
      </c>
    </row>
    <row r="1142" ht="18.0" customHeight="1">
      <c r="A1142" s="4" t="s">
        <v>60</v>
      </c>
      <c r="B1142" s="4">
        <v>88.0</v>
      </c>
      <c r="C1142" s="4" t="s">
        <v>711</v>
      </c>
      <c r="D1142" s="4" t="s">
        <v>1184</v>
      </c>
      <c r="E1142" s="16">
        <v>1.7694762209430337E-4</v>
      </c>
      <c r="F1142" s="16">
        <v>0.9999875064445405</v>
      </c>
      <c r="G1142" s="16"/>
      <c r="H1142" s="16">
        <v>1.0</v>
      </c>
      <c r="I1142" s="16">
        <v>0.2916666666666667</v>
      </c>
      <c r="J1142" s="16">
        <v>0.28260869565217395</v>
      </c>
      <c r="K1142" s="4">
        <v>0.0</v>
      </c>
      <c r="M1142" s="4" t="s">
        <v>32</v>
      </c>
    </row>
    <row r="1143" ht="18.0" customHeight="1">
      <c r="A1143" s="4" t="s">
        <v>60</v>
      </c>
      <c r="B1143" s="4">
        <v>89.0</v>
      </c>
      <c r="C1143" s="4" t="s">
        <v>1185</v>
      </c>
      <c r="D1143" s="4" t="s">
        <v>83</v>
      </c>
      <c r="E1143" s="16">
        <v>1.2423204316291958E-4</v>
      </c>
      <c r="F1143" s="16">
        <v>0.9999888004263084</v>
      </c>
      <c r="G1143" s="16"/>
      <c r="H1143" s="16">
        <v>1.0</v>
      </c>
      <c r="I1143" s="16">
        <v>0.5375</v>
      </c>
      <c r="J1143" s="16">
        <v>0.6666666666666667</v>
      </c>
      <c r="K1143" s="4">
        <v>0.0</v>
      </c>
      <c r="M1143" s="4" t="s">
        <v>32</v>
      </c>
    </row>
    <row r="1144" ht="18.0" customHeight="1">
      <c r="A1144" s="4" t="s">
        <v>60</v>
      </c>
      <c r="B1144" s="4">
        <v>90.0</v>
      </c>
      <c r="C1144" s="4" t="s">
        <v>1186</v>
      </c>
      <c r="D1144" s="4" t="s">
        <v>1187</v>
      </c>
      <c r="E1144" s="16">
        <v>1.2602776405401528E-4</v>
      </c>
      <c r="F1144" s="16">
        <v>0.9999871490740588</v>
      </c>
      <c r="G1144" s="16"/>
      <c r="H1144" s="16">
        <v>1.0</v>
      </c>
      <c r="I1144" s="16">
        <v>0.45</v>
      </c>
      <c r="J1144" s="16">
        <v>0.07692307692307693</v>
      </c>
      <c r="K1144" s="4">
        <v>0.0</v>
      </c>
      <c r="M1144" s="4" t="s">
        <v>32</v>
      </c>
    </row>
    <row r="1145" ht="18.0" customHeight="1">
      <c r="A1145" s="4" t="s">
        <v>60</v>
      </c>
      <c r="B1145" s="4">
        <v>91.0</v>
      </c>
      <c r="C1145" s="4" t="s">
        <v>1181</v>
      </c>
      <c r="D1145" s="4" t="s">
        <v>1188</v>
      </c>
      <c r="E1145" s="16">
        <v>0.0031820102594792843</v>
      </c>
      <c r="F1145" s="16">
        <v>0.9993181120662484</v>
      </c>
      <c r="G1145" s="16"/>
      <c r="H1145" s="16">
        <v>0.2727272727272727</v>
      </c>
      <c r="I1145" s="16">
        <v>0.14166666666666666</v>
      </c>
      <c r="J1145" s="16">
        <v>0.19999999999999996</v>
      </c>
      <c r="K1145" s="4">
        <v>0.0</v>
      </c>
      <c r="M1145" s="4" t="s">
        <v>32</v>
      </c>
    </row>
    <row r="1146" ht="18.0" customHeight="1">
      <c r="A1146" s="4" t="s">
        <v>60</v>
      </c>
      <c r="B1146" s="4">
        <v>92.0</v>
      </c>
      <c r="C1146" s="4" t="s">
        <v>1188</v>
      </c>
      <c r="D1146" s="4" t="s">
        <v>114</v>
      </c>
      <c r="E1146" s="16">
        <v>1.1700703180395067E-4</v>
      </c>
      <c r="F1146" s="16">
        <v>0.999989113263382</v>
      </c>
      <c r="G1146" s="16"/>
      <c r="H1146" s="16">
        <v>1.0</v>
      </c>
      <c r="I1146" s="16">
        <v>0.5791666666666667</v>
      </c>
      <c r="J1146" s="16">
        <v>0.19999999999999996</v>
      </c>
      <c r="K1146" s="4">
        <v>0.0</v>
      </c>
      <c r="M1146" s="4" t="s">
        <v>32</v>
      </c>
    </row>
    <row r="1147" ht="18.0" customHeight="1">
      <c r="A1147" s="4" t="s">
        <v>60</v>
      </c>
      <c r="B1147" s="4">
        <v>93.0</v>
      </c>
      <c r="C1147" s="4" t="s">
        <v>159</v>
      </c>
      <c r="D1147" s="4" t="s">
        <v>122</v>
      </c>
      <c r="E1147" s="16">
        <v>6.416459655156359E-5</v>
      </c>
      <c r="F1147" s="16">
        <v>0.9999943731913845</v>
      </c>
      <c r="G1147" s="16"/>
      <c r="H1147" s="16">
        <v>1.0</v>
      </c>
      <c r="I1147" s="16">
        <v>0.5833333333333334</v>
      </c>
      <c r="J1147" s="16">
        <v>0.019607843137254905</v>
      </c>
      <c r="K1147" s="4">
        <v>0.0</v>
      </c>
      <c r="M1147" s="4" t="s">
        <v>32</v>
      </c>
    </row>
    <row r="1148" ht="18.0" customHeight="1">
      <c r="A1148" s="4" t="s">
        <v>60</v>
      </c>
      <c r="B1148" s="4">
        <v>94.0</v>
      </c>
      <c r="C1148" s="4" t="s">
        <v>270</v>
      </c>
      <c r="D1148" s="4" t="s">
        <v>160</v>
      </c>
      <c r="E1148" s="16">
        <v>3.588675463106483E-5</v>
      </c>
      <c r="F1148" s="16">
        <v>0.9999955896716983</v>
      </c>
      <c r="G1148" s="16"/>
      <c r="H1148" s="16">
        <v>0.0</v>
      </c>
      <c r="I1148" s="16">
        <v>0.08333333333333333</v>
      </c>
      <c r="J1148" s="16">
        <v>0.0</v>
      </c>
      <c r="K1148" s="4">
        <v>0.0</v>
      </c>
      <c r="M1148" s="4" t="s">
        <v>32</v>
      </c>
    </row>
    <row r="1149" ht="18.0" customHeight="1">
      <c r="A1149" s="4" t="s">
        <v>60</v>
      </c>
      <c r="B1149" s="4">
        <v>95.0</v>
      </c>
      <c r="C1149" s="4" t="s">
        <v>114</v>
      </c>
      <c r="D1149" s="4" t="s">
        <v>115</v>
      </c>
      <c r="E1149" s="16">
        <v>0.04025890678167343</v>
      </c>
      <c r="F1149" s="16">
        <v>0.9904453770723194</v>
      </c>
      <c r="G1149" s="16"/>
      <c r="H1149" s="16">
        <v>1.0</v>
      </c>
      <c r="I1149" s="16">
        <v>0.5583333333333333</v>
      </c>
      <c r="J1149" s="16">
        <v>0.17073170731707318</v>
      </c>
      <c r="K1149" s="4">
        <v>0.0</v>
      </c>
      <c r="M1149" s="4" t="s">
        <v>32</v>
      </c>
    </row>
    <row r="1150" ht="18.0" customHeight="1">
      <c r="A1150" s="4" t="s">
        <v>60</v>
      </c>
      <c r="B1150" s="4">
        <v>96.0</v>
      </c>
      <c r="C1150" s="4" t="s">
        <v>232</v>
      </c>
      <c r="D1150" s="4" t="s">
        <v>289</v>
      </c>
      <c r="E1150" s="16">
        <v>3.7596860784105957E-4</v>
      </c>
      <c r="F1150" s="16">
        <v>0.9999389788517874</v>
      </c>
      <c r="G1150" s="16"/>
      <c r="H1150" s="16">
        <v>1.0</v>
      </c>
      <c r="I1150" s="16">
        <v>0.7291666666666666</v>
      </c>
      <c r="J1150" s="16">
        <v>0.0</v>
      </c>
      <c r="K1150" s="4">
        <v>0.0</v>
      </c>
      <c r="M1150" s="4" t="s">
        <v>32</v>
      </c>
    </row>
    <row r="1151" ht="18.0" customHeight="1">
      <c r="A1151" s="4" t="s">
        <v>60</v>
      </c>
      <c r="B1151" s="4">
        <v>97.0</v>
      </c>
      <c r="C1151" s="4" t="s">
        <v>692</v>
      </c>
      <c r="D1151" s="4" t="s">
        <v>1159</v>
      </c>
      <c r="E1151" s="16">
        <v>8.616428822278976E-4</v>
      </c>
      <c r="F1151" s="16">
        <v>0.9999124827882042</v>
      </c>
      <c r="G1151" s="16"/>
      <c r="H1151" s="16">
        <v>1.0</v>
      </c>
      <c r="I1151" s="16">
        <v>0.8083333333333332</v>
      </c>
      <c r="J1151" s="16">
        <v>0.0</v>
      </c>
      <c r="K1151" s="4">
        <v>0.0</v>
      </c>
      <c r="M1151" s="4" t="s">
        <v>32</v>
      </c>
    </row>
    <row r="1152" ht="18.0" customHeight="1">
      <c r="A1152" s="4" t="s">
        <v>60</v>
      </c>
      <c r="B1152" s="4">
        <v>98.0</v>
      </c>
      <c r="C1152" s="4" t="s">
        <v>180</v>
      </c>
      <c r="D1152" s="4" t="s">
        <v>969</v>
      </c>
      <c r="E1152" s="16">
        <v>2.5988652851083316E-5</v>
      </c>
      <c r="F1152" s="16">
        <v>0.9999980450252508</v>
      </c>
      <c r="G1152" s="16"/>
      <c r="H1152" s="16">
        <v>0.0</v>
      </c>
      <c r="I1152" s="16">
        <v>0.08333333333333333</v>
      </c>
      <c r="J1152" s="16">
        <v>0.0</v>
      </c>
      <c r="K1152" s="4">
        <v>0.0</v>
      </c>
      <c r="M1152" s="4" t="s">
        <v>32</v>
      </c>
    </row>
    <row r="1153" ht="18.0" customHeight="1">
      <c r="A1153" s="4" t="s">
        <v>60</v>
      </c>
      <c r="B1153" s="4">
        <v>99.0</v>
      </c>
      <c r="C1153" s="4" t="s">
        <v>1167</v>
      </c>
      <c r="D1153" s="4" t="s">
        <v>743</v>
      </c>
      <c r="E1153" s="16">
        <v>0.011873073875904083</v>
      </c>
      <c r="F1153" s="16">
        <v>0.9973500126507133</v>
      </c>
      <c r="G1153" s="16"/>
      <c r="H1153" s="16">
        <v>0.09090909090909091</v>
      </c>
      <c r="I1153" s="16">
        <v>0.08333333333333333</v>
      </c>
      <c r="J1153" s="16">
        <v>0.0</v>
      </c>
      <c r="K1153" s="4">
        <v>0.0</v>
      </c>
      <c r="M1153" s="4" t="s">
        <v>32</v>
      </c>
    </row>
    <row r="1154" ht="18.0" customHeight="1">
      <c r="A1154" s="4" t="s">
        <v>60</v>
      </c>
      <c r="B1154" s="4">
        <v>100.0</v>
      </c>
      <c r="C1154" s="4" t="s">
        <v>1189</v>
      </c>
      <c r="D1154" s="4" t="s">
        <v>1190</v>
      </c>
      <c r="E1154" s="16">
        <v>2.9330502002267167E-5</v>
      </c>
      <c r="F1154" s="16">
        <v>0.999997805020854</v>
      </c>
      <c r="G1154" s="16"/>
      <c r="H1154" s="16">
        <v>0.18181818181818182</v>
      </c>
      <c r="I1154" s="16">
        <v>0.075</v>
      </c>
      <c r="J1154" s="16">
        <v>0.0</v>
      </c>
      <c r="K1154" s="4">
        <v>0.0</v>
      </c>
      <c r="M1154" s="4" t="s">
        <v>32</v>
      </c>
    </row>
    <row r="1155" ht="18.0" customHeight="1">
      <c r="A1155" s="4" t="s">
        <v>60</v>
      </c>
      <c r="B1155" s="4">
        <v>101.0</v>
      </c>
      <c r="C1155" s="4" t="s">
        <v>218</v>
      </c>
      <c r="D1155" s="4" t="s">
        <v>217</v>
      </c>
      <c r="E1155" s="16">
        <v>0.015048142522573471</v>
      </c>
      <c r="F1155" s="16">
        <v>0.9966589510440826</v>
      </c>
      <c r="G1155" s="16"/>
      <c r="H1155" s="16">
        <v>0.36363636363636365</v>
      </c>
      <c r="I1155" s="16">
        <v>0.2916666666666667</v>
      </c>
      <c r="J1155" s="16">
        <v>0.3611111111111111</v>
      </c>
      <c r="K1155" s="4">
        <v>0.0</v>
      </c>
      <c r="M1155" s="4" t="s">
        <v>32</v>
      </c>
    </row>
    <row r="1156" ht="18.0" customHeight="1">
      <c r="A1156" s="4" t="s">
        <v>60</v>
      </c>
      <c r="B1156" s="4">
        <v>102.0</v>
      </c>
      <c r="C1156" s="4" t="s">
        <v>181</v>
      </c>
      <c r="D1156" s="4" t="s">
        <v>160</v>
      </c>
      <c r="E1156" s="16">
        <v>3.520500904414803E-4</v>
      </c>
      <c r="F1156" s="16">
        <v>0.9999398285381176</v>
      </c>
      <c r="G1156" s="16"/>
      <c r="H1156" s="16">
        <v>0.2727272727272727</v>
      </c>
      <c r="I1156" s="16">
        <v>0.25</v>
      </c>
      <c r="J1156" s="16">
        <v>0.4305555555555556</v>
      </c>
      <c r="K1156" s="4">
        <v>0.0</v>
      </c>
      <c r="M1156" s="4" t="s">
        <v>32</v>
      </c>
    </row>
    <row r="1157" ht="18.0" customHeight="1">
      <c r="A1157" s="4" t="s">
        <v>60</v>
      </c>
      <c r="B1157" s="4">
        <v>103.0</v>
      </c>
      <c r="C1157" s="4" t="s">
        <v>194</v>
      </c>
      <c r="D1157" s="4" t="s">
        <v>1026</v>
      </c>
      <c r="E1157" s="16">
        <v>0.04152491316199303</v>
      </c>
      <c r="F1157" s="16">
        <v>0.9861703747883439</v>
      </c>
      <c r="G1157" s="16"/>
      <c r="H1157" s="16">
        <v>0.0</v>
      </c>
      <c r="I1157" s="16">
        <v>0.041666666666666664</v>
      </c>
      <c r="J1157" s="16">
        <v>0.0</v>
      </c>
      <c r="K1157" s="4">
        <v>0.0</v>
      </c>
      <c r="M1157" s="4" t="s">
        <v>32</v>
      </c>
    </row>
    <row r="1158" ht="18.0" customHeight="1">
      <c r="A1158" s="4" t="s">
        <v>60</v>
      </c>
      <c r="B1158" s="4">
        <v>104.0</v>
      </c>
      <c r="C1158" s="4" t="s">
        <v>630</v>
      </c>
      <c r="D1158" s="4" t="s">
        <v>159</v>
      </c>
      <c r="E1158" s="16">
        <v>2.2096945031080395E-5</v>
      </c>
      <c r="F1158" s="16">
        <v>0.9999981171975492</v>
      </c>
      <c r="G1158" s="16"/>
      <c r="H1158" s="16">
        <v>1.0</v>
      </c>
      <c r="I1158" s="16">
        <v>0.6875</v>
      </c>
      <c r="J1158" s="16">
        <v>0.12301587301587306</v>
      </c>
      <c r="K1158" s="4">
        <v>0.0</v>
      </c>
      <c r="M1158" s="4" t="s">
        <v>32</v>
      </c>
    </row>
    <row r="1159" ht="18.0" customHeight="1">
      <c r="A1159" s="4" t="s">
        <v>60</v>
      </c>
      <c r="B1159" s="4">
        <v>105.0</v>
      </c>
      <c r="C1159" s="4" t="s">
        <v>711</v>
      </c>
      <c r="D1159" s="4" t="s">
        <v>159</v>
      </c>
      <c r="E1159" s="16">
        <v>4.380791506264359E-5</v>
      </c>
      <c r="F1159" s="16">
        <v>0.9999964797428902</v>
      </c>
      <c r="G1159" s="16"/>
      <c r="H1159" s="16">
        <v>1.0</v>
      </c>
      <c r="I1159" s="16">
        <v>0.6875</v>
      </c>
      <c r="J1159" s="16">
        <v>0.1428571428571429</v>
      </c>
      <c r="K1159" s="4">
        <v>0.0</v>
      </c>
      <c r="M1159" s="4" t="s">
        <v>32</v>
      </c>
    </row>
    <row r="1160" ht="18.0" customHeight="1">
      <c r="A1160" s="4" t="s">
        <v>60</v>
      </c>
      <c r="B1160" s="4">
        <v>106.0</v>
      </c>
      <c r="C1160" s="4" t="s">
        <v>689</v>
      </c>
      <c r="D1160" s="4" t="s">
        <v>217</v>
      </c>
      <c r="E1160" s="16">
        <v>0.009204812347888947</v>
      </c>
      <c r="F1160" s="16">
        <v>0.9977224611211568</v>
      </c>
      <c r="G1160" s="16"/>
      <c r="H1160" s="16">
        <v>1.0</v>
      </c>
      <c r="I1160" s="16">
        <v>0.7083333333333334</v>
      </c>
      <c r="J1160" s="16">
        <v>0.25</v>
      </c>
      <c r="K1160" s="4">
        <v>1.0</v>
      </c>
      <c r="L1160" s="4">
        <v>0.0</v>
      </c>
      <c r="M1160" s="4" t="s">
        <v>239</v>
      </c>
    </row>
    <row r="1161" ht="18.0" customHeight="1">
      <c r="A1161" s="4" t="s">
        <v>60</v>
      </c>
      <c r="B1161" s="4">
        <v>107.0</v>
      </c>
      <c r="C1161" s="4" t="s">
        <v>181</v>
      </c>
      <c r="D1161" s="4" t="s">
        <v>160</v>
      </c>
      <c r="E1161" s="16">
        <v>4.7515863116132095E-5</v>
      </c>
      <c r="F1161" s="16">
        <v>0.9999933215990495</v>
      </c>
      <c r="G1161" s="16"/>
      <c r="H1161" s="16">
        <v>0.0</v>
      </c>
      <c r="I1161" s="16">
        <v>0.08333333333333333</v>
      </c>
      <c r="J1161" s="16">
        <v>0.25</v>
      </c>
      <c r="K1161" s="4">
        <v>0.0</v>
      </c>
      <c r="M1161" s="4" t="s">
        <v>32</v>
      </c>
    </row>
    <row r="1162" ht="18.0" customHeight="1">
      <c r="A1162" s="4" t="s">
        <v>60</v>
      </c>
      <c r="B1162" s="4">
        <v>108.0</v>
      </c>
      <c r="C1162" s="4" t="s">
        <v>749</v>
      </c>
      <c r="D1162" s="4" t="s">
        <v>1191</v>
      </c>
      <c r="E1162" s="16">
        <v>0.0017252280376851559</v>
      </c>
      <c r="F1162" s="16">
        <v>0.9996601556340465</v>
      </c>
      <c r="G1162" s="16"/>
      <c r="H1162" s="16">
        <v>0.0</v>
      </c>
      <c r="I1162" s="16">
        <v>0.041666666666666664</v>
      </c>
      <c r="J1162" s="16">
        <v>0.0</v>
      </c>
      <c r="K1162" s="4">
        <v>0.0</v>
      </c>
      <c r="M1162" s="4" t="s">
        <v>32</v>
      </c>
    </row>
    <row r="1163" ht="18.0" customHeight="1">
      <c r="A1163" s="4" t="s">
        <v>60</v>
      </c>
      <c r="B1163" s="4">
        <v>109.0</v>
      </c>
      <c r="C1163" s="4" t="s">
        <v>94</v>
      </c>
      <c r="D1163" s="4" t="s">
        <v>453</v>
      </c>
      <c r="E1163" s="16">
        <v>6.546271615661681E-4</v>
      </c>
      <c r="F1163" s="16">
        <v>0.999889335485932</v>
      </c>
      <c r="G1163" s="16"/>
      <c r="H1163" s="16">
        <v>1.0</v>
      </c>
      <c r="I1163" s="16">
        <v>0.6375000000000001</v>
      </c>
      <c r="J1163" s="16">
        <v>0.6610038610038611</v>
      </c>
      <c r="K1163" s="4">
        <v>1.0</v>
      </c>
      <c r="L1163" s="4">
        <v>0.0</v>
      </c>
      <c r="M1163" s="4" t="s">
        <v>239</v>
      </c>
    </row>
    <row r="1164" ht="18.0" customHeight="1">
      <c r="A1164" s="4" t="s">
        <v>60</v>
      </c>
      <c r="B1164" s="4">
        <v>110.0</v>
      </c>
      <c r="C1164" s="4" t="s">
        <v>710</v>
      </c>
      <c r="D1164" s="4" t="s">
        <v>711</v>
      </c>
      <c r="E1164" s="16">
        <v>1.2778356904163957E-4</v>
      </c>
      <c r="F1164" s="16">
        <v>0.9999879909646552</v>
      </c>
      <c r="G1164" s="16"/>
      <c r="H1164" s="16">
        <v>1.0</v>
      </c>
      <c r="I1164" s="16">
        <v>0.8291666666666666</v>
      </c>
      <c r="J1164" s="16">
        <v>0.8</v>
      </c>
      <c r="K1164" s="4">
        <v>1.0</v>
      </c>
      <c r="L1164" s="4">
        <v>0.0</v>
      </c>
      <c r="M1164" s="4" t="s">
        <v>239</v>
      </c>
    </row>
    <row r="1165" ht="18.0" customHeight="1">
      <c r="A1165" s="4" t="s">
        <v>60</v>
      </c>
      <c r="B1165" s="4">
        <v>111.0</v>
      </c>
      <c r="C1165" s="4" t="s">
        <v>1192</v>
      </c>
      <c r="D1165" s="4" t="s">
        <v>1193</v>
      </c>
      <c r="E1165" s="16">
        <v>1.0652115452103317E-4</v>
      </c>
      <c r="F1165" s="16">
        <v>0.9999911814417146</v>
      </c>
      <c r="G1165" s="16"/>
      <c r="H1165" s="16">
        <v>0.0</v>
      </c>
      <c r="I1165" s="16">
        <v>0.041666666666666664</v>
      </c>
      <c r="J1165" s="16">
        <v>0.16666666666666663</v>
      </c>
      <c r="K1165" s="4">
        <v>0.0</v>
      </c>
      <c r="M1165" s="4" t="s">
        <v>32</v>
      </c>
    </row>
    <row r="1166" ht="18.0" customHeight="1">
      <c r="A1166" s="4" t="s">
        <v>60</v>
      </c>
      <c r="B1166" s="4">
        <v>112.0</v>
      </c>
      <c r="C1166" s="4" t="s">
        <v>169</v>
      </c>
      <c r="D1166" s="4" t="s">
        <v>591</v>
      </c>
      <c r="E1166" s="16">
        <v>3.035651025129482E-5</v>
      </c>
      <c r="F1166" s="16">
        <v>0.9999975602224822</v>
      </c>
      <c r="G1166" s="16"/>
      <c r="H1166" s="16">
        <v>1.0</v>
      </c>
      <c r="I1166" s="16">
        <v>0.6041666666666666</v>
      </c>
      <c r="J1166" s="16">
        <v>0.0</v>
      </c>
      <c r="K1166" s="4">
        <v>0.0</v>
      </c>
      <c r="M1166" s="4" t="s">
        <v>32</v>
      </c>
    </row>
    <row r="1167" ht="18.0" customHeight="1">
      <c r="A1167" s="4" t="s">
        <v>60</v>
      </c>
      <c r="B1167" s="4">
        <v>113.0</v>
      </c>
      <c r="C1167" s="4" t="s">
        <v>143</v>
      </c>
      <c r="D1167" s="4" t="s">
        <v>327</v>
      </c>
      <c r="E1167" s="16">
        <v>4.956126940669492E-5</v>
      </c>
      <c r="F1167" s="16">
        <v>0.9999957464979161</v>
      </c>
      <c r="G1167" s="16"/>
      <c r="H1167" s="16">
        <v>0.09090909090909091</v>
      </c>
      <c r="I1167" s="16">
        <v>0.16666666666666666</v>
      </c>
      <c r="J1167" s="16">
        <v>0.5</v>
      </c>
      <c r="K1167" s="4">
        <v>0.0</v>
      </c>
      <c r="M1167" s="4" t="s">
        <v>32</v>
      </c>
    </row>
    <row r="1168" ht="18.0" customHeight="1">
      <c r="A1168" s="4" t="s">
        <v>60</v>
      </c>
      <c r="B1168" s="4">
        <v>114.0</v>
      </c>
      <c r="C1168" s="4" t="s">
        <v>159</v>
      </c>
      <c r="D1168" s="4" t="s">
        <v>264</v>
      </c>
      <c r="E1168" s="16">
        <v>2.471419793437235E-5</v>
      </c>
      <c r="F1168" s="16">
        <v>0.9999979368954541</v>
      </c>
      <c r="G1168" s="16"/>
      <c r="H1168" s="16">
        <v>1.0</v>
      </c>
      <c r="I1168" s="16">
        <v>0.625</v>
      </c>
      <c r="J1168" s="16">
        <v>0.06542056074766354</v>
      </c>
      <c r="K1168" s="4">
        <v>0.0</v>
      </c>
      <c r="M1168" s="4" t="s">
        <v>32</v>
      </c>
    </row>
    <row r="1169" ht="18.0" customHeight="1">
      <c r="A1169" s="4" t="s">
        <v>60</v>
      </c>
      <c r="B1169" s="4">
        <v>115.0</v>
      </c>
      <c r="C1169" s="4" t="s">
        <v>270</v>
      </c>
      <c r="D1169" s="4" t="s">
        <v>160</v>
      </c>
      <c r="E1169" s="16">
        <v>7.4503227551758755E-6</v>
      </c>
      <c r="F1169" s="16">
        <v>0.9999993594587124</v>
      </c>
      <c r="G1169" s="16"/>
      <c r="H1169" s="16">
        <v>0.0</v>
      </c>
      <c r="I1169" s="16">
        <v>0.08333333333333333</v>
      </c>
      <c r="J1169" s="16">
        <v>0.2857142857142857</v>
      </c>
      <c r="K1169" s="4">
        <v>0.0</v>
      </c>
      <c r="M1169" s="4" t="s">
        <v>32</v>
      </c>
    </row>
    <row r="1170" ht="18.0" customHeight="1">
      <c r="A1170" s="4" t="s">
        <v>60</v>
      </c>
      <c r="B1170" s="4">
        <v>116.0</v>
      </c>
      <c r="C1170" s="4" t="s">
        <v>261</v>
      </c>
      <c r="D1170" s="4" t="s">
        <v>467</v>
      </c>
      <c r="E1170" s="16">
        <v>6.082639447413385E-5</v>
      </c>
      <c r="F1170" s="16">
        <v>0.9999947392090007</v>
      </c>
      <c r="G1170" s="16"/>
      <c r="H1170" s="16">
        <v>0.9090909090909091</v>
      </c>
      <c r="I1170" s="16">
        <v>0.7083333333333334</v>
      </c>
      <c r="J1170" s="16">
        <v>0.9090909090909091</v>
      </c>
      <c r="K1170" s="4">
        <v>0.0</v>
      </c>
      <c r="M1170" s="4" t="s">
        <v>32</v>
      </c>
    </row>
    <row r="1171" ht="18.0" customHeight="1">
      <c r="A1171" s="4" t="s">
        <v>60</v>
      </c>
      <c r="B1171" s="4">
        <v>117.0</v>
      </c>
      <c r="C1171" s="4" t="s">
        <v>711</v>
      </c>
      <c r="D1171" s="4" t="s">
        <v>854</v>
      </c>
      <c r="E1171" s="16">
        <v>6.0278805904090405E-5</v>
      </c>
      <c r="F1171" s="16">
        <v>0.9999953983668206</v>
      </c>
      <c r="G1171" s="16"/>
      <c r="H1171" s="16">
        <v>0.0</v>
      </c>
      <c r="I1171" s="16">
        <v>0.016666666666666666</v>
      </c>
      <c r="J1171" s="16">
        <v>0.0</v>
      </c>
      <c r="K1171" s="4">
        <v>0.0</v>
      </c>
      <c r="M1171" s="4" t="s">
        <v>32</v>
      </c>
    </row>
    <row r="1172" ht="18.0" customHeight="1">
      <c r="A1172" s="4" t="s">
        <v>60</v>
      </c>
      <c r="B1172" s="4">
        <v>118.0</v>
      </c>
      <c r="C1172" s="4" t="s">
        <v>453</v>
      </c>
      <c r="D1172" s="4" t="s">
        <v>217</v>
      </c>
      <c r="E1172" s="16">
        <v>1.829802931752056E-4</v>
      </c>
      <c r="F1172" s="16">
        <v>0.9999824268629709</v>
      </c>
      <c r="G1172" s="16"/>
      <c r="H1172" s="16">
        <v>1.0</v>
      </c>
      <c r="I1172" s="16">
        <v>0.6666666666666666</v>
      </c>
      <c r="J1172" s="16">
        <v>0.33333333333333337</v>
      </c>
      <c r="K1172" s="4">
        <v>0.0</v>
      </c>
      <c r="M1172" s="4" t="s">
        <v>32</v>
      </c>
    </row>
    <row r="1173" ht="18.0" customHeight="1">
      <c r="A1173" s="4" t="s">
        <v>54</v>
      </c>
      <c r="B1173" s="4">
        <v>2.0</v>
      </c>
      <c r="C1173" s="4" t="s">
        <v>1194</v>
      </c>
      <c r="D1173" s="4" t="s">
        <v>1195</v>
      </c>
      <c r="E1173" s="16">
        <v>3.419057611608878E-5</v>
      </c>
      <c r="F1173" s="16">
        <v>0.9999973555035808</v>
      </c>
      <c r="G1173" s="16"/>
      <c r="H1173" s="16">
        <v>0.0</v>
      </c>
      <c r="I1173" s="16">
        <v>0.041666666666666664</v>
      </c>
      <c r="J1173" s="16">
        <v>0.75</v>
      </c>
      <c r="K1173" s="4">
        <v>0.0</v>
      </c>
      <c r="M1173" s="4" t="s">
        <v>32</v>
      </c>
    </row>
    <row r="1174" ht="18.0" customHeight="1">
      <c r="A1174" s="4" t="s">
        <v>54</v>
      </c>
      <c r="B1174" s="4">
        <v>3.0</v>
      </c>
      <c r="C1174" s="4" t="s">
        <v>254</v>
      </c>
      <c r="D1174" s="4" t="s">
        <v>311</v>
      </c>
      <c r="E1174" s="16">
        <v>1.303173921769485E-4</v>
      </c>
      <c r="F1174" s="16">
        <v>0.9999902584440861</v>
      </c>
      <c r="G1174" s="16"/>
      <c r="H1174" s="16">
        <v>1.0</v>
      </c>
      <c r="I1174" s="16">
        <v>0.4583333333333333</v>
      </c>
      <c r="J1174" s="16">
        <v>0.2592592592592593</v>
      </c>
      <c r="K1174" s="4">
        <v>0.0</v>
      </c>
      <c r="M1174" s="4" t="s">
        <v>32</v>
      </c>
    </row>
    <row r="1175" ht="18.0" customHeight="1">
      <c r="A1175" s="4" t="s">
        <v>54</v>
      </c>
      <c r="B1175" s="4">
        <v>4.0</v>
      </c>
      <c r="C1175" s="4" t="s">
        <v>258</v>
      </c>
      <c r="D1175" s="4" t="s">
        <v>139</v>
      </c>
      <c r="E1175" s="16">
        <v>0.004110932815819979</v>
      </c>
      <c r="F1175" s="16">
        <v>0.9992370176769327</v>
      </c>
      <c r="G1175" s="16"/>
      <c r="H1175" s="16">
        <v>1.0</v>
      </c>
      <c r="I1175" s="16">
        <v>0.4083333333333334</v>
      </c>
      <c r="J1175" s="16">
        <v>1.0</v>
      </c>
      <c r="K1175" s="4">
        <v>0.0</v>
      </c>
      <c r="M1175" s="4" t="s">
        <v>32</v>
      </c>
    </row>
    <row r="1176" ht="18.0" customHeight="1">
      <c r="A1176" s="4" t="s">
        <v>54</v>
      </c>
      <c r="B1176" s="4">
        <v>5.0</v>
      </c>
      <c r="C1176" s="4" t="s">
        <v>263</v>
      </c>
      <c r="D1176" s="4" t="s">
        <v>264</v>
      </c>
      <c r="E1176" s="16">
        <v>1.680136047070846E-4</v>
      </c>
      <c r="F1176" s="16">
        <v>0.9999844668022888</v>
      </c>
      <c r="G1176" s="16"/>
      <c r="H1176" s="16">
        <v>0.9090909090909091</v>
      </c>
      <c r="I1176" s="16">
        <v>0.40416666666666673</v>
      </c>
      <c r="J1176" s="16">
        <v>1.0</v>
      </c>
      <c r="K1176" s="4">
        <v>0.0</v>
      </c>
      <c r="M1176" s="4" t="s">
        <v>32</v>
      </c>
    </row>
    <row r="1177" ht="18.0" customHeight="1">
      <c r="A1177" s="4" t="s">
        <v>54</v>
      </c>
      <c r="B1177" s="4">
        <v>6.0</v>
      </c>
      <c r="C1177" s="4" t="s">
        <v>139</v>
      </c>
      <c r="D1177" s="4" t="s">
        <v>169</v>
      </c>
      <c r="E1177" s="16">
        <v>0.04277188330888748</v>
      </c>
      <c r="F1177" s="16">
        <v>0.9890288095921278</v>
      </c>
      <c r="G1177" s="16"/>
      <c r="H1177" s="16">
        <v>1.0</v>
      </c>
      <c r="I1177" s="16">
        <v>0.4083333333333334</v>
      </c>
      <c r="J1177" s="16">
        <v>1.0</v>
      </c>
      <c r="K1177" s="4">
        <v>1.0</v>
      </c>
      <c r="L1177" s="4">
        <v>0.0</v>
      </c>
      <c r="M1177" s="4" t="s">
        <v>239</v>
      </c>
    </row>
    <row r="1178" ht="18.0" customHeight="1">
      <c r="A1178" s="4" t="s">
        <v>54</v>
      </c>
      <c r="B1178" s="4">
        <v>7.0</v>
      </c>
      <c r="C1178" s="4" t="s">
        <v>232</v>
      </c>
      <c r="D1178" s="4" t="s">
        <v>159</v>
      </c>
      <c r="E1178" s="16">
        <v>0.0017942680278792977</v>
      </c>
      <c r="F1178" s="16">
        <v>0.9997905329437344</v>
      </c>
      <c r="G1178" s="16"/>
      <c r="H1178" s="16">
        <v>1.0</v>
      </c>
      <c r="I1178" s="16">
        <v>0.4458333333333333</v>
      </c>
      <c r="J1178" s="16">
        <v>1.0</v>
      </c>
      <c r="K1178" s="4">
        <v>1.0</v>
      </c>
      <c r="L1178" s="4">
        <v>0.0</v>
      </c>
      <c r="M1178" s="4" t="s">
        <v>239</v>
      </c>
    </row>
    <row r="1179" ht="18.0" customHeight="1">
      <c r="A1179" s="4" t="s">
        <v>54</v>
      </c>
      <c r="B1179" s="4">
        <v>8.0</v>
      </c>
      <c r="C1179" s="4" t="s">
        <v>87</v>
      </c>
      <c r="D1179" s="4" t="s">
        <v>163</v>
      </c>
      <c r="E1179" s="16">
        <v>0.5453059673309326</v>
      </c>
      <c r="F1179" s="16">
        <v>0.5534537434577942</v>
      </c>
      <c r="G1179" s="16"/>
      <c r="H1179" s="16">
        <v>1.0</v>
      </c>
      <c r="I1179" s="16">
        <v>0.5291666666666667</v>
      </c>
      <c r="J1179" s="16">
        <v>1.0</v>
      </c>
      <c r="K1179" s="4">
        <v>1.0</v>
      </c>
      <c r="L1179" s="4">
        <v>0.0</v>
      </c>
      <c r="M1179" s="4" t="s">
        <v>239</v>
      </c>
    </row>
    <row r="1180" ht="18.0" customHeight="1">
      <c r="A1180" s="4" t="s">
        <v>54</v>
      </c>
      <c r="B1180" s="4">
        <v>9.0</v>
      </c>
      <c r="C1180" s="4" t="s">
        <v>232</v>
      </c>
      <c r="D1180" s="4" t="s">
        <v>326</v>
      </c>
      <c r="E1180" s="16">
        <v>2.6390343555249274E-4</v>
      </c>
      <c r="F1180" s="16">
        <v>0.9999697740377087</v>
      </c>
      <c r="G1180" s="16"/>
      <c r="H1180" s="16">
        <v>0.0</v>
      </c>
      <c r="I1180" s="16">
        <v>0.0</v>
      </c>
      <c r="J1180" s="16">
        <v>0.0</v>
      </c>
      <c r="K1180" s="4">
        <v>0.0</v>
      </c>
      <c r="M1180" s="4" t="s">
        <v>32</v>
      </c>
    </row>
    <row r="1181" ht="18.0" customHeight="1">
      <c r="A1181" s="4" t="s">
        <v>54</v>
      </c>
      <c r="B1181" s="4">
        <v>10.0</v>
      </c>
      <c r="C1181" s="4" t="s">
        <v>752</v>
      </c>
      <c r="D1181" s="4" t="s">
        <v>753</v>
      </c>
      <c r="E1181" s="16">
        <v>0.03259190544486046</v>
      </c>
      <c r="F1181" s="16">
        <v>0.9924464190844446</v>
      </c>
      <c r="G1181" s="16"/>
      <c r="H1181" s="16">
        <v>1.0</v>
      </c>
      <c r="I1181" s="16">
        <v>0.4708333333333334</v>
      </c>
      <c r="J1181" s="16">
        <v>0.7142857142857143</v>
      </c>
      <c r="K1181" s="4">
        <v>1.0</v>
      </c>
      <c r="L1181" s="4">
        <v>0.0</v>
      </c>
      <c r="M1181" s="4" t="s">
        <v>239</v>
      </c>
    </row>
    <row r="1182" ht="18.0" customHeight="1">
      <c r="A1182" s="4" t="s">
        <v>54</v>
      </c>
      <c r="B1182" s="4">
        <v>11.0</v>
      </c>
      <c r="C1182" s="4" t="s">
        <v>338</v>
      </c>
      <c r="D1182" s="4" t="s">
        <v>767</v>
      </c>
      <c r="E1182" s="16">
        <v>3.351912018842995E-4</v>
      </c>
      <c r="F1182" s="16">
        <v>0.999963249015309</v>
      </c>
      <c r="G1182" s="16"/>
      <c r="H1182" s="16">
        <v>1.0</v>
      </c>
      <c r="I1182" s="16">
        <v>0.5083333333333334</v>
      </c>
      <c r="J1182" s="16">
        <v>0.9591836734693877</v>
      </c>
      <c r="K1182" s="4">
        <v>1.0</v>
      </c>
      <c r="L1182" s="4">
        <v>0.0</v>
      </c>
      <c r="M1182" s="4" t="s">
        <v>239</v>
      </c>
    </row>
    <row r="1183" ht="18.0" customHeight="1">
      <c r="A1183" s="4" t="s">
        <v>54</v>
      </c>
      <c r="B1183" s="4">
        <v>12.0</v>
      </c>
      <c r="C1183" s="4" t="s">
        <v>714</v>
      </c>
      <c r="D1183" s="4" t="s">
        <v>715</v>
      </c>
      <c r="E1183" s="16">
        <v>5.6672495702514425E-5</v>
      </c>
      <c r="F1183" s="16">
        <v>0.9999958686919399</v>
      </c>
      <c r="G1183" s="16"/>
      <c r="H1183" s="16">
        <v>0.0</v>
      </c>
      <c r="I1183" s="16">
        <v>0.016666666666666666</v>
      </c>
      <c r="J1183" s="16">
        <v>0.0</v>
      </c>
      <c r="K1183" s="4">
        <v>0.0</v>
      </c>
      <c r="M1183" s="4" t="s">
        <v>32</v>
      </c>
    </row>
    <row r="1184" ht="18.0" customHeight="1">
      <c r="A1184" s="4" t="s">
        <v>54</v>
      </c>
      <c r="B1184" s="4">
        <v>13.0</v>
      </c>
      <c r="C1184" s="4" t="s">
        <v>132</v>
      </c>
      <c r="D1184" s="4" t="s">
        <v>314</v>
      </c>
      <c r="E1184" s="16">
        <v>5.493402713909745E-4</v>
      </c>
      <c r="F1184" s="16">
        <v>0.9999200151432888</v>
      </c>
      <c r="G1184" s="16"/>
      <c r="H1184" s="16">
        <v>1.0</v>
      </c>
      <c r="I1184" s="16">
        <v>0.37083333333333335</v>
      </c>
      <c r="J1184" s="16">
        <v>0.0</v>
      </c>
      <c r="K1184" s="4">
        <v>0.0</v>
      </c>
      <c r="M1184" s="4" t="s">
        <v>32</v>
      </c>
    </row>
    <row r="1185" ht="18.0" customHeight="1">
      <c r="A1185" s="4" t="s">
        <v>54</v>
      </c>
      <c r="B1185" s="4">
        <v>14.0</v>
      </c>
      <c r="C1185" s="4" t="s">
        <v>767</v>
      </c>
      <c r="D1185" s="4" t="s">
        <v>1154</v>
      </c>
      <c r="E1185" s="16">
        <v>3.6376954085426405E-5</v>
      </c>
      <c r="F1185" s="16">
        <v>0.9999968667699477</v>
      </c>
      <c r="G1185" s="16"/>
      <c r="H1185" s="16">
        <v>0.09090909090909091</v>
      </c>
      <c r="I1185" s="16">
        <v>0.08333333333333333</v>
      </c>
      <c r="J1185" s="16">
        <v>0.0</v>
      </c>
      <c r="K1185" s="4">
        <v>0.0</v>
      </c>
      <c r="M1185" s="4" t="s">
        <v>32</v>
      </c>
    </row>
    <row r="1186" ht="18.0" customHeight="1">
      <c r="A1186" s="4" t="s">
        <v>54</v>
      </c>
      <c r="B1186" s="4">
        <v>15.0</v>
      </c>
      <c r="C1186" s="4" t="s">
        <v>309</v>
      </c>
      <c r="D1186" s="4" t="s">
        <v>738</v>
      </c>
      <c r="E1186" s="16">
        <v>3.0109251383692026E-5</v>
      </c>
      <c r="F1186" s="16">
        <v>0.9999975540685568</v>
      </c>
      <c r="G1186" s="16"/>
      <c r="H1186" s="16">
        <v>0.0</v>
      </c>
      <c r="I1186" s="16">
        <v>0.08333333333333333</v>
      </c>
      <c r="J1186" s="16">
        <v>0.28260869565217395</v>
      </c>
      <c r="K1186" s="4">
        <v>1.0</v>
      </c>
      <c r="L1186" s="4">
        <v>0.0</v>
      </c>
      <c r="M1186" s="4" t="s">
        <v>239</v>
      </c>
    </row>
    <row r="1187" ht="18.0" customHeight="1">
      <c r="A1187" s="4" t="s">
        <v>54</v>
      </c>
      <c r="B1187" s="4">
        <v>16.0</v>
      </c>
      <c r="C1187" s="4" t="s">
        <v>1155</v>
      </c>
      <c r="D1187" s="4" t="s">
        <v>1112</v>
      </c>
      <c r="E1187" s="16">
        <v>1.5601865015923977E-4</v>
      </c>
      <c r="F1187" s="16">
        <v>0.9999868157958645</v>
      </c>
      <c r="G1187" s="16"/>
      <c r="H1187" s="16">
        <v>0.9090909090909091</v>
      </c>
      <c r="I1187" s="16">
        <v>0.25416666666666665</v>
      </c>
      <c r="J1187" s="16">
        <v>0.32608695652173914</v>
      </c>
      <c r="K1187" s="4">
        <v>0.0</v>
      </c>
      <c r="M1187" s="4" t="s">
        <v>32</v>
      </c>
    </row>
    <row r="1188" ht="18.0" customHeight="1">
      <c r="A1188" s="4" t="s">
        <v>54</v>
      </c>
      <c r="B1188" s="4">
        <v>17.0</v>
      </c>
      <c r="C1188" s="4" t="s">
        <v>1194</v>
      </c>
      <c r="D1188" s="4" t="s">
        <v>1196</v>
      </c>
      <c r="E1188" s="16">
        <v>1.8496590200811625E-4</v>
      </c>
      <c r="F1188" s="16">
        <v>0.9999820265711605</v>
      </c>
      <c r="G1188" s="16"/>
      <c r="H1188" s="16">
        <v>0.0</v>
      </c>
      <c r="I1188" s="16">
        <v>0.016666666666666666</v>
      </c>
      <c r="J1188" s="16">
        <v>0.0</v>
      </c>
      <c r="K1188" s="4">
        <v>0.0</v>
      </c>
      <c r="M1188" s="4" t="s">
        <v>32</v>
      </c>
    </row>
    <row r="1189" ht="18.0" customHeight="1">
      <c r="A1189" s="4" t="s">
        <v>54</v>
      </c>
      <c r="B1189" s="4">
        <v>18.0</v>
      </c>
      <c r="C1189" s="4" t="s">
        <v>1110</v>
      </c>
      <c r="D1189" s="4" t="s">
        <v>1157</v>
      </c>
      <c r="E1189" s="16">
        <v>2.5430110326851718E-5</v>
      </c>
      <c r="F1189" s="16">
        <v>0.9999982383872776</v>
      </c>
      <c r="G1189" s="16"/>
      <c r="H1189" s="16">
        <v>0.0</v>
      </c>
      <c r="I1189" s="16">
        <v>0.016666666666666666</v>
      </c>
      <c r="J1189" s="16">
        <v>0.0</v>
      </c>
      <c r="K1189" s="4">
        <v>0.0</v>
      </c>
      <c r="M1189" s="4" t="s">
        <v>32</v>
      </c>
    </row>
    <row r="1190" ht="18.0" customHeight="1">
      <c r="A1190" s="4" t="s">
        <v>54</v>
      </c>
      <c r="B1190" s="4">
        <v>19.0</v>
      </c>
      <c r="C1190" s="4" t="s">
        <v>115</v>
      </c>
      <c r="D1190" s="4" t="s">
        <v>467</v>
      </c>
      <c r="E1190" s="16">
        <v>4.233585495967418E-4</v>
      </c>
      <c r="F1190" s="16">
        <v>0.9999430746920552</v>
      </c>
      <c r="G1190" s="16"/>
      <c r="H1190" s="16">
        <v>0.09090909090909091</v>
      </c>
      <c r="I1190" s="16">
        <v>0.09999999999999999</v>
      </c>
      <c r="J1190" s="16">
        <v>0.3372549019607843</v>
      </c>
      <c r="K1190" s="4">
        <v>0.0</v>
      </c>
      <c r="M1190" s="4" t="s">
        <v>32</v>
      </c>
    </row>
    <row r="1191" ht="18.0" customHeight="1">
      <c r="A1191" s="4" t="s">
        <v>54</v>
      </c>
      <c r="B1191" s="4">
        <v>20.0</v>
      </c>
      <c r="C1191" s="4" t="s">
        <v>1158</v>
      </c>
      <c r="D1191" s="4" t="s">
        <v>264</v>
      </c>
      <c r="E1191" s="16">
        <v>2.46930168941617E-4</v>
      </c>
      <c r="F1191" s="16">
        <v>0.9999748471341263</v>
      </c>
      <c r="G1191" s="16"/>
      <c r="H1191" s="16">
        <v>0.9090909090909091</v>
      </c>
      <c r="I1191" s="16">
        <v>0.2833333333333334</v>
      </c>
      <c r="J1191" s="16">
        <v>0.27272727272727276</v>
      </c>
      <c r="K1191" s="4">
        <v>0.0</v>
      </c>
      <c r="M1191" s="4" t="s">
        <v>32</v>
      </c>
    </row>
    <row r="1192" ht="18.0" customHeight="1">
      <c r="A1192" s="4" t="s">
        <v>54</v>
      </c>
      <c r="B1192" s="4">
        <v>21.0</v>
      </c>
      <c r="C1192" s="4" t="s">
        <v>1159</v>
      </c>
      <c r="D1192" s="4" t="s">
        <v>1160</v>
      </c>
      <c r="E1192" s="16">
        <v>3.115479557891376E-5</v>
      </c>
      <c r="F1192" s="16">
        <v>0.9999976915042907</v>
      </c>
      <c r="G1192" s="16"/>
      <c r="H1192" s="16">
        <v>1.0</v>
      </c>
      <c r="I1192" s="16">
        <v>0.35000000000000003</v>
      </c>
      <c r="J1192" s="16">
        <v>0.0</v>
      </c>
      <c r="K1192" s="4">
        <v>0.0</v>
      </c>
      <c r="M1192" s="4" t="s">
        <v>32</v>
      </c>
    </row>
    <row r="1193" ht="18.0" customHeight="1">
      <c r="A1193" s="4" t="s">
        <v>54</v>
      </c>
      <c r="B1193" s="4">
        <v>22.0</v>
      </c>
      <c r="C1193" s="4" t="s">
        <v>132</v>
      </c>
      <c r="D1193" s="4" t="s">
        <v>122</v>
      </c>
      <c r="E1193" s="16">
        <v>1.3045378727838397E-4</v>
      </c>
      <c r="F1193" s="16">
        <v>0.999986393436302</v>
      </c>
      <c r="G1193" s="16"/>
      <c r="H1193" s="16">
        <v>0.9090909090909091</v>
      </c>
      <c r="I1193" s="16">
        <v>0.2833333333333334</v>
      </c>
      <c r="J1193" s="16">
        <v>0.23529411764705882</v>
      </c>
      <c r="K1193" s="4">
        <v>0.0</v>
      </c>
      <c r="M1193" s="4" t="s">
        <v>32</v>
      </c>
    </row>
    <row r="1194" ht="18.0" customHeight="1">
      <c r="A1194" s="4" t="s">
        <v>54</v>
      </c>
      <c r="B1194" s="4">
        <v>23.0</v>
      </c>
      <c r="C1194" s="4" t="s">
        <v>114</v>
      </c>
      <c r="D1194" s="4" t="s">
        <v>122</v>
      </c>
      <c r="E1194" s="16">
        <v>5.941273993812501E-4</v>
      </c>
      <c r="F1194" s="16">
        <v>0.9999319195994758</v>
      </c>
      <c r="G1194" s="16"/>
      <c r="H1194" s="16">
        <v>0.0</v>
      </c>
      <c r="I1194" s="16">
        <v>0.0</v>
      </c>
      <c r="J1194" s="16">
        <v>0.0</v>
      </c>
      <c r="K1194" s="4">
        <v>0.0</v>
      </c>
      <c r="M1194" s="4" t="s">
        <v>32</v>
      </c>
    </row>
    <row r="1195" ht="18.0" customHeight="1">
      <c r="A1195" s="4" t="s">
        <v>54</v>
      </c>
      <c r="B1195" s="4">
        <v>24.0</v>
      </c>
      <c r="C1195" s="4" t="s">
        <v>232</v>
      </c>
      <c r="D1195" s="4" t="s">
        <v>289</v>
      </c>
      <c r="E1195" s="16">
        <v>2.562569861765951E-4</v>
      </c>
      <c r="F1195" s="16">
        <v>0.9999630330548825</v>
      </c>
      <c r="G1195" s="16"/>
      <c r="H1195" s="16">
        <v>1.0</v>
      </c>
      <c r="I1195" s="16">
        <v>0.3958333333333333</v>
      </c>
      <c r="J1195" s="16">
        <v>0.0</v>
      </c>
      <c r="K1195" s="4">
        <v>0.0</v>
      </c>
      <c r="M1195" s="4" t="s">
        <v>32</v>
      </c>
    </row>
    <row r="1196" ht="18.0" customHeight="1">
      <c r="A1196" s="4" t="s">
        <v>54</v>
      </c>
      <c r="B1196" s="4">
        <v>25.0</v>
      </c>
      <c r="C1196" s="4" t="s">
        <v>87</v>
      </c>
      <c r="D1196" s="4" t="s">
        <v>563</v>
      </c>
      <c r="E1196" s="16">
        <v>8.806663099676371E-4</v>
      </c>
      <c r="F1196" s="16">
        <v>0.9998851174241281</v>
      </c>
      <c r="G1196" s="16"/>
      <c r="H1196" s="16">
        <v>0.0</v>
      </c>
      <c r="I1196" s="16">
        <v>0.0</v>
      </c>
      <c r="J1196" s="16">
        <v>0.0</v>
      </c>
      <c r="K1196" s="4">
        <v>1.0</v>
      </c>
      <c r="L1196" s="4">
        <v>0.0</v>
      </c>
      <c r="M1196" s="4" t="s">
        <v>239</v>
      </c>
    </row>
    <row r="1197" ht="18.0" customHeight="1">
      <c r="A1197" s="4" t="s">
        <v>54</v>
      </c>
      <c r="B1197" s="4">
        <v>26.0</v>
      </c>
      <c r="C1197" s="4" t="s">
        <v>232</v>
      </c>
      <c r="D1197" s="4" t="s">
        <v>289</v>
      </c>
      <c r="E1197" s="16">
        <v>4.6204880345612764E-4</v>
      </c>
      <c r="F1197" s="16">
        <v>0.999934277999273</v>
      </c>
      <c r="G1197" s="16"/>
      <c r="H1197" s="16">
        <v>1.0</v>
      </c>
      <c r="I1197" s="16">
        <v>0.5</v>
      </c>
      <c r="J1197" s="16">
        <v>0.0</v>
      </c>
      <c r="K1197" s="4">
        <v>0.0</v>
      </c>
      <c r="M1197" s="4" t="s">
        <v>32</v>
      </c>
    </row>
    <row r="1198" ht="18.0" customHeight="1">
      <c r="A1198" s="4" t="s">
        <v>54</v>
      </c>
      <c r="B1198" s="4">
        <v>27.0</v>
      </c>
      <c r="C1198" s="4" t="s">
        <v>163</v>
      </c>
      <c r="D1198" s="4" t="s">
        <v>625</v>
      </c>
      <c r="E1198" s="16">
        <v>4.6805525198578835E-4</v>
      </c>
      <c r="F1198" s="16">
        <v>0.9999554264704784</v>
      </c>
      <c r="G1198" s="16"/>
      <c r="H1198" s="16">
        <v>1.0</v>
      </c>
      <c r="I1198" s="16">
        <v>0.5958333333333333</v>
      </c>
      <c r="J1198" s="16">
        <v>0.24753694581280788</v>
      </c>
      <c r="K1198" s="4">
        <v>0.0</v>
      </c>
      <c r="M1198" s="4" t="s">
        <v>32</v>
      </c>
    </row>
    <row r="1199" ht="18.0" customHeight="1">
      <c r="A1199" s="4" t="s">
        <v>54</v>
      </c>
      <c r="B1199" s="4">
        <v>28.0</v>
      </c>
      <c r="C1199" s="4" t="s">
        <v>1197</v>
      </c>
      <c r="D1199" s="4" t="s">
        <v>1198</v>
      </c>
      <c r="E1199" s="16">
        <v>0.006494681350886822</v>
      </c>
      <c r="F1199" s="16">
        <v>0.9985601613298059</v>
      </c>
      <c r="G1199" s="16"/>
      <c r="H1199" s="16">
        <v>0.0</v>
      </c>
      <c r="I1199" s="16">
        <v>0.041666666666666664</v>
      </c>
      <c r="J1199" s="16">
        <v>0.0</v>
      </c>
      <c r="K1199" s="4">
        <v>0.0</v>
      </c>
      <c r="M1199" s="4" t="s">
        <v>32</v>
      </c>
    </row>
    <row r="1200" ht="18.0" customHeight="1">
      <c r="A1200" s="4" t="s">
        <v>54</v>
      </c>
      <c r="B1200" s="4">
        <v>29.0</v>
      </c>
      <c r="C1200" s="4" t="s">
        <v>375</v>
      </c>
      <c r="D1200" s="4" t="s">
        <v>376</v>
      </c>
      <c r="E1200" s="16">
        <v>5.753941150032915E-5</v>
      </c>
      <c r="F1200" s="16">
        <v>0.999993800917764</v>
      </c>
      <c r="G1200" s="16"/>
      <c r="H1200" s="16">
        <v>0.0</v>
      </c>
      <c r="I1200" s="16">
        <v>0.016666666666666666</v>
      </c>
      <c r="J1200" s="16">
        <v>0.0</v>
      </c>
      <c r="K1200" s="4">
        <v>0.0</v>
      </c>
      <c r="M1200" s="4" t="s">
        <v>32</v>
      </c>
    </row>
    <row r="1201" ht="18.0" customHeight="1">
      <c r="A1201" s="4" t="s">
        <v>54</v>
      </c>
      <c r="B1201" s="4">
        <v>30.0</v>
      </c>
      <c r="C1201" s="4" t="s">
        <v>985</v>
      </c>
      <c r="D1201" s="4" t="s">
        <v>1199</v>
      </c>
      <c r="E1201" s="16">
        <v>1.211548806168139E-4</v>
      </c>
      <c r="F1201" s="16">
        <v>0.9999882983956923</v>
      </c>
      <c r="G1201" s="16"/>
      <c r="H1201" s="16">
        <v>0.0</v>
      </c>
      <c r="I1201" s="16">
        <v>0.041666666666666664</v>
      </c>
      <c r="J1201" s="16">
        <v>0.0</v>
      </c>
      <c r="K1201" s="4">
        <v>0.0</v>
      </c>
      <c r="M1201" s="4" t="s">
        <v>32</v>
      </c>
    </row>
    <row r="1202" ht="18.0" customHeight="1">
      <c r="A1202" s="4" t="s">
        <v>54</v>
      </c>
      <c r="B1202" s="4">
        <v>31.0</v>
      </c>
      <c r="C1202" s="4" t="s">
        <v>1200</v>
      </c>
      <c r="D1202" s="4" t="s">
        <v>884</v>
      </c>
      <c r="E1202" s="16">
        <v>1.6980308282654732E-4</v>
      </c>
      <c r="F1202" s="16">
        <v>0.9999730789759269</v>
      </c>
      <c r="G1202" s="16"/>
      <c r="H1202" s="16">
        <v>0.0</v>
      </c>
      <c r="I1202" s="16">
        <v>0.016666666666666666</v>
      </c>
      <c r="J1202" s="16">
        <v>0.0</v>
      </c>
      <c r="K1202" s="4">
        <v>0.0</v>
      </c>
      <c r="M1202" s="4" t="s">
        <v>32</v>
      </c>
    </row>
    <row r="1203" ht="18.0" customHeight="1">
      <c r="A1203" s="4" t="s">
        <v>54</v>
      </c>
      <c r="B1203" s="4">
        <v>32.0</v>
      </c>
      <c r="C1203" s="4" t="s">
        <v>1201</v>
      </c>
      <c r="D1203" s="4" t="s">
        <v>872</v>
      </c>
      <c r="E1203" s="16">
        <v>7.290253415703773E-4</v>
      </c>
      <c r="F1203" s="16">
        <v>0.9998963189973438</v>
      </c>
      <c r="G1203" s="16"/>
      <c r="H1203" s="16">
        <v>0.0</v>
      </c>
      <c r="I1203" s="16">
        <v>0.041666666666666664</v>
      </c>
      <c r="J1203" s="16">
        <v>0.0</v>
      </c>
      <c r="K1203" s="4">
        <v>0.0</v>
      </c>
      <c r="M1203" s="4" t="s">
        <v>32</v>
      </c>
    </row>
    <row r="1204" ht="18.0" customHeight="1">
      <c r="A1204" s="4" t="s">
        <v>54</v>
      </c>
      <c r="B1204" s="4">
        <v>33.0</v>
      </c>
      <c r="C1204" s="4" t="s">
        <v>1202</v>
      </c>
      <c r="D1204" s="4" t="s">
        <v>757</v>
      </c>
      <c r="E1204" s="16">
        <v>4.4303738832240924E-5</v>
      </c>
      <c r="F1204" s="16">
        <v>0.9999939525414447</v>
      </c>
      <c r="G1204" s="16"/>
      <c r="H1204" s="16">
        <v>0.0</v>
      </c>
      <c r="I1204" s="16">
        <v>0.016666666666666666</v>
      </c>
      <c r="J1204" s="16">
        <v>0.0</v>
      </c>
      <c r="K1204" s="4">
        <v>0.0</v>
      </c>
      <c r="M1204" s="4" t="s">
        <v>32</v>
      </c>
    </row>
    <row r="1205" ht="18.0" customHeight="1">
      <c r="A1205" s="4" t="s">
        <v>54</v>
      </c>
      <c r="B1205" s="4">
        <v>34.0</v>
      </c>
      <c r="C1205" s="4" t="s">
        <v>1203</v>
      </c>
      <c r="D1205" s="4" t="s">
        <v>1204</v>
      </c>
      <c r="E1205" s="16">
        <v>1.602635602466762E-4</v>
      </c>
      <c r="F1205" s="16">
        <v>0.9999840361838324</v>
      </c>
      <c r="G1205" s="16"/>
      <c r="H1205" s="16">
        <v>0.0</v>
      </c>
      <c r="I1205" s="16">
        <v>0.041666666666666664</v>
      </c>
      <c r="J1205" s="16">
        <v>0.0</v>
      </c>
      <c r="K1205" s="4">
        <v>0.0</v>
      </c>
      <c r="M1205" s="4" t="s">
        <v>32</v>
      </c>
    </row>
    <row r="1206" ht="18.0" customHeight="1">
      <c r="A1206" s="4" t="s">
        <v>54</v>
      </c>
      <c r="B1206" s="4">
        <v>35.0</v>
      </c>
      <c r="C1206" s="4" t="s">
        <v>169</v>
      </c>
      <c r="D1206" s="4" t="s">
        <v>770</v>
      </c>
      <c r="E1206" s="16">
        <v>1.080779384210473E-5</v>
      </c>
      <c r="F1206" s="16">
        <v>0.9999990887760646</v>
      </c>
      <c r="G1206" s="16"/>
      <c r="H1206" s="16">
        <v>1.0</v>
      </c>
      <c r="I1206" s="16">
        <v>0.725</v>
      </c>
      <c r="J1206" s="16">
        <v>0.3348946135831382</v>
      </c>
      <c r="K1206" s="4">
        <v>1.0</v>
      </c>
      <c r="L1206" s="4">
        <v>0.0</v>
      </c>
      <c r="M1206" s="4" t="s">
        <v>239</v>
      </c>
    </row>
    <row r="1207" ht="18.0" customHeight="1">
      <c r="A1207" s="4" t="s">
        <v>54</v>
      </c>
      <c r="B1207" s="4">
        <v>36.0</v>
      </c>
      <c r="C1207" s="4" t="s">
        <v>86</v>
      </c>
      <c r="D1207" s="4" t="s">
        <v>630</v>
      </c>
      <c r="E1207" s="16">
        <v>0.04399038106203079</v>
      </c>
      <c r="F1207" s="16">
        <v>0.9850779920816422</v>
      </c>
      <c r="G1207" s="16"/>
      <c r="H1207" s="16">
        <v>0.9090909090909091</v>
      </c>
      <c r="I1207" s="16">
        <v>0.6666666666666666</v>
      </c>
      <c r="J1207" s="16">
        <v>0.625</v>
      </c>
      <c r="K1207" s="4">
        <v>1.0</v>
      </c>
      <c r="L1207" s="4">
        <v>0.0</v>
      </c>
      <c r="M1207" s="4" t="s">
        <v>239</v>
      </c>
    </row>
    <row r="1208" ht="18.0" customHeight="1">
      <c r="A1208" s="4" t="s">
        <v>54</v>
      </c>
      <c r="B1208" s="4">
        <v>37.0</v>
      </c>
      <c r="C1208" s="4" t="s">
        <v>159</v>
      </c>
      <c r="D1208" s="4" t="s">
        <v>757</v>
      </c>
      <c r="E1208" s="16">
        <v>2.0326406229287386E-4</v>
      </c>
      <c r="F1208" s="16">
        <v>0.9999758030835437</v>
      </c>
      <c r="G1208" s="16"/>
      <c r="H1208" s="16">
        <v>0.6363636363636364</v>
      </c>
      <c r="I1208" s="16">
        <v>0.5</v>
      </c>
      <c r="J1208" s="16">
        <v>0.33333333333333337</v>
      </c>
      <c r="K1208" s="4">
        <v>1.0</v>
      </c>
      <c r="L1208" s="4">
        <v>0.0</v>
      </c>
      <c r="M1208" s="4" t="s">
        <v>239</v>
      </c>
    </row>
    <row r="1209" ht="18.0" customHeight="1">
      <c r="A1209" s="4" t="s">
        <v>54</v>
      </c>
      <c r="B1209" s="4">
        <v>38.0</v>
      </c>
      <c r="C1209" s="4" t="s">
        <v>761</v>
      </c>
      <c r="D1209" s="4" t="s">
        <v>762</v>
      </c>
      <c r="E1209" s="16">
        <v>1.0439709149068221E-4</v>
      </c>
      <c r="F1209" s="16">
        <v>0.9999907894030002</v>
      </c>
      <c r="G1209" s="16"/>
      <c r="H1209" s="16">
        <v>0.0</v>
      </c>
      <c r="I1209" s="16">
        <v>0.08333333333333333</v>
      </c>
      <c r="J1209" s="16">
        <v>0.2857142857142857</v>
      </c>
      <c r="K1209" s="4">
        <v>1.0</v>
      </c>
      <c r="L1209" s="4">
        <v>0.0</v>
      </c>
      <c r="M1209" s="4" t="s">
        <v>239</v>
      </c>
    </row>
    <row r="1210" ht="18.0" customHeight="1">
      <c r="A1210" s="4" t="s">
        <v>54</v>
      </c>
      <c r="B1210" s="4">
        <v>39.0</v>
      </c>
      <c r="C1210" s="4" t="s">
        <v>86</v>
      </c>
      <c r="D1210" s="4" t="s">
        <v>630</v>
      </c>
      <c r="E1210" s="16">
        <v>0.001091102254576981</v>
      </c>
      <c r="F1210" s="16">
        <v>0.9997943822381785</v>
      </c>
      <c r="G1210" s="16"/>
      <c r="H1210" s="16">
        <v>1.0</v>
      </c>
      <c r="I1210" s="16">
        <v>0.8125</v>
      </c>
      <c r="J1210" s="16">
        <v>0.16666666666666663</v>
      </c>
      <c r="K1210" s="4">
        <v>0.0</v>
      </c>
      <c r="M1210" s="4" t="s">
        <v>32</v>
      </c>
    </row>
    <row r="1211" ht="18.0" customHeight="1">
      <c r="A1211" s="4" t="s">
        <v>54</v>
      </c>
      <c r="B1211" s="4">
        <v>40.0</v>
      </c>
      <c r="C1211" s="4" t="s">
        <v>757</v>
      </c>
      <c r="D1211" s="4" t="s">
        <v>159</v>
      </c>
      <c r="E1211" s="16">
        <v>3.0908011831343174E-4</v>
      </c>
      <c r="F1211" s="16">
        <v>0.9999635083686371</v>
      </c>
      <c r="G1211" s="16"/>
      <c r="H1211" s="16">
        <v>0.45454545454545453</v>
      </c>
      <c r="I1211" s="16">
        <v>0.3333333333333333</v>
      </c>
      <c r="J1211" s="16">
        <v>0.5</v>
      </c>
      <c r="K1211" s="4">
        <v>0.0</v>
      </c>
      <c r="M1211" s="4" t="s">
        <v>32</v>
      </c>
    </row>
    <row r="1212" ht="18.0" customHeight="1">
      <c r="A1212" s="4" t="s">
        <v>54</v>
      </c>
      <c r="B1212" s="4">
        <v>41.0</v>
      </c>
      <c r="C1212" s="4" t="s">
        <v>101</v>
      </c>
      <c r="D1212" s="4" t="s">
        <v>100</v>
      </c>
      <c r="E1212" s="16">
        <v>0.0012603580253198743</v>
      </c>
      <c r="F1212" s="16">
        <v>0.9997517934825737</v>
      </c>
      <c r="G1212" s="16"/>
      <c r="H1212" s="16">
        <v>0.18181818181818182</v>
      </c>
      <c r="I1212" s="16">
        <v>0.125</v>
      </c>
      <c r="J1212" s="16">
        <v>0.0</v>
      </c>
      <c r="K1212" s="4">
        <v>0.0</v>
      </c>
      <c r="M1212" s="4" t="s">
        <v>32</v>
      </c>
    </row>
    <row r="1213" ht="18.0" customHeight="1">
      <c r="A1213" s="4" t="s">
        <v>54</v>
      </c>
      <c r="B1213" s="4">
        <v>42.0</v>
      </c>
      <c r="C1213" s="4" t="s">
        <v>397</v>
      </c>
      <c r="D1213" s="4" t="s">
        <v>398</v>
      </c>
      <c r="E1213" s="16">
        <v>2.2437477309722453E-4</v>
      </c>
      <c r="F1213" s="16">
        <v>0.9999764389885968</v>
      </c>
      <c r="G1213" s="16"/>
      <c r="H1213" s="16">
        <v>0.09090909090909091</v>
      </c>
      <c r="I1213" s="16">
        <v>0.03333333333333333</v>
      </c>
      <c r="J1213" s="16">
        <v>0.0</v>
      </c>
      <c r="K1213" s="4">
        <v>0.0</v>
      </c>
      <c r="M1213" s="4" t="s">
        <v>32</v>
      </c>
    </row>
    <row r="1214" ht="18.0" customHeight="1">
      <c r="A1214" s="4" t="s">
        <v>54</v>
      </c>
      <c r="B1214" s="4">
        <v>43.0</v>
      </c>
      <c r="C1214" s="4" t="s">
        <v>741</v>
      </c>
      <c r="D1214" s="4" t="s">
        <v>742</v>
      </c>
      <c r="E1214" s="16">
        <v>0.014822620898485184</v>
      </c>
      <c r="F1214" s="16">
        <v>0.9958930865395814</v>
      </c>
      <c r="G1214" s="16"/>
      <c r="H1214" s="16">
        <v>0.6363636363636364</v>
      </c>
      <c r="I1214" s="16">
        <v>0.5208333333333334</v>
      </c>
      <c r="J1214" s="16">
        <v>0.4</v>
      </c>
      <c r="K1214" s="4">
        <v>1.0</v>
      </c>
      <c r="L1214" s="4">
        <v>0.0</v>
      </c>
      <c r="M1214" s="4" t="s">
        <v>239</v>
      </c>
    </row>
    <row r="1215" ht="18.0" customHeight="1">
      <c r="A1215" s="4" t="s">
        <v>54</v>
      </c>
      <c r="B1215" s="4">
        <v>44.0</v>
      </c>
      <c r="C1215" s="4" t="s">
        <v>686</v>
      </c>
      <c r="D1215" s="4" t="s">
        <v>630</v>
      </c>
      <c r="E1215" s="16">
        <v>0.0023774546571075916</v>
      </c>
      <c r="F1215" s="16">
        <v>0.9994920937460847</v>
      </c>
      <c r="G1215" s="16"/>
      <c r="H1215" s="16">
        <v>0.6363636363636364</v>
      </c>
      <c r="I1215" s="16">
        <v>0.49583333333333335</v>
      </c>
      <c r="J1215" s="16">
        <v>0.4</v>
      </c>
      <c r="K1215" s="4">
        <v>0.0</v>
      </c>
      <c r="M1215" s="4" t="s">
        <v>32</v>
      </c>
    </row>
    <row r="1216" ht="18.0" customHeight="1">
      <c r="A1216" s="4" t="s">
        <v>54</v>
      </c>
      <c r="B1216" s="4">
        <v>45.0</v>
      </c>
      <c r="C1216" s="4" t="s">
        <v>159</v>
      </c>
      <c r="D1216" s="4" t="s">
        <v>86</v>
      </c>
      <c r="E1216" s="16">
        <v>4.782134055858478E-6</v>
      </c>
      <c r="F1216" s="16">
        <v>0.9999996124965378</v>
      </c>
      <c r="G1216" s="16"/>
      <c r="H1216" s="16">
        <v>0.0</v>
      </c>
      <c r="I1216" s="16">
        <v>0.020833333333333332</v>
      </c>
      <c r="J1216" s="16">
        <v>0.16666666666666663</v>
      </c>
      <c r="K1216" s="4">
        <v>1.0</v>
      </c>
      <c r="L1216" s="4">
        <v>0.0</v>
      </c>
      <c r="M1216" s="4" t="s">
        <v>239</v>
      </c>
    </row>
    <row r="1217" ht="18.0" customHeight="1">
      <c r="A1217" s="4" t="s">
        <v>54</v>
      </c>
      <c r="B1217" s="4">
        <v>46.0</v>
      </c>
      <c r="C1217" s="4" t="s">
        <v>160</v>
      </c>
      <c r="D1217" s="4" t="s">
        <v>159</v>
      </c>
      <c r="E1217" s="16">
        <v>1.2487929552662536E-6</v>
      </c>
      <c r="F1217" s="16">
        <v>0.9999998214888421</v>
      </c>
      <c r="G1217" s="16"/>
      <c r="H1217" s="16">
        <v>1.0</v>
      </c>
      <c r="I1217" s="16">
        <v>0.8125</v>
      </c>
      <c r="J1217" s="16">
        <v>0.0</v>
      </c>
      <c r="K1217" s="4">
        <v>0.0</v>
      </c>
      <c r="M1217" s="4" t="s">
        <v>32</v>
      </c>
    </row>
    <row r="1218" ht="18.0" customHeight="1">
      <c r="A1218" s="4" t="s">
        <v>54</v>
      </c>
      <c r="B1218" s="4">
        <v>47.0</v>
      </c>
      <c r="C1218" s="4" t="s">
        <v>634</v>
      </c>
      <c r="D1218" s="4" t="s">
        <v>762</v>
      </c>
      <c r="E1218" s="16">
        <v>2.679205863387324E-6</v>
      </c>
      <c r="F1218" s="16">
        <v>0.9999997958447011</v>
      </c>
      <c r="G1218" s="16"/>
      <c r="H1218" s="16">
        <v>0.0</v>
      </c>
      <c r="I1218" s="16">
        <v>0.08333333333333333</v>
      </c>
      <c r="J1218" s="16">
        <v>0.33333333333333337</v>
      </c>
      <c r="K1218" s="4">
        <v>0.0</v>
      </c>
      <c r="M1218" s="4" t="s">
        <v>32</v>
      </c>
    </row>
    <row r="1219" ht="18.0" customHeight="1">
      <c r="A1219" s="4" t="s">
        <v>54</v>
      </c>
      <c r="B1219" s="4">
        <v>48.0</v>
      </c>
      <c r="C1219" s="4" t="s">
        <v>169</v>
      </c>
      <c r="D1219" s="4" t="s">
        <v>630</v>
      </c>
      <c r="E1219" s="16">
        <v>1.0703937732614577E-4</v>
      </c>
      <c r="F1219" s="16">
        <v>0.9999852649320928</v>
      </c>
      <c r="G1219" s="16"/>
      <c r="H1219" s="16">
        <v>1.0</v>
      </c>
      <c r="I1219" s="16">
        <v>0.75</v>
      </c>
      <c r="J1219" s="16">
        <v>0.0</v>
      </c>
      <c r="K1219" s="4">
        <v>0.0</v>
      </c>
      <c r="M1219" s="4" t="s">
        <v>32</v>
      </c>
    </row>
    <row r="1220" ht="18.0" customHeight="1">
      <c r="A1220" s="4" t="s">
        <v>66</v>
      </c>
      <c r="B1220" s="4">
        <v>2.0</v>
      </c>
      <c r="C1220" s="4" t="s">
        <v>1194</v>
      </c>
      <c r="D1220" s="4" t="s">
        <v>1196</v>
      </c>
      <c r="E1220" s="16">
        <v>5.404333351179957E-4</v>
      </c>
      <c r="F1220" s="16">
        <v>0.9999373728096543</v>
      </c>
      <c r="G1220" s="16"/>
      <c r="H1220" s="16">
        <v>0.0</v>
      </c>
      <c r="I1220" s="16">
        <v>0.016666666666666666</v>
      </c>
      <c r="J1220" s="16">
        <v>0.5</v>
      </c>
      <c r="K1220" s="4">
        <v>0.0</v>
      </c>
      <c r="M1220" s="4" t="s">
        <v>32</v>
      </c>
    </row>
    <row r="1221" ht="18.0" customHeight="1">
      <c r="A1221" s="4" t="s">
        <v>66</v>
      </c>
      <c r="B1221" s="4">
        <v>3.0</v>
      </c>
      <c r="C1221" s="4" t="s">
        <v>155</v>
      </c>
      <c r="D1221" s="4" t="s">
        <v>311</v>
      </c>
      <c r="E1221" s="16">
        <v>8.474811329506338E-5</v>
      </c>
      <c r="F1221" s="16">
        <v>0.9999934868674245</v>
      </c>
      <c r="G1221" s="16"/>
      <c r="H1221" s="16">
        <v>1.0</v>
      </c>
      <c r="I1221" s="16">
        <v>0.4166666666666667</v>
      </c>
      <c r="J1221" s="16">
        <v>0.0</v>
      </c>
      <c r="K1221" s="4">
        <v>0.0</v>
      </c>
      <c r="M1221" s="4" t="s">
        <v>32</v>
      </c>
    </row>
    <row r="1222" ht="18.0" customHeight="1">
      <c r="A1222" s="4" t="s">
        <v>66</v>
      </c>
      <c r="B1222" s="4">
        <v>4.0</v>
      </c>
      <c r="C1222" s="4" t="s">
        <v>151</v>
      </c>
      <c r="D1222" s="4" t="s">
        <v>258</v>
      </c>
      <c r="E1222" s="16">
        <v>0.0026472508907318115</v>
      </c>
      <c r="F1222" s="16">
        <v>0.9994555728044361</v>
      </c>
      <c r="G1222" s="16"/>
      <c r="H1222" s="16">
        <v>1.0</v>
      </c>
      <c r="I1222" s="16">
        <v>0.47500000000000003</v>
      </c>
      <c r="J1222" s="16">
        <v>0.3846153846153846</v>
      </c>
      <c r="K1222" s="4">
        <v>0.0</v>
      </c>
      <c r="M1222" s="4" t="s">
        <v>32</v>
      </c>
    </row>
    <row r="1223" ht="18.0" customHeight="1">
      <c r="A1223" s="4" t="s">
        <v>66</v>
      </c>
      <c r="B1223" s="4">
        <v>5.0</v>
      </c>
      <c r="C1223" s="4" t="s">
        <v>785</v>
      </c>
      <c r="D1223" s="4" t="s">
        <v>1205</v>
      </c>
      <c r="E1223" s="16">
        <v>4.798132285941392E-4</v>
      </c>
      <c r="F1223" s="16">
        <v>0.9999370201785496</v>
      </c>
      <c r="G1223" s="16"/>
      <c r="H1223" s="16">
        <v>0.09090909090909091</v>
      </c>
      <c r="I1223" s="16">
        <v>0.03333333333333333</v>
      </c>
      <c r="J1223" s="16">
        <v>0.0</v>
      </c>
      <c r="K1223" s="4">
        <v>0.0</v>
      </c>
      <c r="M1223" s="4" t="s">
        <v>32</v>
      </c>
    </row>
    <row r="1224" ht="18.0" customHeight="1">
      <c r="A1224" s="4" t="s">
        <v>66</v>
      </c>
      <c r="B1224" s="4">
        <v>6.0</v>
      </c>
      <c r="C1224" s="4" t="s">
        <v>139</v>
      </c>
      <c r="D1224" s="4" t="s">
        <v>140</v>
      </c>
      <c r="E1224" s="16">
        <v>0.022940004244446754</v>
      </c>
      <c r="F1224" s="16">
        <v>0.9936573405284435</v>
      </c>
      <c r="G1224" s="16"/>
      <c r="H1224" s="16">
        <v>1.0</v>
      </c>
      <c r="I1224" s="16">
        <v>0.43333333333333335</v>
      </c>
      <c r="J1224" s="16">
        <v>0.33333333333333337</v>
      </c>
      <c r="K1224" s="4">
        <v>0.0</v>
      </c>
      <c r="M1224" s="4" t="s">
        <v>32</v>
      </c>
    </row>
    <row r="1225" ht="18.0" customHeight="1">
      <c r="A1225" s="4" t="s">
        <v>66</v>
      </c>
      <c r="B1225" s="4">
        <v>7.0</v>
      </c>
      <c r="C1225" s="4" t="s">
        <v>232</v>
      </c>
      <c r="D1225" s="4" t="s">
        <v>159</v>
      </c>
      <c r="E1225" s="16">
        <v>0.001654377207159996</v>
      </c>
      <c r="F1225" s="16">
        <v>0.9997854732646374</v>
      </c>
      <c r="G1225" s="16"/>
      <c r="H1225" s="16">
        <v>0.2727272727272727</v>
      </c>
      <c r="I1225" s="16">
        <v>0.05833333333333333</v>
      </c>
      <c r="J1225" s="16">
        <v>0.0</v>
      </c>
      <c r="K1225" s="4">
        <v>0.0</v>
      </c>
      <c r="M1225" s="4" t="s">
        <v>32</v>
      </c>
    </row>
    <row r="1226" ht="18.0" customHeight="1">
      <c r="A1226" s="4" t="s">
        <v>66</v>
      </c>
      <c r="B1226" s="4">
        <v>8.0</v>
      </c>
      <c r="C1226" s="4" t="s">
        <v>798</v>
      </c>
      <c r="D1226" s="4" t="s">
        <v>587</v>
      </c>
      <c r="E1226" s="16">
        <v>1.5939441919326782</v>
      </c>
      <c r="F1226" s="16">
        <v>0.06466920673847198</v>
      </c>
      <c r="G1226" s="16"/>
      <c r="H1226" s="16">
        <v>0.09090909090909091</v>
      </c>
      <c r="I1226" s="16">
        <v>0.05833333333333333</v>
      </c>
      <c r="J1226" s="16">
        <v>0.0</v>
      </c>
      <c r="K1226" s="4">
        <v>1.0</v>
      </c>
      <c r="L1226" s="4">
        <v>0.0</v>
      </c>
      <c r="M1226" s="4" t="s">
        <v>239</v>
      </c>
    </row>
    <row r="1227" ht="18.0" customHeight="1">
      <c r="A1227" s="4" t="s">
        <v>66</v>
      </c>
      <c r="B1227" s="4">
        <v>9.0</v>
      </c>
      <c r="C1227" s="4" t="s">
        <v>180</v>
      </c>
      <c r="D1227" s="4" t="s">
        <v>1206</v>
      </c>
      <c r="E1227" s="16">
        <v>3.9142672903835773E-4</v>
      </c>
      <c r="F1227" s="16">
        <v>0.9999495148331334</v>
      </c>
      <c r="G1227" s="16"/>
      <c r="H1227" s="16">
        <v>1.0</v>
      </c>
      <c r="I1227" s="16">
        <v>0.5583333333333333</v>
      </c>
      <c r="J1227" s="16">
        <v>0.20283018867924527</v>
      </c>
      <c r="K1227" s="4">
        <v>0.0</v>
      </c>
      <c r="M1227" s="4" t="s">
        <v>32</v>
      </c>
    </row>
    <row r="1228" ht="18.0" customHeight="1">
      <c r="A1228" s="4" t="s">
        <v>66</v>
      </c>
      <c r="B1228" s="4">
        <v>10.0</v>
      </c>
      <c r="C1228" s="4" t="s">
        <v>263</v>
      </c>
      <c r="D1228" s="4" t="s">
        <v>806</v>
      </c>
      <c r="E1228" s="16">
        <v>0.05213136970996857</v>
      </c>
      <c r="F1228" s="16">
        <v>0.9827665807679296</v>
      </c>
      <c r="G1228" s="16"/>
      <c r="H1228" s="16">
        <v>1.0</v>
      </c>
      <c r="I1228" s="16">
        <v>0.43333333333333335</v>
      </c>
      <c r="J1228" s="16">
        <v>0.19999999999999996</v>
      </c>
      <c r="K1228" s="4">
        <v>1.0</v>
      </c>
      <c r="L1228" s="4">
        <v>1.0</v>
      </c>
      <c r="M1228" s="4" t="s">
        <v>486</v>
      </c>
    </row>
    <row r="1229" ht="18.0" customHeight="1">
      <c r="A1229" s="4" t="s">
        <v>66</v>
      </c>
      <c r="B1229" s="4">
        <v>11.0</v>
      </c>
      <c r="C1229" s="4" t="s">
        <v>155</v>
      </c>
      <c r="D1229" s="4" t="s">
        <v>829</v>
      </c>
      <c r="E1229" s="16">
        <v>3.0997596331872046E-4</v>
      </c>
      <c r="F1229" s="16">
        <v>0.9999488811918127</v>
      </c>
      <c r="G1229" s="16"/>
      <c r="H1229" s="16">
        <v>1.0</v>
      </c>
      <c r="I1229" s="16">
        <v>0.5</v>
      </c>
      <c r="J1229" s="16">
        <v>0.346843853820598</v>
      </c>
      <c r="K1229" s="4">
        <v>0.0</v>
      </c>
      <c r="M1229" s="4" t="s">
        <v>32</v>
      </c>
    </row>
    <row r="1230" ht="18.0" customHeight="1">
      <c r="A1230" s="4" t="s">
        <v>66</v>
      </c>
      <c r="B1230" s="4">
        <v>12.0</v>
      </c>
      <c r="C1230" s="4" t="s">
        <v>591</v>
      </c>
      <c r="D1230" s="4" t="s">
        <v>776</v>
      </c>
      <c r="E1230" s="16">
        <v>0.00733933225274086</v>
      </c>
      <c r="F1230" s="16">
        <v>0.9985450168605894</v>
      </c>
      <c r="G1230" s="16"/>
      <c r="H1230" s="16">
        <v>1.0</v>
      </c>
      <c r="I1230" s="16">
        <v>0.4583333333333333</v>
      </c>
      <c r="J1230" s="16">
        <v>0.75</v>
      </c>
      <c r="K1230" s="4">
        <v>1.0</v>
      </c>
      <c r="L1230" s="4">
        <v>0.0</v>
      </c>
      <c r="M1230" s="4" t="s">
        <v>239</v>
      </c>
    </row>
    <row r="1231" ht="18.0" customHeight="1">
      <c r="A1231" s="4" t="s">
        <v>66</v>
      </c>
      <c r="B1231" s="4">
        <v>13.0</v>
      </c>
      <c r="C1231" s="4" t="s">
        <v>232</v>
      </c>
      <c r="D1231" s="4" t="s">
        <v>289</v>
      </c>
      <c r="E1231" s="16">
        <v>4.612270276993513E-4</v>
      </c>
      <c r="F1231" s="16">
        <v>0.9999222497172013</v>
      </c>
      <c r="G1231" s="16"/>
      <c r="H1231" s="16">
        <v>1.0</v>
      </c>
      <c r="I1231" s="16">
        <v>0.4083333333333334</v>
      </c>
      <c r="J1231" s="16">
        <v>0.7142857142857143</v>
      </c>
      <c r="K1231" s="4">
        <v>0.0</v>
      </c>
      <c r="M1231" s="4" t="s">
        <v>32</v>
      </c>
    </row>
    <row r="1232" ht="18.0" customHeight="1">
      <c r="A1232" s="4" t="s">
        <v>66</v>
      </c>
      <c r="B1232" s="4">
        <v>14.0</v>
      </c>
      <c r="C1232" s="4" t="s">
        <v>95</v>
      </c>
      <c r="D1232" s="4" t="s">
        <v>94</v>
      </c>
      <c r="E1232" s="16">
        <v>1.1298497915267944</v>
      </c>
      <c r="F1232" s="16">
        <v>0.3213545233011246</v>
      </c>
      <c r="G1232" s="16"/>
      <c r="H1232" s="16">
        <v>1.0</v>
      </c>
      <c r="I1232" s="16">
        <v>0.5625</v>
      </c>
      <c r="J1232" s="16">
        <v>0.75</v>
      </c>
      <c r="K1232" s="4">
        <v>1.0</v>
      </c>
      <c r="L1232" s="4">
        <v>1.0</v>
      </c>
      <c r="M1232" s="4" t="s">
        <v>486</v>
      </c>
    </row>
    <row r="1233" ht="18.0" customHeight="1">
      <c r="A1233" s="4" t="s">
        <v>66</v>
      </c>
      <c r="B1233" s="4">
        <v>15.0</v>
      </c>
      <c r="C1233" s="4" t="s">
        <v>180</v>
      </c>
      <c r="D1233" s="4" t="s">
        <v>531</v>
      </c>
      <c r="E1233" s="16">
        <v>0.002435151254758239</v>
      </c>
      <c r="F1233" s="16">
        <v>0.9995744023035513</v>
      </c>
      <c r="G1233" s="16"/>
      <c r="H1233" s="16">
        <v>1.0</v>
      </c>
      <c r="I1233" s="16">
        <v>0.5625</v>
      </c>
      <c r="J1233" s="16">
        <v>0.1622641509433962</v>
      </c>
      <c r="K1233" s="4">
        <v>0.0</v>
      </c>
      <c r="M1233" s="4" t="s">
        <v>32</v>
      </c>
    </row>
    <row r="1234" ht="18.0" customHeight="1">
      <c r="A1234" s="4" t="s">
        <v>66</v>
      </c>
      <c r="B1234" s="4">
        <v>16.0</v>
      </c>
      <c r="C1234" s="4" t="s">
        <v>710</v>
      </c>
      <c r="D1234" s="4" t="s">
        <v>782</v>
      </c>
      <c r="E1234" s="16">
        <v>1.447266695322469E-4</v>
      </c>
      <c r="F1234" s="16">
        <v>0.9999860168338728</v>
      </c>
      <c r="G1234" s="16"/>
      <c r="H1234" s="16">
        <v>0.0</v>
      </c>
      <c r="I1234" s="16">
        <v>0.041666666666666664</v>
      </c>
      <c r="J1234" s="16">
        <v>0.19999999999999996</v>
      </c>
      <c r="K1234" s="4">
        <v>1.0</v>
      </c>
      <c r="L1234" s="4">
        <v>0.0</v>
      </c>
      <c r="M1234" s="4" t="s">
        <v>239</v>
      </c>
    </row>
    <row r="1235" ht="18.0" customHeight="1">
      <c r="A1235" s="4" t="s">
        <v>66</v>
      </c>
      <c r="B1235" s="4">
        <v>17.0</v>
      </c>
      <c r="C1235" s="4" t="s">
        <v>1207</v>
      </c>
      <c r="D1235" s="4" t="s">
        <v>798</v>
      </c>
      <c r="E1235" s="16">
        <v>2.3501228497480042E-5</v>
      </c>
      <c r="F1235" s="16">
        <v>0.9999978908151661</v>
      </c>
      <c r="G1235" s="16"/>
      <c r="H1235" s="16">
        <v>0.18181818181818182</v>
      </c>
      <c r="I1235" s="16">
        <v>0.125</v>
      </c>
      <c r="J1235" s="16">
        <v>0.4</v>
      </c>
      <c r="K1235" s="4">
        <v>0.0</v>
      </c>
      <c r="M1235" s="4" t="s">
        <v>32</v>
      </c>
    </row>
    <row r="1236" ht="18.0" customHeight="1">
      <c r="A1236" s="4" t="s">
        <v>66</v>
      </c>
      <c r="B1236" s="4">
        <v>18.0</v>
      </c>
      <c r="C1236" s="4" t="s">
        <v>591</v>
      </c>
      <c r="D1236" s="4" t="s">
        <v>1208</v>
      </c>
      <c r="E1236" s="16">
        <v>0.031623855233192444</v>
      </c>
      <c r="F1236" s="16">
        <v>0.9900178234092891</v>
      </c>
      <c r="G1236" s="16"/>
      <c r="H1236" s="16">
        <v>0.0</v>
      </c>
      <c r="I1236" s="16">
        <v>0.0</v>
      </c>
      <c r="J1236" s="16">
        <v>0.0</v>
      </c>
      <c r="K1236" s="4">
        <v>0.0</v>
      </c>
      <c r="M1236" s="4" t="s">
        <v>32</v>
      </c>
    </row>
    <row r="1237" ht="18.0" customHeight="1">
      <c r="A1237" s="4" t="s">
        <v>66</v>
      </c>
      <c r="B1237" s="4">
        <v>19.0</v>
      </c>
      <c r="C1237" s="4" t="s">
        <v>232</v>
      </c>
      <c r="D1237" s="4" t="s">
        <v>289</v>
      </c>
      <c r="E1237" s="16">
        <v>0.2234737128019333</v>
      </c>
      <c r="F1237" s="16">
        <v>0.8832301385700703</v>
      </c>
      <c r="G1237" s="16"/>
      <c r="H1237" s="16">
        <v>1.0</v>
      </c>
      <c r="I1237" s="16">
        <v>0.5416666666666666</v>
      </c>
      <c r="J1237" s="16">
        <v>0.0</v>
      </c>
      <c r="K1237" s="4">
        <v>0.0</v>
      </c>
      <c r="M1237" s="4" t="s">
        <v>32</v>
      </c>
    </row>
    <row r="1238" ht="18.0" customHeight="1">
      <c r="A1238" s="4" t="s">
        <v>66</v>
      </c>
      <c r="B1238" s="4">
        <v>20.0</v>
      </c>
      <c r="C1238" s="4" t="s">
        <v>94</v>
      </c>
      <c r="D1238" s="4" t="s">
        <v>785</v>
      </c>
      <c r="E1238" s="16">
        <v>0.2744290828704834</v>
      </c>
      <c r="F1238" s="16">
        <v>0.8478021770715714</v>
      </c>
      <c r="G1238" s="16"/>
      <c r="H1238" s="16">
        <v>1.0</v>
      </c>
      <c r="I1238" s="16">
        <v>0.6041666666666666</v>
      </c>
      <c r="J1238" s="16">
        <v>0.8888888888888888</v>
      </c>
      <c r="K1238" s="4">
        <v>1.0</v>
      </c>
      <c r="L1238" s="4">
        <v>0.0</v>
      </c>
      <c r="M1238" s="4" t="s">
        <v>239</v>
      </c>
    </row>
    <row r="1239" ht="18.0" customHeight="1">
      <c r="A1239" s="4" t="s">
        <v>66</v>
      </c>
      <c r="B1239" s="4">
        <v>21.0</v>
      </c>
      <c r="C1239" s="4" t="s">
        <v>785</v>
      </c>
      <c r="D1239" s="4" t="s">
        <v>95</v>
      </c>
      <c r="E1239" s="16">
        <v>0.045866578817367554</v>
      </c>
      <c r="F1239" s="16">
        <v>0.9851056248880923</v>
      </c>
      <c r="G1239" s="16"/>
      <c r="H1239" s="16">
        <v>0.18181818181818182</v>
      </c>
      <c r="I1239" s="16">
        <v>0.11666666666666665</v>
      </c>
      <c r="J1239" s="16">
        <v>0.4</v>
      </c>
      <c r="K1239" s="4">
        <v>0.0</v>
      </c>
      <c r="M1239" s="4" t="s">
        <v>32</v>
      </c>
    </row>
    <row r="1240" ht="18.0" customHeight="1">
      <c r="A1240" s="4" t="s">
        <v>66</v>
      </c>
      <c r="B1240" s="4">
        <v>22.0</v>
      </c>
      <c r="C1240" s="4" t="s">
        <v>803</v>
      </c>
      <c r="D1240" s="4" t="s">
        <v>327</v>
      </c>
      <c r="E1240" s="16">
        <v>0.7748032808303833</v>
      </c>
      <c r="F1240" s="16">
        <v>0.08438101410865784</v>
      </c>
      <c r="G1240" s="16"/>
      <c r="H1240" s="16">
        <v>0.09090909090909091</v>
      </c>
      <c r="I1240" s="16">
        <v>0.16666666666666666</v>
      </c>
      <c r="J1240" s="16">
        <v>0.359447004608295</v>
      </c>
      <c r="K1240" s="4">
        <v>1.0</v>
      </c>
      <c r="L1240" s="4">
        <v>1.0</v>
      </c>
      <c r="M1240" s="4" t="s">
        <v>486</v>
      </c>
    </row>
    <row r="1241" ht="18.0" customHeight="1">
      <c r="A1241" s="4" t="s">
        <v>66</v>
      </c>
      <c r="B1241" s="4">
        <v>23.0</v>
      </c>
      <c r="C1241" s="4" t="s">
        <v>95</v>
      </c>
      <c r="D1241" s="4" t="s">
        <v>710</v>
      </c>
      <c r="E1241" s="16">
        <v>1.020012132357806E-4</v>
      </c>
      <c r="F1241" s="16">
        <v>0.999987694146057</v>
      </c>
      <c r="G1241" s="16"/>
      <c r="H1241" s="16">
        <v>1.0</v>
      </c>
      <c r="I1241" s="16">
        <v>0.39166666666666666</v>
      </c>
      <c r="J1241" s="16">
        <v>0.16666666666666663</v>
      </c>
      <c r="K1241" s="4">
        <v>1.0</v>
      </c>
      <c r="L1241" s="4">
        <v>0.0</v>
      </c>
      <c r="M1241" s="4" t="s">
        <v>239</v>
      </c>
    </row>
    <row r="1242" ht="18.0" customHeight="1">
      <c r="A1242" s="4" t="s">
        <v>66</v>
      </c>
      <c r="B1242" s="4">
        <v>24.0</v>
      </c>
      <c r="C1242" s="4" t="s">
        <v>225</v>
      </c>
      <c r="D1242" s="4" t="s">
        <v>258</v>
      </c>
      <c r="E1242" s="16">
        <v>0.0012281204108148813</v>
      </c>
      <c r="F1242" s="16">
        <v>0.9997762650964432</v>
      </c>
      <c r="G1242" s="16"/>
      <c r="H1242" s="16">
        <v>1.0</v>
      </c>
      <c r="I1242" s="16">
        <v>0.3958333333333333</v>
      </c>
      <c r="J1242" s="16">
        <v>0.0</v>
      </c>
      <c r="K1242" s="4">
        <v>0.0</v>
      </c>
      <c r="M1242" s="4" t="s">
        <v>32</v>
      </c>
    </row>
    <row r="1243" ht="18.0" customHeight="1">
      <c r="A1243" s="4" t="s">
        <v>66</v>
      </c>
      <c r="B1243" s="4">
        <v>25.0</v>
      </c>
      <c r="C1243" s="4" t="s">
        <v>326</v>
      </c>
      <c r="D1243" s="4" t="s">
        <v>232</v>
      </c>
      <c r="E1243" s="16">
        <v>5.8948586229234934E-5</v>
      </c>
      <c r="F1243" s="16">
        <v>0.999994996338728</v>
      </c>
      <c r="G1243" s="16"/>
      <c r="H1243" s="16">
        <v>0.45454545454545453</v>
      </c>
      <c r="I1243" s="16">
        <v>0.16666666666666666</v>
      </c>
      <c r="J1243" s="16">
        <v>0.33333333333333337</v>
      </c>
      <c r="K1243" s="4">
        <v>0.0</v>
      </c>
      <c r="M1243" s="4" t="s">
        <v>32</v>
      </c>
    </row>
    <row r="1244" ht="18.0" customHeight="1">
      <c r="A1244" s="4" t="s">
        <v>66</v>
      </c>
      <c r="B1244" s="4">
        <v>26.0</v>
      </c>
      <c r="C1244" s="4" t="s">
        <v>163</v>
      </c>
      <c r="D1244" s="4" t="s">
        <v>785</v>
      </c>
      <c r="E1244" s="16">
        <v>0.006832055747509003</v>
      </c>
      <c r="F1244" s="16">
        <v>0.998697021510452</v>
      </c>
      <c r="G1244" s="16"/>
      <c r="H1244" s="16">
        <v>1.0</v>
      </c>
      <c r="I1244" s="16">
        <v>0.5583333333333333</v>
      </c>
      <c r="J1244" s="16">
        <v>0.22933333333333336</v>
      </c>
      <c r="K1244" s="4">
        <v>0.0</v>
      </c>
      <c r="M1244" s="4" t="s">
        <v>32</v>
      </c>
    </row>
    <row r="1245" ht="18.0" customHeight="1">
      <c r="A1245" s="4" t="s">
        <v>66</v>
      </c>
      <c r="B1245" s="4">
        <v>27.0</v>
      </c>
      <c r="C1245" s="4" t="s">
        <v>798</v>
      </c>
      <c r="D1245" s="4" t="s">
        <v>1198</v>
      </c>
      <c r="E1245" s="16">
        <v>0.007485842797905207</v>
      </c>
      <c r="F1245" s="16">
        <v>0.9985121383215301</v>
      </c>
      <c r="G1245" s="16"/>
      <c r="H1245" s="16">
        <v>1.0</v>
      </c>
      <c r="I1245" s="16">
        <v>0.35000000000000003</v>
      </c>
      <c r="J1245" s="16">
        <v>0.75</v>
      </c>
      <c r="K1245" s="4">
        <v>0.0</v>
      </c>
      <c r="M1245" s="4" t="s">
        <v>32</v>
      </c>
    </row>
    <row r="1246" ht="18.0" customHeight="1">
      <c r="A1246" s="4" t="s">
        <v>66</v>
      </c>
      <c r="B1246" s="4">
        <v>28.0</v>
      </c>
      <c r="C1246" s="4" t="s">
        <v>789</v>
      </c>
      <c r="D1246" s="4" t="s">
        <v>217</v>
      </c>
      <c r="E1246" s="16">
        <v>2.7904502348974347E-4</v>
      </c>
      <c r="F1246" s="16">
        <v>0.9999686273322368</v>
      </c>
      <c r="G1246" s="16"/>
      <c r="H1246" s="16">
        <v>1.0</v>
      </c>
      <c r="I1246" s="16">
        <v>0.5</v>
      </c>
      <c r="J1246" s="16">
        <v>0.44623655913978494</v>
      </c>
      <c r="K1246" s="4">
        <v>1.0</v>
      </c>
      <c r="L1246" s="4">
        <v>0.0</v>
      </c>
      <c r="M1246" s="4" t="s">
        <v>239</v>
      </c>
    </row>
    <row r="1247" ht="18.0" customHeight="1">
      <c r="A1247" s="4" t="s">
        <v>66</v>
      </c>
      <c r="B1247" s="4">
        <v>29.0</v>
      </c>
      <c r="C1247" s="4" t="s">
        <v>181</v>
      </c>
      <c r="D1247" s="4" t="s">
        <v>779</v>
      </c>
      <c r="E1247" s="16">
        <v>5.399102519731969E-6</v>
      </c>
      <c r="F1247" s="16">
        <v>0.9999996630423311</v>
      </c>
      <c r="G1247" s="16"/>
      <c r="H1247" s="16">
        <v>1.0</v>
      </c>
      <c r="I1247" s="16">
        <v>0.4583333333333333</v>
      </c>
      <c r="J1247" s="16">
        <v>0.16190476190476188</v>
      </c>
      <c r="K1247" s="4">
        <v>0.0</v>
      </c>
      <c r="M1247" s="4" t="s">
        <v>32</v>
      </c>
    </row>
    <row r="1248" ht="18.0" customHeight="1">
      <c r="A1248" s="4" t="s">
        <v>66</v>
      </c>
      <c r="B1248" s="4">
        <v>30.0</v>
      </c>
      <c r="C1248" s="4" t="s">
        <v>779</v>
      </c>
      <c r="D1248" s="4" t="s">
        <v>194</v>
      </c>
      <c r="E1248" s="16">
        <v>0.0011567873880267143</v>
      </c>
      <c r="F1248" s="16">
        <v>0.9998218889595591</v>
      </c>
      <c r="G1248" s="16"/>
      <c r="H1248" s="16">
        <v>1.0</v>
      </c>
      <c r="I1248" s="16">
        <v>0.4708333333333334</v>
      </c>
      <c r="J1248" s="16">
        <v>0.45098039215686264</v>
      </c>
      <c r="K1248" s="4">
        <v>1.0</v>
      </c>
      <c r="L1248" s="4">
        <v>0.0</v>
      </c>
      <c r="M1248" s="4" t="s">
        <v>239</v>
      </c>
    </row>
    <row r="1249" ht="18.0" customHeight="1">
      <c r="A1249" s="4" t="s">
        <v>66</v>
      </c>
      <c r="B1249" s="4">
        <v>31.0</v>
      </c>
      <c r="C1249" s="4" t="s">
        <v>232</v>
      </c>
      <c r="D1249" s="4" t="s">
        <v>289</v>
      </c>
      <c r="E1249" s="16">
        <v>8.755762246437371E-4</v>
      </c>
      <c r="F1249" s="16">
        <v>0.9998429728730116</v>
      </c>
      <c r="G1249" s="16"/>
      <c r="H1249" s="16">
        <v>1.0</v>
      </c>
      <c r="I1249" s="16">
        <v>0.5208333333333334</v>
      </c>
      <c r="J1249" s="16">
        <v>0.16190476190476188</v>
      </c>
      <c r="K1249" s="4">
        <v>0.0</v>
      </c>
      <c r="M1249" s="4" t="s">
        <v>32</v>
      </c>
    </row>
    <row r="1250" ht="18.0" customHeight="1">
      <c r="A1250" s="4" t="s">
        <v>66</v>
      </c>
      <c r="B1250" s="4">
        <v>32.0</v>
      </c>
      <c r="C1250" s="4" t="s">
        <v>785</v>
      </c>
      <c r="D1250" s="4" t="s">
        <v>261</v>
      </c>
      <c r="E1250" s="16">
        <v>0.9490073323249817</v>
      </c>
      <c r="F1250" s="16">
        <v>0.10685640573501587</v>
      </c>
      <c r="G1250" s="16"/>
      <c r="H1250" s="16">
        <v>0.9090909090909091</v>
      </c>
      <c r="I1250" s="16">
        <v>0.5</v>
      </c>
      <c r="J1250" s="16">
        <v>0.40566037735849053</v>
      </c>
      <c r="K1250" s="4">
        <v>1.0</v>
      </c>
      <c r="L1250" s="4">
        <v>0.0</v>
      </c>
      <c r="M1250" s="4" t="s">
        <v>239</v>
      </c>
    </row>
    <row r="1251" ht="18.0" customHeight="1">
      <c r="A1251" s="4" t="s">
        <v>66</v>
      </c>
      <c r="B1251" s="4">
        <v>33.0</v>
      </c>
      <c r="C1251" s="4" t="s">
        <v>794</v>
      </c>
      <c r="D1251" s="4" t="s">
        <v>180</v>
      </c>
      <c r="E1251" s="16">
        <v>0.6929513216018677</v>
      </c>
      <c r="F1251" s="16">
        <v>0.046837180852890015</v>
      </c>
      <c r="G1251" s="16"/>
      <c r="H1251" s="16">
        <v>1.0</v>
      </c>
      <c r="I1251" s="16">
        <v>0.5333333333333333</v>
      </c>
      <c r="J1251" s="16">
        <v>0.0</v>
      </c>
      <c r="K1251" s="4">
        <v>1.0</v>
      </c>
      <c r="L1251" s="4">
        <v>0.0</v>
      </c>
      <c r="M1251" s="4" t="s">
        <v>239</v>
      </c>
    </row>
    <row r="1252" ht="18.0" customHeight="1">
      <c r="A1252" s="4" t="s">
        <v>66</v>
      </c>
      <c r="B1252" s="4">
        <v>34.0</v>
      </c>
      <c r="C1252" s="4" t="s">
        <v>95</v>
      </c>
      <c r="D1252" s="4" t="s">
        <v>1209</v>
      </c>
      <c r="E1252" s="16">
        <v>4.123110556975007E-5</v>
      </c>
      <c r="F1252" s="16">
        <v>0.9999965616947293</v>
      </c>
      <c r="G1252" s="16"/>
      <c r="H1252" s="16">
        <v>0.0</v>
      </c>
      <c r="I1252" s="16">
        <v>0.016666666666666666</v>
      </c>
      <c r="J1252" s="16">
        <v>0.0</v>
      </c>
      <c r="K1252" s="4">
        <v>0.0</v>
      </c>
      <c r="M1252" s="4" t="s">
        <v>32</v>
      </c>
    </row>
    <row r="1253" ht="18.0" customHeight="1">
      <c r="A1253" s="4" t="s">
        <v>66</v>
      </c>
      <c r="B1253" s="4">
        <v>35.0</v>
      </c>
      <c r="C1253" s="4" t="s">
        <v>122</v>
      </c>
      <c r="D1253" s="4" t="s">
        <v>159</v>
      </c>
      <c r="E1253" s="16">
        <v>0.002869056072086096</v>
      </c>
      <c r="F1253" s="16">
        <v>0.9994357297837269</v>
      </c>
      <c r="G1253" s="16"/>
      <c r="H1253" s="16">
        <v>1.0</v>
      </c>
      <c r="I1253" s="16">
        <v>0.4041666666666666</v>
      </c>
      <c r="J1253" s="16">
        <v>0.058823529411764705</v>
      </c>
      <c r="K1253" s="4">
        <v>0.0</v>
      </c>
      <c r="M1253" s="4" t="s">
        <v>32</v>
      </c>
    </row>
    <row r="1254" ht="18.0" customHeight="1">
      <c r="A1254" s="4" t="s">
        <v>66</v>
      </c>
      <c r="B1254" s="4">
        <v>36.0</v>
      </c>
      <c r="C1254" s="4" t="s">
        <v>232</v>
      </c>
      <c r="D1254" s="4" t="s">
        <v>763</v>
      </c>
      <c r="E1254" s="16">
        <v>1.2225631508044899E-5</v>
      </c>
      <c r="F1254" s="16">
        <v>0.9999990614357728</v>
      </c>
      <c r="G1254" s="16"/>
      <c r="H1254" s="16">
        <v>0.0</v>
      </c>
      <c r="I1254" s="16">
        <v>0.0</v>
      </c>
      <c r="J1254" s="16">
        <v>0.0</v>
      </c>
      <c r="K1254" s="4">
        <v>0.0</v>
      </c>
      <c r="M1254" s="4" t="s">
        <v>32</v>
      </c>
    </row>
    <row r="1255" ht="18.0" customHeight="1">
      <c r="A1255" s="4" t="s">
        <v>51</v>
      </c>
      <c r="B1255" s="4">
        <v>2.0</v>
      </c>
      <c r="C1255" s="4" t="s">
        <v>122</v>
      </c>
      <c r="D1255" s="4" t="s">
        <v>220</v>
      </c>
      <c r="E1255" s="16">
        <v>0.0011808135313913226</v>
      </c>
      <c r="F1255" s="16">
        <v>0.9998273492092267</v>
      </c>
      <c r="G1255" s="16"/>
      <c r="H1255" s="16">
        <v>0.0</v>
      </c>
      <c r="I1255" s="16">
        <v>0.0</v>
      </c>
      <c r="J1255" s="16">
        <v>0.0</v>
      </c>
      <c r="K1255" s="4">
        <v>0.0</v>
      </c>
      <c r="M1255" s="4" t="s">
        <v>32</v>
      </c>
    </row>
    <row r="1256" ht="18.0" customHeight="1">
      <c r="A1256" s="4" t="s">
        <v>51</v>
      </c>
      <c r="B1256" s="4">
        <v>3.0</v>
      </c>
      <c r="C1256" s="4" t="s">
        <v>231</v>
      </c>
      <c r="D1256" s="4" t="s">
        <v>445</v>
      </c>
      <c r="E1256" s="16">
        <v>0.33674201369285583</v>
      </c>
      <c r="F1256" s="16">
        <v>0.8138073831796646</v>
      </c>
      <c r="G1256" s="16"/>
      <c r="H1256" s="16">
        <v>1.0</v>
      </c>
      <c r="I1256" s="16">
        <v>0.6458333333333334</v>
      </c>
      <c r="J1256" s="16">
        <v>0.5661375661375662</v>
      </c>
      <c r="K1256" s="4">
        <v>1.0</v>
      </c>
      <c r="L1256" s="4">
        <v>1.0</v>
      </c>
      <c r="M1256" s="4" t="s">
        <v>486</v>
      </c>
    </row>
    <row r="1257" ht="18.0" customHeight="1">
      <c r="A1257" s="4" t="s">
        <v>51</v>
      </c>
      <c r="B1257" s="4">
        <v>4.0</v>
      </c>
      <c r="C1257" s="4" t="s">
        <v>83</v>
      </c>
      <c r="D1257" s="4" t="s">
        <v>810</v>
      </c>
      <c r="E1257" s="16">
        <v>1.0392363765276968E-4</v>
      </c>
      <c r="F1257" s="16">
        <v>0.999992028226302</v>
      </c>
      <c r="G1257" s="16"/>
      <c r="H1257" s="16">
        <v>0.2727272727272727</v>
      </c>
      <c r="I1257" s="16">
        <v>0.18333333333333335</v>
      </c>
      <c r="J1257" s="16">
        <v>0.2857142857142857</v>
      </c>
      <c r="K1257" s="4">
        <v>1.0</v>
      </c>
      <c r="L1257" s="4">
        <v>0.0</v>
      </c>
      <c r="M1257" s="4" t="s">
        <v>239</v>
      </c>
    </row>
    <row r="1258" ht="18.0" customHeight="1">
      <c r="A1258" s="4" t="s">
        <v>51</v>
      </c>
      <c r="B1258" s="4">
        <v>5.0</v>
      </c>
      <c r="C1258" s="4" t="s">
        <v>814</v>
      </c>
      <c r="D1258" s="4" t="s">
        <v>815</v>
      </c>
      <c r="E1258" s="16">
        <v>4.429569817148149E-4</v>
      </c>
      <c r="F1258" s="16">
        <v>0.999947889466057</v>
      </c>
      <c r="G1258" s="16"/>
      <c r="H1258" s="16">
        <v>0.0</v>
      </c>
      <c r="I1258" s="16">
        <v>0.016666666666666666</v>
      </c>
      <c r="J1258" s="16">
        <v>0.25</v>
      </c>
      <c r="K1258" s="4">
        <v>1.0</v>
      </c>
      <c r="L1258" s="4">
        <v>0.0</v>
      </c>
      <c r="M1258" s="4" t="s">
        <v>239</v>
      </c>
    </row>
    <row r="1259" ht="18.0" customHeight="1">
      <c r="A1259" s="4" t="s">
        <v>51</v>
      </c>
      <c r="B1259" s="4">
        <v>6.0</v>
      </c>
      <c r="C1259" s="4" t="s">
        <v>359</v>
      </c>
      <c r="D1259" s="4" t="s">
        <v>312</v>
      </c>
      <c r="E1259" s="16">
        <v>6.947941146790981E-4</v>
      </c>
      <c r="F1259" s="16">
        <v>0.9998753730687895</v>
      </c>
      <c r="G1259" s="16"/>
      <c r="H1259" s="16">
        <v>0.8181818181818182</v>
      </c>
      <c r="I1259" s="16">
        <v>0.5375</v>
      </c>
      <c r="J1259" s="16">
        <v>0.6096774193548388</v>
      </c>
      <c r="K1259" s="4">
        <v>1.0</v>
      </c>
      <c r="L1259" s="4">
        <v>1.0</v>
      </c>
      <c r="M1259" s="4" t="s">
        <v>486</v>
      </c>
    </row>
    <row r="1260" ht="18.0" customHeight="1">
      <c r="A1260" s="4" t="s">
        <v>51</v>
      </c>
      <c r="B1260" s="4">
        <v>7.0</v>
      </c>
      <c r="C1260" s="4" t="s">
        <v>139</v>
      </c>
      <c r="D1260" s="4" t="s">
        <v>139</v>
      </c>
      <c r="E1260" s="16">
        <v>0.006073536351323128</v>
      </c>
      <c r="F1260" s="16">
        <v>0.9990155998093542</v>
      </c>
      <c r="G1260" s="16"/>
      <c r="H1260" s="16">
        <v>0.0</v>
      </c>
      <c r="I1260" s="16">
        <v>0.0</v>
      </c>
      <c r="J1260" s="16">
        <v>0.0</v>
      </c>
      <c r="K1260" s="4">
        <v>1.0</v>
      </c>
      <c r="L1260" s="4">
        <v>0.0</v>
      </c>
      <c r="M1260" s="4" t="s">
        <v>239</v>
      </c>
    </row>
    <row r="1261" ht="18.0" customHeight="1">
      <c r="A1261" s="4" t="s">
        <v>51</v>
      </c>
      <c r="B1261" s="4">
        <v>8.0</v>
      </c>
      <c r="C1261" s="4" t="s">
        <v>232</v>
      </c>
      <c r="D1261" s="4" t="s">
        <v>159</v>
      </c>
      <c r="E1261" s="16">
        <v>0.0021172717679291964</v>
      </c>
      <c r="F1261" s="16">
        <v>0.999638020992279</v>
      </c>
      <c r="G1261" s="16"/>
      <c r="H1261" s="16">
        <v>0.0</v>
      </c>
      <c r="I1261" s="16">
        <v>0.0</v>
      </c>
      <c r="J1261" s="16">
        <v>0.0</v>
      </c>
      <c r="K1261" s="4">
        <v>0.0</v>
      </c>
      <c r="M1261" s="4" t="s">
        <v>32</v>
      </c>
    </row>
    <row r="1262" ht="18.0" customHeight="1">
      <c r="A1262" s="4" t="s">
        <v>51</v>
      </c>
      <c r="B1262" s="4">
        <v>9.0</v>
      </c>
      <c r="C1262" s="4" t="s">
        <v>163</v>
      </c>
      <c r="D1262" s="4" t="s">
        <v>94</v>
      </c>
      <c r="E1262" s="16">
        <v>0.9722856879234314</v>
      </c>
      <c r="F1262" s="16">
        <v>0.47950761020183563</v>
      </c>
      <c r="G1262" s="16"/>
      <c r="H1262" s="16">
        <v>1.0</v>
      </c>
      <c r="I1262" s="16">
        <v>0.6</v>
      </c>
      <c r="J1262" s="16">
        <v>0.34785276073619636</v>
      </c>
      <c r="K1262" s="4">
        <v>1.0</v>
      </c>
      <c r="L1262" s="4">
        <v>1.0</v>
      </c>
      <c r="M1262" s="4" t="s">
        <v>486</v>
      </c>
    </row>
    <row r="1263" ht="18.0" customHeight="1">
      <c r="A1263" s="4" t="s">
        <v>51</v>
      </c>
      <c r="B1263" s="4">
        <v>10.0</v>
      </c>
      <c r="C1263" s="4" t="s">
        <v>818</v>
      </c>
      <c r="D1263" s="4" t="s">
        <v>819</v>
      </c>
      <c r="E1263" s="16">
        <v>0.2206404209136963</v>
      </c>
      <c r="F1263" s="16">
        <v>0.9242889508605003</v>
      </c>
      <c r="G1263" s="16"/>
      <c r="H1263" s="16">
        <v>1.0</v>
      </c>
      <c r="I1263" s="16">
        <v>0.7666666666666666</v>
      </c>
      <c r="J1263" s="16">
        <v>0.21693121693121695</v>
      </c>
      <c r="K1263" s="4">
        <v>1.0</v>
      </c>
      <c r="L1263" s="4">
        <v>0.0</v>
      </c>
      <c r="M1263" s="4" t="s">
        <v>239</v>
      </c>
    </row>
    <row r="1264" ht="18.0" customHeight="1">
      <c r="A1264" s="4" t="s">
        <v>51</v>
      </c>
      <c r="B1264" s="4">
        <v>11.0</v>
      </c>
      <c r="C1264" s="4" t="s">
        <v>359</v>
      </c>
      <c r="D1264" s="4" t="s">
        <v>829</v>
      </c>
      <c r="E1264" s="16">
        <v>0.025779176503419876</v>
      </c>
      <c r="F1264" s="16">
        <v>0.9933409832883626</v>
      </c>
      <c r="G1264" s="16"/>
      <c r="H1264" s="16">
        <v>1.0</v>
      </c>
      <c r="I1264" s="16">
        <v>0.7916666666666666</v>
      </c>
      <c r="J1264" s="16">
        <v>0.33333333333333337</v>
      </c>
      <c r="K1264" s="4">
        <v>1.0</v>
      </c>
      <c r="L1264" s="4">
        <v>1.0</v>
      </c>
      <c r="M1264" s="4" t="s">
        <v>486</v>
      </c>
    </row>
    <row r="1265" ht="18.0" customHeight="1">
      <c r="A1265" s="4" t="s">
        <v>51</v>
      </c>
      <c r="B1265" s="4">
        <v>12.0</v>
      </c>
      <c r="C1265" s="4" t="s">
        <v>245</v>
      </c>
      <c r="D1265" s="4" t="s">
        <v>824</v>
      </c>
      <c r="E1265" s="16">
        <v>0.01047629863023758</v>
      </c>
      <c r="F1265" s="16">
        <v>0.9972601084737107</v>
      </c>
      <c r="G1265" s="16"/>
      <c r="H1265" s="16">
        <v>1.0</v>
      </c>
      <c r="I1265" s="16">
        <v>0.7708333333333334</v>
      </c>
      <c r="J1265" s="16">
        <v>0.0</v>
      </c>
      <c r="K1265" s="4">
        <v>1.0</v>
      </c>
      <c r="L1265" s="4">
        <v>0.0</v>
      </c>
      <c r="M1265" s="4" t="s">
        <v>239</v>
      </c>
    </row>
    <row r="1266" ht="18.0" customHeight="1">
      <c r="A1266" s="4" t="s">
        <v>51</v>
      </c>
      <c r="B1266" s="4">
        <v>13.0</v>
      </c>
      <c r="C1266" s="4" t="s">
        <v>456</v>
      </c>
      <c r="D1266" s="4" t="s">
        <v>311</v>
      </c>
      <c r="E1266" s="16">
        <v>2.956908429041505E-5</v>
      </c>
      <c r="F1266" s="16">
        <v>0.9999970759648704</v>
      </c>
      <c r="G1266" s="16"/>
      <c r="H1266" s="16">
        <v>0.0</v>
      </c>
      <c r="I1266" s="16">
        <v>0.041666666666666664</v>
      </c>
      <c r="J1266" s="16">
        <v>0.0</v>
      </c>
      <c r="K1266" s="4">
        <v>0.0</v>
      </c>
      <c r="M1266" s="4" t="s">
        <v>32</v>
      </c>
    </row>
    <row r="1267" ht="18.0" customHeight="1">
      <c r="A1267" s="4" t="s">
        <v>51</v>
      </c>
      <c r="B1267" s="4">
        <v>14.0</v>
      </c>
      <c r="C1267" s="4" t="s">
        <v>181</v>
      </c>
      <c r="D1267" s="4" t="s">
        <v>427</v>
      </c>
      <c r="E1267" s="16">
        <v>4.37853486801032E-5</v>
      </c>
      <c r="F1267" s="16">
        <v>0.9999945180909435</v>
      </c>
      <c r="G1267" s="16"/>
      <c r="H1267" s="16">
        <v>0.8181818181818182</v>
      </c>
      <c r="I1267" s="16">
        <v>0.7083333333333334</v>
      </c>
      <c r="J1267" s="16">
        <v>0.17355371900826447</v>
      </c>
      <c r="K1267" s="4">
        <v>0.0</v>
      </c>
      <c r="M1267" s="4" t="s">
        <v>32</v>
      </c>
    </row>
    <row r="1268" ht="18.0" customHeight="1">
      <c r="A1268" s="4" t="s">
        <v>57</v>
      </c>
      <c r="B1268" s="4">
        <v>2.0</v>
      </c>
      <c r="C1268" s="4" t="s">
        <v>122</v>
      </c>
      <c r="D1268" s="4" t="s">
        <v>220</v>
      </c>
      <c r="E1268" s="16">
        <v>0.0022129067219793797</v>
      </c>
      <c r="F1268" s="16">
        <v>0.9996194599953014</v>
      </c>
      <c r="G1268" s="16"/>
      <c r="H1268" s="16">
        <v>0.0</v>
      </c>
      <c r="I1268" s="16">
        <v>0.0</v>
      </c>
      <c r="J1268" s="16">
        <v>0.0</v>
      </c>
      <c r="K1268" s="4">
        <v>0.0</v>
      </c>
      <c r="M1268" s="4" t="s">
        <v>32</v>
      </c>
    </row>
    <row r="1269" ht="18.0" customHeight="1">
      <c r="A1269" s="4" t="s">
        <v>57</v>
      </c>
      <c r="B1269" s="4">
        <v>3.0</v>
      </c>
      <c r="C1269" s="4" t="s">
        <v>231</v>
      </c>
      <c r="D1269" s="4" t="s">
        <v>445</v>
      </c>
      <c r="E1269" s="16">
        <v>0.0045994906686246395</v>
      </c>
      <c r="F1269" s="16">
        <v>0.9994360374985263</v>
      </c>
      <c r="G1269" s="16"/>
      <c r="H1269" s="16">
        <v>1.0</v>
      </c>
      <c r="I1269" s="16">
        <v>0.37916666666666665</v>
      </c>
      <c r="J1269" s="16">
        <v>0.40625</v>
      </c>
      <c r="K1269" s="4">
        <v>0.0</v>
      </c>
      <c r="M1269" s="4" t="s">
        <v>32</v>
      </c>
    </row>
    <row r="1270" ht="18.0" customHeight="1">
      <c r="A1270" s="4" t="s">
        <v>57</v>
      </c>
      <c r="B1270" s="4">
        <v>4.0</v>
      </c>
      <c r="C1270" s="4" t="s">
        <v>1210</v>
      </c>
      <c r="D1270" s="4" t="s">
        <v>1211</v>
      </c>
      <c r="E1270" s="16">
        <v>4.473446460906416E-5</v>
      </c>
      <c r="F1270" s="16">
        <v>0.9999964326358395</v>
      </c>
      <c r="G1270" s="16"/>
      <c r="H1270" s="16">
        <v>1.0</v>
      </c>
      <c r="I1270" s="16">
        <v>0.31250000000000006</v>
      </c>
      <c r="J1270" s="16">
        <v>0.0</v>
      </c>
      <c r="K1270" s="4">
        <v>0.0</v>
      </c>
      <c r="M1270" s="4" t="s">
        <v>32</v>
      </c>
    </row>
    <row r="1271" ht="18.0" customHeight="1">
      <c r="A1271" s="4" t="s">
        <v>57</v>
      </c>
      <c r="B1271" s="4">
        <v>5.0</v>
      </c>
      <c r="C1271" s="4" t="s">
        <v>1212</v>
      </c>
      <c r="D1271" s="4" t="s">
        <v>1213</v>
      </c>
      <c r="E1271" s="16">
        <v>2.528896147850901E-4</v>
      </c>
      <c r="F1271" s="16">
        <v>0.9999604516833642</v>
      </c>
      <c r="G1271" s="16"/>
      <c r="H1271" s="16">
        <v>1.0</v>
      </c>
      <c r="I1271" s="16">
        <v>0.3625</v>
      </c>
      <c r="J1271" s="16">
        <v>1.0</v>
      </c>
      <c r="K1271" s="4">
        <v>0.0</v>
      </c>
      <c r="M1271" s="4" t="s">
        <v>32</v>
      </c>
    </row>
    <row r="1272" ht="18.0" customHeight="1">
      <c r="A1272" s="4" t="s">
        <v>57</v>
      </c>
      <c r="B1272" s="4">
        <v>6.0</v>
      </c>
      <c r="C1272" s="4" t="s">
        <v>849</v>
      </c>
      <c r="D1272" s="4" t="s">
        <v>848</v>
      </c>
      <c r="E1272" s="16">
        <v>3.034402834600769E-5</v>
      </c>
      <c r="F1272" s="16">
        <v>0.9999969546337297</v>
      </c>
      <c r="G1272" s="16"/>
      <c r="H1272" s="16">
        <v>1.0</v>
      </c>
      <c r="I1272" s="16">
        <v>0.3</v>
      </c>
      <c r="J1272" s="16">
        <v>0.671875</v>
      </c>
      <c r="K1272" s="4">
        <v>0.0</v>
      </c>
      <c r="M1272" s="4" t="s">
        <v>32</v>
      </c>
    </row>
    <row r="1273" ht="18.0" customHeight="1">
      <c r="A1273" s="4" t="s">
        <v>57</v>
      </c>
      <c r="B1273" s="4">
        <v>7.0</v>
      </c>
      <c r="C1273" s="4" t="s">
        <v>311</v>
      </c>
      <c r="D1273" s="4" t="s">
        <v>1214</v>
      </c>
      <c r="E1273" s="16">
        <v>0.001391909783706069</v>
      </c>
      <c r="F1273" s="16">
        <v>0.9997519985845429</v>
      </c>
      <c r="G1273" s="16"/>
      <c r="H1273" s="16">
        <v>0.09090909090909091</v>
      </c>
      <c r="I1273" s="16">
        <v>0.05833333333333333</v>
      </c>
      <c r="J1273" s="16">
        <v>0.0</v>
      </c>
      <c r="K1273" s="4">
        <v>0.0</v>
      </c>
      <c r="M1273" s="4" t="s">
        <v>32</v>
      </c>
    </row>
    <row r="1274" ht="18.0" customHeight="1">
      <c r="A1274" s="4" t="s">
        <v>57</v>
      </c>
      <c r="B1274" s="4">
        <v>8.0</v>
      </c>
      <c r="C1274" s="4" t="s">
        <v>1215</v>
      </c>
      <c r="D1274" s="4" t="s">
        <v>1216</v>
      </c>
      <c r="E1274" s="16">
        <v>1.6386456991313025E-5</v>
      </c>
      <c r="F1274" s="16">
        <v>0.9999982377555057</v>
      </c>
      <c r="G1274" s="16"/>
      <c r="H1274" s="16">
        <v>0.8181818181818182</v>
      </c>
      <c r="I1274" s="16">
        <v>0.3875</v>
      </c>
      <c r="J1274" s="16">
        <v>1.0</v>
      </c>
      <c r="K1274" s="4">
        <v>0.0</v>
      </c>
      <c r="M1274" s="4" t="s">
        <v>32</v>
      </c>
    </row>
    <row r="1275" ht="18.0" customHeight="1">
      <c r="A1275" s="4" t="s">
        <v>57</v>
      </c>
      <c r="B1275" s="4">
        <v>9.0</v>
      </c>
      <c r="C1275" s="4" t="s">
        <v>139</v>
      </c>
      <c r="D1275" s="4" t="s">
        <v>139</v>
      </c>
      <c r="E1275" s="16">
        <v>0.0019372125389054418</v>
      </c>
      <c r="F1275" s="16">
        <v>0.9997162120707799</v>
      </c>
      <c r="G1275" s="16"/>
      <c r="H1275" s="16">
        <v>0.09090909090909091</v>
      </c>
      <c r="I1275" s="16">
        <v>0.0</v>
      </c>
      <c r="J1275" s="16">
        <v>0.0</v>
      </c>
      <c r="K1275" s="4">
        <v>0.0</v>
      </c>
      <c r="M1275" s="4" t="s">
        <v>32</v>
      </c>
    </row>
    <row r="1276" ht="18.0" customHeight="1">
      <c r="A1276" s="4" t="s">
        <v>57</v>
      </c>
      <c r="B1276" s="4">
        <v>10.0</v>
      </c>
      <c r="C1276" s="4" t="s">
        <v>232</v>
      </c>
      <c r="D1276" s="4" t="s">
        <v>159</v>
      </c>
      <c r="E1276" s="16">
        <v>0.002209501573815942</v>
      </c>
      <c r="F1276" s="16">
        <v>0.9996324190724408</v>
      </c>
      <c r="G1276" s="16"/>
      <c r="H1276" s="16">
        <v>0.09090909090909091</v>
      </c>
      <c r="I1276" s="16">
        <v>0.0</v>
      </c>
      <c r="J1276" s="16">
        <v>0.0</v>
      </c>
      <c r="K1276" s="4">
        <v>0.0</v>
      </c>
      <c r="M1276" s="4" t="s">
        <v>32</v>
      </c>
    </row>
    <row r="1277" ht="18.0" customHeight="1">
      <c r="A1277" s="4" t="s">
        <v>57</v>
      </c>
      <c r="B1277" s="4">
        <v>11.0</v>
      </c>
      <c r="C1277" s="4" t="s">
        <v>859</v>
      </c>
      <c r="D1277" s="4" t="s">
        <v>163</v>
      </c>
      <c r="E1277" s="16">
        <v>0.9697808027267456</v>
      </c>
      <c r="F1277" s="16">
        <v>0.5509086400270462</v>
      </c>
      <c r="G1277" s="16"/>
      <c r="H1277" s="16">
        <v>1.0</v>
      </c>
      <c r="I1277" s="16">
        <v>0.6416666666666667</v>
      </c>
      <c r="J1277" s="16">
        <v>1.0</v>
      </c>
      <c r="K1277" s="4">
        <v>1.0</v>
      </c>
      <c r="L1277" s="4">
        <v>1.0</v>
      </c>
      <c r="M1277" s="4" t="s">
        <v>486</v>
      </c>
    </row>
    <row r="1278" ht="18.0" customHeight="1">
      <c r="A1278" s="4" t="s">
        <v>57</v>
      </c>
      <c r="B1278" s="4">
        <v>12.0</v>
      </c>
      <c r="C1278" s="4" t="s">
        <v>848</v>
      </c>
      <c r="D1278" s="4" t="s">
        <v>849</v>
      </c>
      <c r="E1278" s="16">
        <v>0.00493971910327673</v>
      </c>
      <c r="F1278" s="16">
        <v>0.9992800188192632</v>
      </c>
      <c r="G1278" s="16"/>
      <c r="H1278" s="16">
        <v>1.0</v>
      </c>
      <c r="I1278" s="16">
        <v>0.45</v>
      </c>
      <c r="J1278" s="16">
        <v>0.25</v>
      </c>
      <c r="K1278" s="4">
        <v>0.0</v>
      </c>
      <c r="M1278" s="4" t="s">
        <v>32</v>
      </c>
    </row>
    <row r="1279" ht="18.0" customHeight="1">
      <c r="A1279" s="4" t="s">
        <v>57</v>
      </c>
      <c r="B1279" s="4">
        <v>13.0</v>
      </c>
      <c r="C1279" s="4" t="s">
        <v>845</v>
      </c>
      <c r="D1279" s="4" t="s">
        <v>846</v>
      </c>
      <c r="E1279" s="16">
        <v>4.710300629540143E-7</v>
      </c>
      <c r="F1279" s="16">
        <v>0.999999979505823</v>
      </c>
      <c r="G1279" s="16"/>
      <c r="H1279" s="16">
        <v>0.9090909090909091</v>
      </c>
      <c r="I1279" s="16">
        <v>0.41250000000000003</v>
      </c>
      <c r="J1279" s="16">
        <v>0.8333333333333334</v>
      </c>
      <c r="K1279" s="4">
        <v>0.0</v>
      </c>
      <c r="M1279" s="4" t="s">
        <v>32</v>
      </c>
    </row>
    <row r="1280" ht="18.0" customHeight="1">
      <c r="A1280" s="4" t="s">
        <v>57</v>
      </c>
      <c r="B1280" s="4">
        <v>14.0</v>
      </c>
      <c r="C1280" s="4" t="s">
        <v>180</v>
      </c>
      <c r="D1280" s="4" t="s">
        <v>1217</v>
      </c>
      <c r="E1280" s="16">
        <v>1.957975619006902E-4</v>
      </c>
      <c r="F1280" s="16">
        <v>0.9999745539835203</v>
      </c>
      <c r="G1280" s="16"/>
      <c r="H1280" s="16">
        <v>1.0</v>
      </c>
      <c r="I1280" s="16">
        <v>0.45</v>
      </c>
      <c r="J1280" s="16">
        <v>0.0</v>
      </c>
      <c r="K1280" s="4">
        <v>0.0</v>
      </c>
      <c r="M1280" s="4" t="s">
        <v>32</v>
      </c>
    </row>
    <row r="1281" ht="18.0" customHeight="1">
      <c r="A1281" s="4" t="s">
        <v>57</v>
      </c>
      <c r="B1281" s="4">
        <v>15.0</v>
      </c>
      <c r="C1281" s="4" t="s">
        <v>893</v>
      </c>
      <c r="D1281" s="4" t="s">
        <v>1218</v>
      </c>
      <c r="E1281" s="16">
        <v>0.0022583294194191694</v>
      </c>
      <c r="F1281" s="16">
        <v>0.999680362197978</v>
      </c>
      <c r="G1281" s="16"/>
      <c r="H1281" s="16">
        <v>0.0</v>
      </c>
      <c r="I1281" s="16">
        <v>0.0</v>
      </c>
      <c r="J1281" s="16">
        <v>0.0</v>
      </c>
      <c r="K1281" s="4">
        <v>0.0</v>
      </c>
      <c r="M1281" s="4" t="s">
        <v>32</v>
      </c>
    </row>
    <row r="1282" ht="18.0" customHeight="1">
      <c r="A1282" s="4" t="s">
        <v>57</v>
      </c>
      <c r="B1282" s="4">
        <v>16.0</v>
      </c>
      <c r="C1282" s="4" t="s">
        <v>232</v>
      </c>
      <c r="D1282" s="4" t="s">
        <v>289</v>
      </c>
      <c r="E1282" s="16">
        <v>0.0021004213485866785</v>
      </c>
      <c r="F1282" s="16">
        <v>0.9995723827305483</v>
      </c>
      <c r="G1282" s="16"/>
      <c r="H1282" s="16">
        <v>1.0</v>
      </c>
      <c r="I1282" s="16">
        <v>0.5125000000000001</v>
      </c>
      <c r="J1282" s="16">
        <v>0.19186046511627908</v>
      </c>
      <c r="K1282" s="4">
        <v>0.0</v>
      </c>
      <c r="M1282" s="4" t="s">
        <v>32</v>
      </c>
    </row>
    <row r="1283" ht="18.0" customHeight="1">
      <c r="A1283" s="4" t="s">
        <v>57</v>
      </c>
      <c r="B1283" s="4">
        <v>17.0</v>
      </c>
      <c r="C1283" s="4" t="s">
        <v>453</v>
      </c>
      <c r="D1283" s="4" t="s">
        <v>835</v>
      </c>
      <c r="E1283" s="16">
        <v>0.05042414739727974</v>
      </c>
      <c r="F1283" s="16">
        <v>0.9829746019095182</v>
      </c>
      <c r="G1283" s="16"/>
      <c r="H1283" s="16">
        <v>1.0</v>
      </c>
      <c r="I1283" s="16">
        <v>0.5791666666666667</v>
      </c>
      <c r="J1283" s="16">
        <v>1.0</v>
      </c>
      <c r="K1283" s="4">
        <v>1.0</v>
      </c>
      <c r="L1283" s="4">
        <v>0.0</v>
      </c>
      <c r="M1283" s="4" t="s">
        <v>239</v>
      </c>
    </row>
    <row r="1284" ht="18.0" customHeight="1">
      <c r="A1284" s="4" t="s">
        <v>57</v>
      </c>
      <c r="B1284" s="4">
        <v>18.0</v>
      </c>
      <c r="C1284" s="4" t="s">
        <v>854</v>
      </c>
      <c r="D1284" s="4" t="s">
        <v>835</v>
      </c>
      <c r="E1284" s="16">
        <v>0.0797179639339447</v>
      </c>
      <c r="F1284" s="16">
        <v>0.970260894857347</v>
      </c>
      <c r="G1284" s="16"/>
      <c r="H1284" s="16">
        <v>1.0</v>
      </c>
      <c r="I1284" s="16">
        <v>0.6</v>
      </c>
      <c r="J1284" s="16">
        <v>0.4</v>
      </c>
      <c r="K1284" s="4">
        <v>1.0</v>
      </c>
      <c r="L1284" s="4">
        <v>1.0</v>
      </c>
      <c r="M1284" s="4" t="s">
        <v>486</v>
      </c>
    </row>
    <row r="1285" ht="18.0" customHeight="1">
      <c r="A1285" s="4" t="s">
        <v>57</v>
      </c>
      <c r="B1285" s="4">
        <v>19.0</v>
      </c>
      <c r="C1285" s="4" t="s">
        <v>1219</v>
      </c>
      <c r="D1285" s="4" t="s">
        <v>172</v>
      </c>
      <c r="E1285" s="16">
        <v>0.011973370797932148</v>
      </c>
      <c r="F1285" s="16">
        <v>0.996836127480492</v>
      </c>
      <c r="G1285" s="16"/>
      <c r="H1285" s="16">
        <v>1.0</v>
      </c>
      <c r="I1285" s="16">
        <v>0.6041666666666666</v>
      </c>
      <c r="J1285" s="16">
        <v>0.25</v>
      </c>
      <c r="K1285" s="4">
        <v>0.0</v>
      </c>
      <c r="M1285" s="4" t="s">
        <v>32</v>
      </c>
    </row>
    <row r="1286" ht="18.0" customHeight="1">
      <c r="A1286" s="4" t="s">
        <v>57</v>
      </c>
      <c r="B1286" s="4">
        <v>20.0</v>
      </c>
      <c r="C1286" s="4" t="s">
        <v>172</v>
      </c>
      <c r="D1286" s="4" t="s">
        <v>862</v>
      </c>
      <c r="E1286" s="16">
        <v>9.454169230593834E-6</v>
      </c>
      <c r="F1286" s="16">
        <v>0.9999992573903</v>
      </c>
      <c r="G1286" s="16"/>
      <c r="H1286" s="16">
        <v>0.09090909090909091</v>
      </c>
      <c r="I1286" s="16">
        <v>0.09999999999999999</v>
      </c>
      <c r="J1286" s="16">
        <v>0.25</v>
      </c>
      <c r="K1286" s="4">
        <v>0.0</v>
      </c>
      <c r="M1286" s="4" t="s">
        <v>32</v>
      </c>
    </row>
    <row r="1287" ht="18.0" customHeight="1">
      <c r="A1287" s="4" t="s">
        <v>57</v>
      </c>
      <c r="B1287" s="4">
        <v>21.0</v>
      </c>
      <c r="C1287" s="4" t="s">
        <v>1220</v>
      </c>
      <c r="D1287" s="4" t="s">
        <v>1215</v>
      </c>
      <c r="E1287" s="16">
        <v>1.1467051081126556E-5</v>
      </c>
      <c r="F1287" s="16">
        <v>0.999998685817161</v>
      </c>
      <c r="G1287" s="16"/>
      <c r="H1287" s="16">
        <v>0.0</v>
      </c>
      <c r="I1287" s="16">
        <v>0.016666666666666666</v>
      </c>
      <c r="J1287" s="16">
        <v>0.0</v>
      </c>
      <c r="K1287" s="4">
        <v>0.0</v>
      </c>
      <c r="M1287" s="4" t="s">
        <v>32</v>
      </c>
    </row>
    <row r="1288" ht="18.0" customHeight="1">
      <c r="A1288" s="4" t="s">
        <v>57</v>
      </c>
      <c r="B1288" s="4">
        <v>22.0</v>
      </c>
      <c r="C1288" s="4" t="s">
        <v>225</v>
      </c>
      <c r="D1288" s="4" t="s">
        <v>258</v>
      </c>
      <c r="E1288" s="16">
        <v>8.661976607982069E-5</v>
      </c>
      <c r="F1288" s="16">
        <v>0.9999924927420807</v>
      </c>
      <c r="G1288" s="16"/>
      <c r="H1288" s="16">
        <v>1.0</v>
      </c>
      <c r="I1288" s="16">
        <v>0.47500000000000003</v>
      </c>
      <c r="J1288" s="16">
        <v>0.0</v>
      </c>
      <c r="K1288" s="4">
        <v>0.0</v>
      </c>
      <c r="M1288" s="4" t="s">
        <v>32</v>
      </c>
    </row>
    <row r="1289" ht="18.0" customHeight="1">
      <c r="A1289" s="4" t="s">
        <v>57</v>
      </c>
      <c r="B1289" s="4">
        <v>23.0</v>
      </c>
      <c r="C1289" s="4" t="s">
        <v>326</v>
      </c>
      <c r="D1289" s="4" t="s">
        <v>582</v>
      </c>
      <c r="E1289" s="16">
        <v>2.0900277377222665E-5</v>
      </c>
      <c r="F1289" s="16">
        <v>0.9999978307743618</v>
      </c>
      <c r="G1289" s="16"/>
      <c r="H1289" s="16">
        <v>0.09090909090909091</v>
      </c>
      <c r="I1289" s="16">
        <v>0.0</v>
      </c>
      <c r="J1289" s="16">
        <v>0.0</v>
      </c>
      <c r="K1289" s="4">
        <v>0.0</v>
      </c>
      <c r="M1289" s="4" t="s">
        <v>32</v>
      </c>
    </row>
    <row r="1290" ht="18.0" customHeight="1">
      <c r="A1290" s="4" t="s">
        <v>57</v>
      </c>
      <c r="B1290" s="4">
        <v>24.0</v>
      </c>
      <c r="C1290" s="4" t="s">
        <v>94</v>
      </c>
      <c r="D1290" s="4" t="s">
        <v>1010</v>
      </c>
      <c r="E1290" s="16">
        <v>2.237656372017227E-5</v>
      </c>
      <c r="F1290" s="16">
        <v>0.999998263994911</v>
      </c>
      <c r="G1290" s="16"/>
      <c r="H1290" s="16">
        <v>0.0</v>
      </c>
      <c r="I1290" s="16">
        <v>0.08333333333333333</v>
      </c>
      <c r="J1290" s="16">
        <v>0.0</v>
      </c>
      <c r="K1290" s="4">
        <v>0.0</v>
      </c>
      <c r="M1290" s="4" t="s">
        <v>32</v>
      </c>
    </row>
    <row r="1291" ht="18.0" customHeight="1">
      <c r="A1291" s="4" t="s">
        <v>57</v>
      </c>
      <c r="B1291" s="4">
        <v>25.0</v>
      </c>
      <c r="C1291" s="4" t="s">
        <v>854</v>
      </c>
      <c r="D1291" s="4" t="s">
        <v>763</v>
      </c>
      <c r="E1291" s="16">
        <v>0.0011901245452463627</v>
      </c>
      <c r="F1291" s="16">
        <v>0.9998566144931829</v>
      </c>
      <c r="G1291" s="16"/>
      <c r="H1291" s="16">
        <v>0.7272727272727273</v>
      </c>
      <c r="I1291" s="16">
        <v>0.37083333333333335</v>
      </c>
      <c r="J1291" s="16">
        <v>0.0</v>
      </c>
      <c r="K1291" s="4">
        <v>0.0</v>
      </c>
      <c r="M1291" s="4" t="s">
        <v>32</v>
      </c>
    </row>
    <row r="1292" ht="18.0" customHeight="1">
      <c r="A1292" s="4" t="s">
        <v>57</v>
      </c>
      <c r="B1292" s="4">
        <v>26.0</v>
      </c>
      <c r="C1292" s="4" t="s">
        <v>1219</v>
      </c>
      <c r="D1292" s="4" t="s">
        <v>1221</v>
      </c>
      <c r="E1292" s="16">
        <v>9.392920219397638E-6</v>
      </c>
      <c r="F1292" s="16">
        <v>0.9999993831105485</v>
      </c>
      <c r="G1292" s="16"/>
      <c r="H1292" s="16">
        <v>0.0</v>
      </c>
      <c r="I1292" s="16">
        <v>0.016666666666666666</v>
      </c>
      <c r="J1292" s="16">
        <v>0.0</v>
      </c>
      <c r="K1292" s="4">
        <v>0.0</v>
      </c>
      <c r="M1292" s="4" t="s">
        <v>32</v>
      </c>
    </row>
    <row r="1293" ht="18.0" customHeight="1">
      <c r="A1293" s="4" t="s">
        <v>57</v>
      </c>
      <c r="B1293" s="4">
        <v>27.0</v>
      </c>
      <c r="C1293" s="4" t="s">
        <v>143</v>
      </c>
      <c r="D1293" s="4" t="s">
        <v>803</v>
      </c>
      <c r="E1293" s="16">
        <v>0.05630631744861603</v>
      </c>
      <c r="F1293" s="16">
        <v>0.979955323971808</v>
      </c>
      <c r="G1293" s="16"/>
      <c r="H1293" s="16">
        <v>0.0</v>
      </c>
      <c r="I1293" s="16">
        <v>0.08333333333333333</v>
      </c>
      <c r="J1293" s="16">
        <v>0.4</v>
      </c>
      <c r="K1293" s="4">
        <v>1.0</v>
      </c>
      <c r="L1293" s="4">
        <v>0.0</v>
      </c>
      <c r="M1293" s="4" t="s">
        <v>239</v>
      </c>
    </row>
    <row r="1294" ht="18.0" customHeight="1">
      <c r="A1294" s="4" t="s">
        <v>57</v>
      </c>
      <c r="B1294" s="4">
        <v>28.0</v>
      </c>
      <c r="C1294" s="4" t="s">
        <v>159</v>
      </c>
      <c r="D1294" s="4" t="s">
        <v>851</v>
      </c>
      <c r="E1294" s="16">
        <v>2.0556239178404212E-5</v>
      </c>
      <c r="F1294" s="16">
        <v>0.9999981552332997</v>
      </c>
      <c r="G1294" s="16"/>
      <c r="H1294" s="16">
        <v>1.0</v>
      </c>
      <c r="I1294" s="16">
        <v>0.4708333333333334</v>
      </c>
      <c r="J1294" s="16">
        <v>0.25</v>
      </c>
      <c r="K1294" s="4">
        <v>1.0</v>
      </c>
      <c r="L1294" s="4">
        <v>0.0</v>
      </c>
      <c r="M1294" s="4" t="s">
        <v>239</v>
      </c>
    </row>
    <row r="1295" ht="18.0" customHeight="1">
      <c r="A1295" s="4" t="s">
        <v>57</v>
      </c>
      <c r="B1295" s="4">
        <v>29.0</v>
      </c>
      <c r="C1295" s="4" t="s">
        <v>851</v>
      </c>
      <c r="D1295" s="4" t="s">
        <v>427</v>
      </c>
      <c r="E1295" s="16">
        <v>8.382046871702187E-6</v>
      </c>
      <c r="F1295" s="16">
        <v>0.9999991710714085</v>
      </c>
      <c r="G1295" s="16"/>
      <c r="H1295" s="16">
        <v>0.18181818181818182</v>
      </c>
      <c r="I1295" s="16">
        <v>0.12083333333333333</v>
      </c>
      <c r="J1295" s="16">
        <v>0.4554216867469879</v>
      </c>
      <c r="K1295" s="4">
        <v>0.0</v>
      </c>
      <c r="M1295" s="4" t="s">
        <v>32</v>
      </c>
    </row>
    <row r="1296" ht="18.0" customHeight="1">
      <c r="A1296" s="4" t="s">
        <v>57</v>
      </c>
      <c r="B1296" s="4">
        <v>30.0</v>
      </c>
      <c r="C1296" s="4" t="s">
        <v>115</v>
      </c>
      <c r="D1296" s="4" t="s">
        <v>225</v>
      </c>
      <c r="E1296" s="16">
        <v>5.174719844944775E-4</v>
      </c>
      <c r="F1296" s="16">
        <v>0.9999070976336952</v>
      </c>
      <c r="G1296" s="16"/>
      <c r="H1296" s="16">
        <v>1.0</v>
      </c>
      <c r="I1296" s="16">
        <v>0.37083333333333335</v>
      </c>
      <c r="J1296" s="16">
        <v>0.25</v>
      </c>
      <c r="K1296" s="4">
        <v>0.0</v>
      </c>
      <c r="M1296" s="4" t="s">
        <v>32</v>
      </c>
    </row>
    <row r="1297" ht="18.0" customHeight="1">
      <c r="A1297" s="4" t="s">
        <v>57</v>
      </c>
      <c r="B1297" s="4">
        <v>31.0</v>
      </c>
      <c r="C1297" s="4" t="s">
        <v>427</v>
      </c>
      <c r="D1297" s="4" t="s">
        <v>225</v>
      </c>
      <c r="E1297" s="16">
        <v>7.25033828530286E-7</v>
      </c>
      <c r="F1297" s="16">
        <v>0.999999981485054</v>
      </c>
      <c r="G1297" s="16"/>
      <c r="H1297" s="16">
        <v>1.0</v>
      </c>
      <c r="I1297" s="16">
        <v>0.325</v>
      </c>
      <c r="J1297" s="16">
        <v>0.30361445783132535</v>
      </c>
      <c r="K1297" s="4">
        <v>0.0</v>
      </c>
      <c r="M1297" s="4" t="s">
        <v>32</v>
      </c>
    </row>
    <row r="1298" ht="18.0" customHeight="1">
      <c r="A1298" s="4" t="s">
        <v>57</v>
      </c>
      <c r="B1298" s="4">
        <v>32.0</v>
      </c>
      <c r="C1298" s="4" t="s">
        <v>225</v>
      </c>
      <c r="D1298" s="4" t="s">
        <v>258</v>
      </c>
      <c r="E1298" s="16">
        <v>0.05849817022681236</v>
      </c>
      <c r="F1298" s="16">
        <v>0.979002638719976</v>
      </c>
      <c r="G1298" s="16"/>
      <c r="H1298" s="16">
        <v>1.0</v>
      </c>
      <c r="I1298" s="16">
        <v>0.4083333333333334</v>
      </c>
      <c r="J1298" s="16">
        <v>0.0</v>
      </c>
      <c r="K1298" s="4">
        <v>1.0</v>
      </c>
      <c r="L1298" s="4">
        <v>1.0</v>
      </c>
      <c r="M1298" s="4" t="s">
        <v>486</v>
      </c>
    </row>
    <row r="1299" ht="18.0" customHeight="1">
      <c r="A1299" s="4" t="s">
        <v>57</v>
      </c>
      <c r="B1299" s="4">
        <v>33.0</v>
      </c>
      <c r="C1299" s="4" t="s">
        <v>582</v>
      </c>
      <c r="D1299" s="4" t="s">
        <v>649</v>
      </c>
      <c r="E1299" s="16">
        <v>2.3145696104620583E-5</v>
      </c>
      <c r="F1299" s="16">
        <v>0.9999981244037031</v>
      </c>
      <c r="G1299" s="16"/>
      <c r="H1299" s="16">
        <v>0.0</v>
      </c>
      <c r="I1299" s="16">
        <v>0.0</v>
      </c>
      <c r="J1299" s="16">
        <v>0.0</v>
      </c>
      <c r="K1299" s="4">
        <v>0.0</v>
      </c>
      <c r="M1299" s="4" t="s">
        <v>32</v>
      </c>
    </row>
    <row r="1300" ht="18.0" customHeight="1">
      <c r="A1300" s="4" t="s">
        <v>57</v>
      </c>
      <c r="B1300" s="4">
        <v>34.0</v>
      </c>
      <c r="C1300" s="4" t="s">
        <v>859</v>
      </c>
      <c r="D1300" s="4" t="s">
        <v>835</v>
      </c>
      <c r="E1300" s="16">
        <v>0.010573255829513073</v>
      </c>
      <c r="F1300" s="16">
        <v>0.997219831449911</v>
      </c>
      <c r="G1300" s="16"/>
      <c r="H1300" s="16">
        <v>1.0</v>
      </c>
      <c r="I1300" s="16">
        <v>0.5375</v>
      </c>
      <c r="J1300" s="16">
        <v>0.6666666666666667</v>
      </c>
      <c r="K1300" s="4">
        <v>0.0</v>
      </c>
      <c r="M1300" s="4" t="s">
        <v>32</v>
      </c>
    </row>
    <row r="1301" ht="18.0" customHeight="1">
      <c r="A1301" s="4" t="s">
        <v>57</v>
      </c>
      <c r="B1301" s="4">
        <v>35.0</v>
      </c>
      <c r="C1301" s="4" t="s">
        <v>848</v>
      </c>
      <c r="D1301" s="4" t="s">
        <v>180</v>
      </c>
      <c r="E1301" s="16">
        <v>0.01822030171751976</v>
      </c>
      <c r="F1301" s="16">
        <v>0.9966225204989314</v>
      </c>
      <c r="G1301" s="16"/>
      <c r="H1301" s="16">
        <v>1.0</v>
      </c>
      <c r="I1301" s="16">
        <v>0.6041666666666666</v>
      </c>
      <c r="J1301" s="16">
        <v>0.5714285714285714</v>
      </c>
      <c r="K1301" s="4">
        <v>0.0</v>
      </c>
      <c r="M1301" s="4" t="s">
        <v>32</v>
      </c>
    </row>
    <row r="1302" ht="18.0" customHeight="1">
      <c r="A1302" s="4" t="s">
        <v>57</v>
      </c>
      <c r="B1302" s="4">
        <v>36.0</v>
      </c>
      <c r="C1302" s="4" t="s">
        <v>845</v>
      </c>
      <c r="D1302" s="4" t="s">
        <v>1222</v>
      </c>
      <c r="E1302" s="16">
        <v>8.8691376731731E-6</v>
      </c>
      <c r="F1302" s="16">
        <v>0.9999994836720987</v>
      </c>
      <c r="G1302" s="16"/>
      <c r="H1302" s="16">
        <v>0.2727272727272727</v>
      </c>
      <c r="I1302" s="16">
        <v>0.14166666666666666</v>
      </c>
      <c r="J1302" s="16">
        <v>0.5</v>
      </c>
      <c r="K1302" s="4">
        <v>0.0</v>
      </c>
      <c r="M1302" s="4" t="s">
        <v>32</v>
      </c>
    </row>
    <row r="1303" ht="18.0" customHeight="1">
      <c r="A1303" s="4" t="s">
        <v>57</v>
      </c>
      <c r="B1303" s="4">
        <v>37.0</v>
      </c>
      <c r="C1303" s="4" t="s">
        <v>838</v>
      </c>
      <c r="D1303" s="4" t="s">
        <v>896</v>
      </c>
      <c r="E1303" s="16">
        <v>8.486425940645859E-6</v>
      </c>
      <c r="F1303" s="16">
        <v>0.999999322547211</v>
      </c>
      <c r="G1303" s="16"/>
      <c r="H1303" s="16">
        <v>0.18181818181818182</v>
      </c>
      <c r="I1303" s="16">
        <v>0.08333333333333333</v>
      </c>
      <c r="J1303" s="16">
        <v>0.4285714285714286</v>
      </c>
      <c r="K1303" s="4">
        <v>0.0</v>
      </c>
      <c r="M1303" s="4" t="s">
        <v>32</v>
      </c>
    </row>
    <row r="1304" ht="18.0" customHeight="1">
      <c r="A1304" s="4" t="s">
        <v>57</v>
      </c>
      <c r="B1304" s="4">
        <v>38.0</v>
      </c>
      <c r="C1304" s="4" t="s">
        <v>100</v>
      </c>
      <c r="D1304" s="4" t="s">
        <v>101</v>
      </c>
      <c r="E1304" s="16">
        <v>0.015426315367221832</v>
      </c>
      <c r="F1304" s="16">
        <v>0.9956967122852802</v>
      </c>
      <c r="G1304" s="16"/>
      <c r="H1304" s="16">
        <v>0.09090909090909091</v>
      </c>
      <c r="I1304" s="16">
        <v>0.041666666666666664</v>
      </c>
      <c r="J1304" s="16">
        <v>0.0</v>
      </c>
      <c r="K1304" s="4">
        <v>0.0</v>
      </c>
      <c r="M1304" s="4" t="s">
        <v>32</v>
      </c>
    </row>
    <row r="1305" ht="18.0" customHeight="1">
      <c r="A1305" s="4" t="s">
        <v>57</v>
      </c>
      <c r="B1305" s="4">
        <v>39.0</v>
      </c>
      <c r="C1305" s="4" t="s">
        <v>398</v>
      </c>
      <c r="D1305" s="4" t="s">
        <v>1223</v>
      </c>
      <c r="E1305" s="16">
        <v>2.5039303181983996E-6</v>
      </c>
      <c r="F1305" s="16">
        <v>0.9999998214888421</v>
      </c>
      <c r="G1305" s="16"/>
      <c r="H1305" s="16">
        <v>1.0</v>
      </c>
      <c r="I1305" s="16">
        <v>0.4708333333333334</v>
      </c>
      <c r="J1305" s="16">
        <v>0.1897590361445783</v>
      </c>
      <c r="K1305" s="4">
        <v>0.0</v>
      </c>
      <c r="M1305" s="4" t="s">
        <v>32</v>
      </c>
    </row>
    <row r="1306" ht="18.0" customHeight="1">
      <c r="A1306" s="4" t="s">
        <v>57</v>
      </c>
      <c r="B1306" s="4">
        <v>40.0</v>
      </c>
      <c r="C1306" s="4" t="s">
        <v>890</v>
      </c>
      <c r="D1306" s="4" t="s">
        <v>1224</v>
      </c>
      <c r="E1306" s="16">
        <v>7.435792940668762E-5</v>
      </c>
      <c r="F1306" s="16">
        <v>0.9999910859316969</v>
      </c>
      <c r="G1306" s="16"/>
      <c r="H1306" s="16">
        <v>0.09090909090909091</v>
      </c>
      <c r="I1306" s="16">
        <v>0.08333333333333333</v>
      </c>
      <c r="J1306" s="16">
        <v>0.0</v>
      </c>
      <c r="K1306" s="4">
        <v>0.0</v>
      </c>
      <c r="M1306" s="4" t="s">
        <v>32</v>
      </c>
    </row>
    <row r="1307" ht="18.0" customHeight="1">
      <c r="A1307" s="4" t="s">
        <v>57</v>
      </c>
      <c r="B1307" s="4">
        <v>41.0</v>
      </c>
      <c r="C1307" s="4" t="s">
        <v>504</v>
      </c>
      <c r="D1307" s="4" t="s">
        <v>504</v>
      </c>
      <c r="E1307" s="16">
        <v>2.624900662340224E-4</v>
      </c>
      <c r="F1307" s="16">
        <v>0.9999726587302575</v>
      </c>
      <c r="G1307" s="16"/>
      <c r="H1307" s="16">
        <v>0.09090909090909091</v>
      </c>
      <c r="I1307" s="16">
        <v>0.0</v>
      </c>
      <c r="J1307" s="16">
        <v>0.0</v>
      </c>
      <c r="K1307" s="4">
        <v>0.0</v>
      </c>
      <c r="M1307" s="4" t="s">
        <v>32</v>
      </c>
    </row>
    <row r="1308" ht="18.0" customHeight="1">
      <c r="A1308" s="4" t="s">
        <v>57</v>
      </c>
      <c r="B1308" s="4">
        <v>42.0</v>
      </c>
      <c r="C1308" s="4" t="s">
        <v>326</v>
      </c>
      <c r="D1308" s="4" t="s">
        <v>582</v>
      </c>
      <c r="E1308" s="16">
        <v>8.813287422526628E-6</v>
      </c>
      <c r="F1308" s="16">
        <v>0.9999990108728412</v>
      </c>
      <c r="G1308" s="16"/>
      <c r="H1308" s="16">
        <v>1.0</v>
      </c>
      <c r="I1308" s="16">
        <v>0.5416666666666666</v>
      </c>
      <c r="J1308" s="16">
        <v>0.6</v>
      </c>
      <c r="K1308" s="4">
        <v>0.0</v>
      </c>
      <c r="M1308" s="4" t="s">
        <v>32</v>
      </c>
    </row>
    <row r="1309" ht="18.0" customHeight="1">
      <c r="A1309" s="4" t="s">
        <v>57</v>
      </c>
      <c r="B1309" s="4">
        <v>43.0</v>
      </c>
      <c r="C1309" s="4" t="s">
        <v>262</v>
      </c>
      <c r="D1309" s="4" t="s">
        <v>1225</v>
      </c>
      <c r="E1309" s="16">
        <v>1.3264923472888768E-4</v>
      </c>
      <c r="F1309" s="16">
        <v>0.9999861212363612</v>
      </c>
      <c r="G1309" s="16"/>
      <c r="H1309" s="16">
        <v>0.0</v>
      </c>
      <c r="I1309" s="16">
        <v>0.08333333333333333</v>
      </c>
      <c r="J1309" s="16">
        <v>0.0</v>
      </c>
      <c r="K1309" s="4">
        <v>0.0</v>
      </c>
      <c r="M1309" s="4" t="s">
        <v>32</v>
      </c>
    </row>
    <row r="1310" ht="18.0" customHeight="1">
      <c r="A1310" s="4" t="s">
        <v>57</v>
      </c>
      <c r="B1310" s="4">
        <v>44.0</v>
      </c>
      <c r="C1310" s="4" t="s">
        <v>854</v>
      </c>
      <c r="D1310" s="4" t="s">
        <v>159</v>
      </c>
      <c r="E1310" s="16">
        <v>0.009280496276915073</v>
      </c>
      <c r="F1310" s="16">
        <v>0.9977794212754816</v>
      </c>
      <c r="G1310" s="16"/>
      <c r="H1310" s="16">
        <v>0.5454545454545454</v>
      </c>
      <c r="I1310" s="16">
        <v>0.4166666666666667</v>
      </c>
      <c r="J1310" s="16">
        <v>0.6666666666666667</v>
      </c>
      <c r="K1310" s="4">
        <v>0.0</v>
      </c>
      <c r="M1310" s="4" t="s">
        <v>32</v>
      </c>
    </row>
    <row r="1311" ht="18.0" customHeight="1">
      <c r="A1311" s="4" t="s">
        <v>57</v>
      </c>
      <c r="B1311" s="4">
        <v>45.0</v>
      </c>
      <c r="C1311" s="4" t="s">
        <v>1219</v>
      </c>
      <c r="D1311" s="4" t="s">
        <v>1221</v>
      </c>
      <c r="E1311" s="16">
        <v>2.8652188120759092E-5</v>
      </c>
      <c r="F1311" s="16">
        <v>0.999997690965813</v>
      </c>
      <c r="G1311" s="16"/>
      <c r="H1311" s="16">
        <v>0.0</v>
      </c>
      <c r="I1311" s="16">
        <v>0.016666666666666666</v>
      </c>
      <c r="J1311" s="16">
        <v>0.0</v>
      </c>
      <c r="K1311" s="4">
        <v>0.0</v>
      </c>
      <c r="M1311" s="4" t="s">
        <v>32</v>
      </c>
    </row>
    <row r="1312" ht="18.0" customHeight="1">
      <c r="A1312" s="4" t="s">
        <v>57</v>
      </c>
      <c r="B1312" s="4">
        <v>46.0</v>
      </c>
      <c r="C1312" s="4" t="s">
        <v>327</v>
      </c>
      <c r="D1312" s="4" t="s">
        <v>803</v>
      </c>
      <c r="E1312" s="16">
        <v>0.0014809644781053066</v>
      </c>
      <c r="F1312" s="16">
        <v>0.9997945423820056</v>
      </c>
      <c r="G1312" s="16"/>
      <c r="H1312" s="16">
        <v>0.0</v>
      </c>
      <c r="I1312" s="16">
        <v>0.08333333333333333</v>
      </c>
      <c r="J1312" s="16">
        <v>0.4</v>
      </c>
      <c r="K1312" s="4">
        <v>0.0</v>
      </c>
      <c r="M1312" s="4" t="s">
        <v>32</v>
      </c>
    </row>
    <row r="1313" ht="18.0" customHeight="1">
      <c r="A1313" s="4" t="s">
        <v>57</v>
      </c>
      <c r="B1313" s="4">
        <v>47.0</v>
      </c>
      <c r="C1313" s="4" t="s">
        <v>159</v>
      </c>
      <c r="D1313" s="4" t="s">
        <v>270</v>
      </c>
      <c r="E1313" s="16">
        <v>4.112224360142136E-6</v>
      </c>
      <c r="F1313" s="16">
        <v>0.9999996041163968</v>
      </c>
      <c r="G1313" s="16"/>
      <c r="H1313" s="16">
        <v>1.0</v>
      </c>
      <c r="I1313" s="16">
        <v>0.4083333333333334</v>
      </c>
      <c r="J1313" s="16">
        <v>0.0</v>
      </c>
      <c r="K1313" s="4">
        <v>0.0</v>
      </c>
      <c r="M1313" s="4" t="s">
        <v>32</v>
      </c>
    </row>
    <row r="1314" ht="18.0" customHeight="1">
      <c r="A1314" s="4" t="s">
        <v>57</v>
      </c>
      <c r="B1314" s="4">
        <v>48.0</v>
      </c>
      <c r="C1314" s="4" t="s">
        <v>270</v>
      </c>
      <c r="D1314" s="4" t="s">
        <v>851</v>
      </c>
      <c r="E1314" s="16">
        <v>0.002900172723457217</v>
      </c>
      <c r="F1314" s="16">
        <v>0.9993734049494378</v>
      </c>
      <c r="G1314" s="16"/>
      <c r="H1314" s="16">
        <v>0.09090909090909091</v>
      </c>
      <c r="I1314" s="16">
        <v>0.16666666666666666</v>
      </c>
      <c r="J1314" s="16">
        <v>0.5</v>
      </c>
      <c r="K1314" s="4">
        <v>0.0</v>
      </c>
      <c r="M1314" s="4" t="s">
        <v>32</v>
      </c>
    </row>
    <row r="1315" ht="18.0" customHeight="1">
      <c r="A1315" s="4" t="s">
        <v>57</v>
      </c>
      <c r="B1315" s="4">
        <v>49.0</v>
      </c>
      <c r="C1315" s="4" t="s">
        <v>115</v>
      </c>
      <c r="D1315" s="4" t="s">
        <v>225</v>
      </c>
      <c r="E1315" s="16">
        <v>1.2968877172170323E-6</v>
      </c>
      <c r="F1315" s="16">
        <v>0.9999999523496044</v>
      </c>
      <c r="G1315" s="16"/>
      <c r="H1315" s="16">
        <v>1.0</v>
      </c>
      <c r="I1315" s="16">
        <v>0.41250000000000003</v>
      </c>
      <c r="J1315" s="16">
        <v>1.0</v>
      </c>
      <c r="K1315" s="4">
        <v>0.0</v>
      </c>
      <c r="M1315" s="4" t="s">
        <v>32</v>
      </c>
    </row>
    <row r="1316" ht="18.0" customHeight="1">
      <c r="A1316" s="4" t="s">
        <v>57</v>
      </c>
      <c r="B1316" s="4">
        <v>50.0</v>
      </c>
      <c r="C1316" s="4" t="s">
        <v>762</v>
      </c>
      <c r="D1316" s="4" t="s">
        <v>270</v>
      </c>
      <c r="E1316" s="16">
        <v>6.00930827204138E-4</v>
      </c>
      <c r="F1316" s="16">
        <v>0.9999332082425099</v>
      </c>
      <c r="G1316" s="16"/>
      <c r="H1316" s="16">
        <v>0.2727272727272727</v>
      </c>
      <c r="I1316" s="16">
        <v>0.125</v>
      </c>
      <c r="J1316" s="16">
        <v>0.6666666666666667</v>
      </c>
      <c r="K1316" s="4">
        <v>0.0</v>
      </c>
      <c r="M1316" s="4" t="s">
        <v>32</v>
      </c>
    </row>
    <row r="1317" ht="18.0" customHeight="1">
      <c r="A1317" s="4" t="s">
        <v>57</v>
      </c>
      <c r="B1317" s="4">
        <v>51.0</v>
      </c>
      <c r="C1317" s="4" t="s">
        <v>225</v>
      </c>
      <c r="D1317" s="4" t="s">
        <v>467</v>
      </c>
      <c r="E1317" s="16">
        <v>0.0011527740862220526</v>
      </c>
      <c r="F1317" s="16">
        <v>0.9997921293397667</v>
      </c>
      <c r="G1317" s="16"/>
      <c r="H1317" s="16">
        <v>1.0</v>
      </c>
      <c r="I1317" s="16">
        <v>0.4708333333333334</v>
      </c>
      <c r="J1317" s="16">
        <v>1.0</v>
      </c>
      <c r="K1317" s="4">
        <v>0.0</v>
      </c>
      <c r="M1317" s="4" t="s">
        <v>32</v>
      </c>
    </row>
    <row r="1318" ht="18.0" customHeight="1">
      <c r="A1318" s="4" t="s">
        <v>57</v>
      </c>
      <c r="B1318" s="4">
        <v>52.0</v>
      </c>
      <c r="C1318" s="4" t="s">
        <v>582</v>
      </c>
      <c r="D1318" s="4" t="s">
        <v>907</v>
      </c>
      <c r="E1318" s="16">
        <v>5.6613076594658196E-5</v>
      </c>
      <c r="F1318" s="16">
        <v>0.9999942501813166</v>
      </c>
      <c r="G1318" s="16"/>
      <c r="H1318" s="16">
        <v>0.0</v>
      </c>
      <c r="I1318" s="16">
        <v>0.0</v>
      </c>
      <c r="J1318" s="16">
        <v>0.0</v>
      </c>
      <c r="K1318" s="4">
        <v>0.0</v>
      </c>
      <c r="M1318" s="4" t="s">
        <v>32</v>
      </c>
    </row>
    <row r="1319" ht="18.0" customHeight="1">
      <c r="A1319" s="4" t="s">
        <v>57</v>
      </c>
      <c r="B1319" s="4">
        <v>53.0</v>
      </c>
      <c r="C1319" s="4" t="s">
        <v>859</v>
      </c>
      <c r="D1319" s="4" t="s">
        <v>1226</v>
      </c>
      <c r="E1319" s="16">
        <v>6.596158527827356E-6</v>
      </c>
      <c r="F1319" s="16">
        <v>0.9999995789187892</v>
      </c>
      <c r="G1319" s="16"/>
      <c r="H1319" s="16">
        <v>0.09090909090909091</v>
      </c>
      <c r="I1319" s="16">
        <v>0.041666666666666664</v>
      </c>
      <c r="J1319" s="16">
        <v>0.0</v>
      </c>
      <c r="K1319" s="4">
        <v>0.0</v>
      </c>
      <c r="M1319" s="4" t="s">
        <v>32</v>
      </c>
    </row>
    <row r="1320" ht="18.0" customHeight="1">
      <c r="A1320" s="4" t="s">
        <v>57</v>
      </c>
      <c r="B1320" s="4">
        <v>54.0</v>
      </c>
      <c r="C1320" s="4" t="s">
        <v>848</v>
      </c>
      <c r="D1320" s="4" t="s">
        <v>849</v>
      </c>
      <c r="E1320" s="16">
        <v>1.943463576026261E-5</v>
      </c>
      <c r="F1320" s="16">
        <v>0.9999983765160891</v>
      </c>
      <c r="G1320" s="16"/>
      <c r="H1320" s="16">
        <v>1.0</v>
      </c>
      <c r="I1320" s="16">
        <v>0.4083333333333334</v>
      </c>
      <c r="J1320" s="16">
        <v>0.19999999999999996</v>
      </c>
      <c r="K1320" s="4">
        <v>0.0</v>
      </c>
      <c r="M1320" s="4" t="s">
        <v>32</v>
      </c>
    </row>
    <row r="1321" ht="18.0" customHeight="1">
      <c r="A1321" s="4" t="s">
        <v>57</v>
      </c>
      <c r="B1321" s="4">
        <v>55.0</v>
      </c>
      <c r="C1321" s="4" t="s">
        <v>845</v>
      </c>
      <c r="D1321" s="4" t="s">
        <v>846</v>
      </c>
      <c r="E1321" s="16">
        <v>3.4211145703011425E-6</v>
      </c>
      <c r="F1321" s="16">
        <v>0.9999998114598014</v>
      </c>
      <c r="G1321" s="16"/>
      <c r="H1321" s="16">
        <v>0.0</v>
      </c>
      <c r="I1321" s="16">
        <v>0.016666666666666666</v>
      </c>
      <c r="J1321" s="16">
        <v>0.0</v>
      </c>
      <c r="K1321" s="4">
        <v>0.0</v>
      </c>
      <c r="M1321" s="4" t="s">
        <v>32</v>
      </c>
    </row>
    <row r="1322" ht="18.0" customHeight="1">
      <c r="A1322" s="4" t="s">
        <v>57</v>
      </c>
      <c r="B1322" s="4">
        <v>56.0</v>
      </c>
      <c r="C1322" s="4" t="s">
        <v>838</v>
      </c>
      <c r="D1322" s="4" t="s">
        <v>1227</v>
      </c>
      <c r="E1322" s="16">
        <v>2.0584650428645546E-6</v>
      </c>
      <c r="F1322" s="16">
        <v>0.9999997971616708</v>
      </c>
      <c r="G1322" s="16"/>
      <c r="H1322" s="16">
        <v>0.9090909090909091</v>
      </c>
      <c r="I1322" s="16">
        <v>0.4791666666666667</v>
      </c>
      <c r="J1322" s="16">
        <v>0.6938775510204083</v>
      </c>
      <c r="K1322" s="4">
        <v>0.0</v>
      </c>
      <c r="M1322" s="4" t="s">
        <v>32</v>
      </c>
    </row>
    <row r="1323" ht="18.0" customHeight="1">
      <c r="A1323" s="4" t="s">
        <v>57</v>
      </c>
      <c r="B1323" s="4">
        <v>57.0</v>
      </c>
      <c r="C1323" s="4" t="s">
        <v>100</v>
      </c>
      <c r="D1323" s="4" t="s">
        <v>101</v>
      </c>
      <c r="E1323" s="16">
        <v>8.141842954501044E-6</v>
      </c>
      <c r="F1323" s="16">
        <v>0.9999992446356032</v>
      </c>
      <c r="G1323" s="16"/>
      <c r="H1323" s="16">
        <v>0.09090909090909091</v>
      </c>
      <c r="I1323" s="16">
        <v>0.041666666666666664</v>
      </c>
      <c r="J1323" s="16">
        <v>0.0</v>
      </c>
      <c r="K1323" s="4">
        <v>0.0</v>
      </c>
      <c r="M1323" s="4" t="s">
        <v>32</v>
      </c>
    </row>
    <row r="1324" ht="18.0" customHeight="1">
      <c r="A1324" s="4" t="s">
        <v>57</v>
      </c>
      <c r="B1324" s="4">
        <v>58.0</v>
      </c>
      <c r="C1324" s="4" t="s">
        <v>398</v>
      </c>
      <c r="D1324" s="4" t="s">
        <v>1228</v>
      </c>
      <c r="E1324" s="16">
        <v>1.8910361632151762E-6</v>
      </c>
      <c r="F1324" s="16">
        <v>0.9999999572864624</v>
      </c>
      <c r="G1324" s="16"/>
      <c r="H1324" s="16">
        <v>0.0</v>
      </c>
      <c r="I1324" s="16">
        <v>0.016666666666666666</v>
      </c>
      <c r="J1324" s="16">
        <v>0.0</v>
      </c>
      <c r="K1324" s="4">
        <v>0.0</v>
      </c>
      <c r="M1324" s="4" t="s">
        <v>32</v>
      </c>
    </row>
    <row r="1325" ht="18.0" customHeight="1">
      <c r="A1325" s="4" t="s">
        <v>57</v>
      </c>
      <c r="B1325" s="4">
        <v>59.0</v>
      </c>
      <c r="C1325" s="4" t="s">
        <v>504</v>
      </c>
      <c r="D1325" s="4" t="s">
        <v>505</v>
      </c>
      <c r="E1325" s="16">
        <v>0.00106478959787637</v>
      </c>
      <c r="F1325" s="16">
        <v>0.9998156260771793</v>
      </c>
      <c r="G1325" s="16"/>
      <c r="H1325" s="16">
        <v>1.0</v>
      </c>
      <c r="I1325" s="16">
        <v>0.45416666666666666</v>
      </c>
      <c r="J1325" s="16">
        <v>0.0</v>
      </c>
      <c r="K1325" s="4">
        <v>0.0</v>
      </c>
      <c r="M1325" s="4" t="s">
        <v>32</v>
      </c>
    </row>
    <row r="1326" ht="18.0" customHeight="1">
      <c r="A1326" s="4" t="s">
        <v>57</v>
      </c>
      <c r="B1326" s="4">
        <v>60.0</v>
      </c>
      <c r="C1326" s="4" t="s">
        <v>326</v>
      </c>
      <c r="D1326" s="4" t="s">
        <v>582</v>
      </c>
      <c r="E1326" s="16">
        <v>4.265612915332895E-6</v>
      </c>
      <c r="F1326" s="16">
        <v>0.9999997522715063</v>
      </c>
      <c r="G1326" s="16"/>
      <c r="H1326" s="16">
        <v>1.0</v>
      </c>
      <c r="I1326" s="16">
        <v>0.5416666666666666</v>
      </c>
      <c r="J1326" s="16">
        <v>0.25</v>
      </c>
      <c r="K1326" s="4">
        <v>0.0</v>
      </c>
      <c r="M1326" s="4" t="s">
        <v>32</v>
      </c>
    </row>
    <row r="1327" ht="18.0" customHeight="1">
      <c r="A1327" s="4" t="s">
        <v>57</v>
      </c>
      <c r="B1327" s="4">
        <v>61.0</v>
      </c>
      <c r="C1327" s="4" t="s">
        <v>262</v>
      </c>
      <c r="D1327" s="4" t="s">
        <v>1225</v>
      </c>
      <c r="E1327" s="16">
        <v>1.4613387975259684E-5</v>
      </c>
      <c r="F1327" s="16">
        <v>0.9999984473985819</v>
      </c>
      <c r="G1327" s="16"/>
      <c r="H1327" s="16">
        <v>0.0</v>
      </c>
      <c r="I1327" s="16">
        <v>0.08333333333333333</v>
      </c>
      <c r="J1327" s="16">
        <v>0.0</v>
      </c>
      <c r="K1327" s="4">
        <v>0.0</v>
      </c>
      <c r="M1327" s="4" t="s">
        <v>32</v>
      </c>
    </row>
    <row r="1328" ht="18.0" customHeight="1">
      <c r="A1328" s="4" t="s">
        <v>57</v>
      </c>
      <c r="B1328" s="4">
        <v>62.0</v>
      </c>
      <c r="C1328" s="4" t="s">
        <v>854</v>
      </c>
      <c r="D1328" s="4" t="s">
        <v>159</v>
      </c>
      <c r="E1328" s="16">
        <v>4.915671161143109E-5</v>
      </c>
      <c r="F1328" s="16">
        <v>0.9999953102227437</v>
      </c>
      <c r="G1328" s="16"/>
      <c r="H1328" s="16">
        <v>1.0</v>
      </c>
      <c r="I1328" s="16">
        <v>0.6458333333333334</v>
      </c>
      <c r="J1328" s="16">
        <v>0.8</v>
      </c>
      <c r="K1328" s="4">
        <v>1.0</v>
      </c>
      <c r="L1328" s="4">
        <v>0.0</v>
      </c>
      <c r="M1328" s="4" t="s">
        <v>239</v>
      </c>
    </row>
    <row r="1329" ht="18.0" customHeight="1">
      <c r="A1329" s="4" t="s">
        <v>57</v>
      </c>
      <c r="B1329" s="4">
        <v>63.0</v>
      </c>
      <c r="C1329" s="4" t="s">
        <v>1219</v>
      </c>
      <c r="D1329" s="4" t="s">
        <v>1221</v>
      </c>
      <c r="E1329" s="16">
        <v>2.447976112307515E-5</v>
      </c>
      <c r="F1329" s="16">
        <v>0.9999975017855149</v>
      </c>
      <c r="G1329" s="16"/>
      <c r="H1329" s="16">
        <v>0.0</v>
      </c>
      <c r="I1329" s="16">
        <v>0.016666666666666666</v>
      </c>
      <c r="J1329" s="16">
        <v>0.0</v>
      </c>
      <c r="K1329" s="4">
        <v>0.0</v>
      </c>
      <c r="M1329" s="4" t="s">
        <v>32</v>
      </c>
    </row>
    <row r="1330" ht="18.0" customHeight="1">
      <c r="A1330" s="4" t="s">
        <v>57</v>
      </c>
      <c r="B1330" s="4">
        <v>64.0</v>
      </c>
      <c r="C1330" s="4" t="s">
        <v>327</v>
      </c>
      <c r="D1330" s="4" t="s">
        <v>803</v>
      </c>
      <c r="E1330" s="16">
        <v>4.435757091414416E-6</v>
      </c>
      <c r="F1330" s="16">
        <v>0.9999995513380355</v>
      </c>
      <c r="G1330" s="16"/>
      <c r="H1330" s="16">
        <v>0.0</v>
      </c>
      <c r="I1330" s="16">
        <v>0.08333333333333333</v>
      </c>
      <c r="J1330" s="16">
        <v>0.4</v>
      </c>
      <c r="K1330" s="4">
        <v>0.0</v>
      </c>
      <c r="M1330" s="4" t="s">
        <v>32</v>
      </c>
    </row>
    <row r="1331" ht="18.0" customHeight="1">
      <c r="A1331" s="4" t="s">
        <v>57</v>
      </c>
      <c r="B1331" s="4">
        <v>65.0</v>
      </c>
      <c r="C1331" s="4" t="s">
        <v>159</v>
      </c>
      <c r="D1331" s="4" t="s">
        <v>270</v>
      </c>
      <c r="E1331" s="16">
        <v>5.003973456041422E-6</v>
      </c>
      <c r="F1331" s="16">
        <v>0.9999995412482434</v>
      </c>
      <c r="G1331" s="16"/>
      <c r="H1331" s="16">
        <v>1.0</v>
      </c>
      <c r="I1331" s="16">
        <v>0.4708333333333334</v>
      </c>
      <c r="J1331" s="16">
        <v>0.25</v>
      </c>
      <c r="K1331" s="4">
        <v>0.0</v>
      </c>
      <c r="M1331" s="4" t="s">
        <v>32</v>
      </c>
    </row>
    <row r="1332" ht="18.0" customHeight="1">
      <c r="A1332" s="4" t="s">
        <v>57</v>
      </c>
      <c r="B1332" s="4">
        <v>66.0</v>
      </c>
      <c r="C1332" s="4" t="s">
        <v>270</v>
      </c>
      <c r="D1332" s="4" t="s">
        <v>159</v>
      </c>
      <c r="E1332" s="16">
        <v>3.934818323614309E-6</v>
      </c>
      <c r="F1332" s="16">
        <v>0.9999998135928863</v>
      </c>
      <c r="G1332" s="16"/>
      <c r="H1332" s="16">
        <v>1.0</v>
      </c>
      <c r="I1332" s="16">
        <v>0.4708333333333334</v>
      </c>
      <c r="J1332" s="16">
        <v>0.1897590361445783</v>
      </c>
      <c r="K1332" s="4">
        <v>0.0</v>
      </c>
      <c r="M1332" s="4" t="s">
        <v>32</v>
      </c>
    </row>
    <row r="1333" ht="18.0" customHeight="1">
      <c r="A1333" s="4" t="s">
        <v>57</v>
      </c>
      <c r="B1333" s="4">
        <v>67.0</v>
      </c>
      <c r="C1333" s="4" t="s">
        <v>115</v>
      </c>
      <c r="D1333" s="4" t="s">
        <v>225</v>
      </c>
      <c r="E1333" s="16">
        <v>7.645752475582412E-7</v>
      </c>
      <c r="F1333" s="16">
        <v>0.9999999669935384</v>
      </c>
      <c r="G1333" s="16"/>
      <c r="H1333" s="16">
        <v>1.0</v>
      </c>
      <c r="I1333" s="16">
        <v>0.37083333333333335</v>
      </c>
      <c r="J1333" s="16">
        <v>0.25</v>
      </c>
      <c r="K1333" s="4">
        <v>0.0</v>
      </c>
      <c r="M1333" s="4" t="s">
        <v>32</v>
      </c>
    </row>
    <row r="1334" ht="18.0" customHeight="1">
      <c r="A1334" s="4" t="s">
        <v>57</v>
      </c>
      <c r="B1334" s="4">
        <v>68.0</v>
      </c>
      <c r="C1334" s="4" t="s">
        <v>270</v>
      </c>
      <c r="D1334" s="4" t="s">
        <v>851</v>
      </c>
      <c r="E1334" s="16">
        <v>1.2594091458595358E-5</v>
      </c>
      <c r="F1334" s="16">
        <v>0.9999990350742962</v>
      </c>
      <c r="G1334" s="16"/>
      <c r="H1334" s="16">
        <v>0.0</v>
      </c>
      <c r="I1334" s="16">
        <v>0.08333333333333333</v>
      </c>
      <c r="J1334" s="16">
        <v>0.4</v>
      </c>
      <c r="K1334" s="4">
        <v>0.0</v>
      </c>
      <c r="M1334" s="4" t="s">
        <v>32</v>
      </c>
    </row>
    <row r="1335" ht="18.0" customHeight="1">
      <c r="A1335" s="4" t="s">
        <v>57</v>
      </c>
      <c r="B1335" s="4">
        <v>69.0</v>
      </c>
      <c r="C1335" s="4" t="s">
        <v>225</v>
      </c>
      <c r="D1335" s="4" t="s">
        <v>258</v>
      </c>
      <c r="E1335" s="16">
        <v>4.683865699917078E-5</v>
      </c>
      <c r="F1335" s="16">
        <v>0.9999956426237304</v>
      </c>
      <c r="G1335" s="16"/>
      <c r="H1335" s="16">
        <v>1.0</v>
      </c>
      <c r="I1335" s="16">
        <v>0.325</v>
      </c>
      <c r="J1335" s="16">
        <v>0.25</v>
      </c>
      <c r="K1335" s="4">
        <v>0.0</v>
      </c>
      <c r="M1335" s="4" t="s">
        <v>32</v>
      </c>
    </row>
    <row r="1336" ht="18.0" customHeight="1">
      <c r="A1336" s="4" t="s">
        <v>57</v>
      </c>
      <c r="B1336" s="4">
        <v>70.0</v>
      </c>
      <c r="C1336" s="4" t="s">
        <v>582</v>
      </c>
      <c r="D1336" s="4" t="s">
        <v>907</v>
      </c>
      <c r="E1336" s="16">
        <v>3.628872582339682E-5</v>
      </c>
      <c r="F1336" s="16">
        <v>0.999996506106072</v>
      </c>
      <c r="G1336" s="16"/>
      <c r="H1336" s="16">
        <v>0.0</v>
      </c>
      <c r="I1336" s="16">
        <v>0.0</v>
      </c>
      <c r="J1336" s="16">
        <v>0.0</v>
      </c>
      <c r="K1336" s="4">
        <v>0.0</v>
      </c>
      <c r="M1336" s="4" t="s">
        <v>32</v>
      </c>
    </row>
    <row r="1337" ht="18.0" customHeight="1">
      <c r="A1337" s="4" t="s">
        <v>57</v>
      </c>
      <c r="B1337" s="4">
        <v>71.0</v>
      </c>
      <c r="C1337" s="4" t="s">
        <v>859</v>
      </c>
      <c r="D1337" s="4" t="s">
        <v>1226</v>
      </c>
      <c r="E1337" s="16">
        <v>4.0984841689351015E-6</v>
      </c>
      <c r="F1337" s="16">
        <v>0.9999997783262629</v>
      </c>
      <c r="G1337" s="16"/>
      <c r="H1337" s="16">
        <v>0.09090909090909091</v>
      </c>
      <c r="I1337" s="16">
        <v>0.041666666666666664</v>
      </c>
      <c r="J1337" s="16">
        <v>0.0</v>
      </c>
      <c r="K1337" s="4">
        <v>0.0</v>
      </c>
      <c r="M1337" s="4" t="s">
        <v>32</v>
      </c>
    </row>
    <row r="1338" ht="18.0" customHeight="1">
      <c r="A1338" s="4" t="s">
        <v>57</v>
      </c>
      <c r="B1338" s="4">
        <v>72.0</v>
      </c>
      <c r="C1338" s="4" t="s">
        <v>848</v>
      </c>
      <c r="D1338" s="4" t="s">
        <v>849</v>
      </c>
      <c r="E1338" s="16">
        <v>2.8661168471444398E-5</v>
      </c>
      <c r="F1338" s="16">
        <v>0.9999975331879796</v>
      </c>
      <c r="G1338" s="16"/>
      <c r="H1338" s="16">
        <v>1.0</v>
      </c>
      <c r="I1338" s="16">
        <v>0.4708333333333334</v>
      </c>
      <c r="J1338" s="16">
        <v>0.0</v>
      </c>
      <c r="K1338" s="4">
        <v>0.0</v>
      </c>
      <c r="M1338" s="4" t="s">
        <v>32</v>
      </c>
    </row>
    <row r="1339" ht="18.0" customHeight="1">
      <c r="A1339" s="4" t="s">
        <v>57</v>
      </c>
      <c r="B1339" s="4">
        <v>73.0</v>
      </c>
      <c r="C1339" s="4" t="s">
        <v>845</v>
      </c>
      <c r="D1339" s="4" t="s">
        <v>846</v>
      </c>
      <c r="E1339" s="16">
        <v>1.8772768726194045E-6</v>
      </c>
      <c r="F1339" s="16">
        <v>0.9999999715466519</v>
      </c>
      <c r="G1339" s="16"/>
      <c r="H1339" s="16">
        <v>0.0</v>
      </c>
      <c r="I1339" s="16">
        <v>0.016666666666666666</v>
      </c>
      <c r="J1339" s="16">
        <v>0.0</v>
      </c>
      <c r="K1339" s="4">
        <v>0.0</v>
      </c>
      <c r="M1339" s="4" t="s">
        <v>32</v>
      </c>
    </row>
    <row r="1340" ht="18.0" customHeight="1">
      <c r="A1340" s="4" t="s">
        <v>57</v>
      </c>
      <c r="B1340" s="4">
        <v>74.0</v>
      </c>
      <c r="C1340" s="4" t="s">
        <v>838</v>
      </c>
      <c r="D1340" s="4" t="s">
        <v>1227</v>
      </c>
      <c r="E1340" s="16">
        <v>2.8928070605616085E-6</v>
      </c>
      <c r="F1340" s="16">
        <v>0.9999997917680616</v>
      </c>
      <c r="G1340" s="16"/>
      <c r="H1340" s="16">
        <v>0.9090909090909091</v>
      </c>
      <c r="I1340" s="16">
        <v>0.5208333333333334</v>
      </c>
      <c r="J1340" s="16">
        <v>0.5268817204301076</v>
      </c>
      <c r="K1340" s="4">
        <v>0.0</v>
      </c>
      <c r="M1340" s="4" t="s">
        <v>32</v>
      </c>
    </row>
    <row r="1341" ht="18.0" customHeight="1">
      <c r="A1341" s="4" t="s">
        <v>57</v>
      </c>
      <c r="B1341" s="4">
        <v>75.0</v>
      </c>
      <c r="C1341" s="4" t="s">
        <v>100</v>
      </c>
      <c r="D1341" s="4" t="s">
        <v>101</v>
      </c>
      <c r="E1341" s="16">
        <v>9.548401976644527E-6</v>
      </c>
      <c r="F1341" s="16">
        <v>0.9999989390945814</v>
      </c>
      <c r="G1341" s="16"/>
      <c r="H1341" s="16">
        <v>0.09090909090909091</v>
      </c>
      <c r="I1341" s="16">
        <v>0.041666666666666664</v>
      </c>
      <c r="J1341" s="16">
        <v>0.0</v>
      </c>
      <c r="K1341" s="4">
        <v>0.0</v>
      </c>
      <c r="M1341" s="4" t="s">
        <v>32</v>
      </c>
    </row>
    <row r="1342" ht="18.0" customHeight="1">
      <c r="A1342" s="4" t="s">
        <v>57</v>
      </c>
      <c r="B1342" s="4">
        <v>76.0</v>
      </c>
      <c r="C1342" s="4" t="s">
        <v>398</v>
      </c>
      <c r="D1342" s="4" t="s">
        <v>1228</v>
      </c>
      <c r="E1342" s="16">
        <v>2.270177355967462E-5</v>
      </c>
      <c r="F1342" s="16">
        <v>0.9999968967819086</v>
      </c>
      <c r="G1342" s="16"/>
      <c r="H1342" s="16">
        <v>0.09090909090909091</v>
      </c>
      <c r="I1342" s="16">
        <v>0.09999999999999999</v>
      </c>
      <c r="J1342" s="16">
        <v>0.4</v>
      </c>
      <c r="K1342" s="4">
        <v>0.0</v>
      </c>
      <c r="M1342" s="4" t="s">
        <v>32</v>
      </c>
    </row>
    <row r="1343" ht="18.0" customHeight="1">
      <c r="A1343" s="4" t="s">
        <v>57</v>
      </c>
      <c r="B1343" s="4">
        <v>77.0</v>
      </c>
      <c r="C1343" s="4" t="s">
        <v>412</v>
      </c>
      <c r="D1343" s="4" t="s">
        <v>504</v>
      </c>
      <c r="E1343" s="16">
        <v>1.4799717973801307E-5</v>
      </c>
      <c r="F1343" s="16">
        <v>0.9999989487766072</v>
      </c>
      <c r="G1343" s="16"/>
      <c r="H1343" s="16">
        <v>1.0</v>
      </c>
      <c r="I1343" s="16">
        <v>0.45416666666666666</v>
      </c>
      <c r="J1343" s="16">
        <v>0.18902439024390247</v>
      </c>
      <c r="K1343" s="4">
        <v>0.0</v>
      </c>
      <c r="M1343" s="4" t="s">
        <v>32</v>
      </c>
    </row>
    <row r="1344" ht="18.0" customHeight="1">
      <c r="A1344" s="4" t="s">
        <v>57</v>
      </c>
      <c r="B1344" s="4">
        <v>78.0</v>
      </c>
      <c r="C1344" s="4" t="s">
        <v>504</v>
      </c>
      <c r="D1344" s="4" t="s">
        <v>505</v>
      </c>
      <c r="E1344" s="16">
        <v>4.1502463864162564E-4</v>
      </c>
      <c r="F1344" s="16">
        <v>0.9999338102898037</v>
      </c>
      <c r="G1344" s="16"/>
      <c r="H1344" s="16">
        <v>1.0</v>
      </c>
      <c r="I1344" s="16">
        <v>0.45416666666666666</v>
      </c>
      <c r="J1344" s="16">
        <v>0.0</v>
      </c>
      <c r="K1344" s="4">
        <v>0.0</v>
      </c>
      <c r="M1344" s="4" t="s">
        <v>32</v>
      </c>
    </row>
    <row r="1345" ht="18.0" customHeight="1">
      <c r="A1345" s="4" t="s">
        <v>57</v>
      </c>
      <c r="B1345" s="4">
        <v>79.0</v>
      </c>
      <c r="C1345" s="4" t="s">
        <v>326</v>
      </c>
      <c r="D1345" s="4" t="s">
        <v>627</v>
      </c>
      <c r="E1345" s="16">
        <v>1.1991442988801282E-5</v>
      </c>
      <c r="F1345" s="16">
        <v>0.9999991170218294</v>
      </c>
      <c r="G1345" s="16"/>
      <c r="H1345" s="16">
        <v>0.0</v>
      </c>
      <c r="I1345" s="16">
        <v>0.0</v>
      </c>
      <c r="J1345" s="16">
        <v>0.0</v>
      </c>
      <c r="K1345" s="4">
        <v>0.0</v>
      </c>
      <c r="M1345" s="4" t="s">
        <v>32</v>
      </c>
    </row>
    <row r="1346" ht="18.0" customHeight="1">
      <c r="A1346" s="4" t="s">
        <v>57</v>
      </c>
      <c r="B1346" s="4">
        <v>80.0</v>
      </c>
      <c r="C1346" s="4" t="s">
        <v>262</v>
      </c>
      <c r="D1346" s="4" t="s">
        <v>1225</v>
      </c>
      <c r="E1346" s="16">
        <v>2.8505242880783044E-5</v>
      </c>
      <c r="F1346" s="16">
        <v>0.9999971751241219</v>
      </c>
      <c r="G1346" s="16"/>
      <c r="H1346" s="16">
        <v>0.0</v>
      </c>
      <c r="I1346" s="16">
        <v>0.08333333333333333</v>
      </c>
      <c r="J1346" s="16">
        <v>0.0</v>
      </c>
      <c r="K1346" s="4">
        <v>0.0</v>
      </c>
      <c r="M1346" s="4" t="s">
        <v>32</v>
      </c>
    </row>
    <row r="1347" ht="18.0" customHeight="1">
      <c r="A1347" s="4" t="s">
        <v>57</v>
      </c>
      <c r="B1347" s="4">
        <v>81.0</v>
      </c>
      <c r="C1347" s="4" t="s">
        <v>854</v>
      </c>
      <c r="D1347" s="4" t="s">
        <v>1229</v>
      </c>
      <c r="E1347" s="16">
        <v>2.4161909095710143E-5</v>
      </c>
      <c r="F1347" s="16">
        <v>0.9999980768245109</v>
      </c>
      <c r="G1347" s="16"/>
      <c r="H1347" s="16">
        <v>1.0</v>
      </c>
      <c r="I1347" s="16">
        <v>0.5166666666666667</v>
      </c>
      <c r="J1347" s="16">
        <v>0.047619047619047616</v>
      </c>
      <c r="K1347" s="4">
        <v>0.0</v>
      </c>
      <c r="M1347" s="4" t="s">
        <v>32</v>
      </c>
    </row>
    <row r="1348" ht="18.0" customHeight="1">
      <c r="A1348" s="4" t="s">
        <v>57</v>
      </c>
      <c r="B1348" s="4">
        <v>82.0</v>
      </c>
      <c r="C1348" s="4" t="s">
        <v>1219</v>
      </c>
      <c r="D1348" s="4" t="s">
        <v>1230</v>
      </c>
      <c r="E1348" s="16">
        <v>2.4343586119357497E-5</v>
      </c>
      <c r="F1348" s="16">
        <v>0.9999975973338451</v>
      </c>
      <c r="G1348" s="16"/>
      <c r="H1348" s="16">
        <v>0.0</v>
      </c>
      <c r="I1348" s="16">
        <v>0.016666666666666666</v>
      </c>
      <c r="J1348" s="16">
        <v>0.0</v>
      </c>
      <c r="K1348" s="4">
        <v>0.0</v>
      </c>
      <c r="M1348" s="4" t="s">
        <v>32</v>
      </c>
    </row>
    <row r="1349" ht="18.0" customHeight="1">
      <c r="A1349" s="4" t="s">
        <v>57</v>
      </c>
      <c r="B1349" s="4">
        <v>83.0</v>
      </c>
      <c r="C1349" s="4" t="s">
        <v>327</v>
      </c>
      <c r="D1349" s="4" t="s">
        <v>803</v>
      </c>
      <c r="E1349" s="16">
        <v>3.796033070102567E-6</v>
      </c>
      <c r="F1349" s="16">
        <v>0.9999995845387417</v>
      </c>
      <c r="G1349" s="16"/>
      <c r="H1349" s="16">
        <v>0.0</v>
      </c>
      <c r="I1349" s="16">
        <v>0.08333333333333333</v>
      </c>
      <c r="J1349" s="16">
        <v>0.4</v>
      </c>
      <c r="K1349" s="4">
        <v>0.0</v>
      </c>
      <c r="M1349" s="4" t="s">
        <v>32</v>
      </c>
    </row>
    <row r="1350" ht="18.0" customHeight="1">
      <c r="A1350" s="4" t="s">
        <v>57</v>
      </c>
      <c r="B1350" s="4">
        <v>84.0</v>
      </c>
      <c r="C1350" s="4" t="s">
        <v>159</v>
      </c>
      <c r="D1350" s="4" t="s">
        <v>270</v>
      </c>
      <c r="E1350" s="16">
        <v>3.6038186408404727E-6</v>
      </c>
      <c r="F1350" s="16">
        <v>0.9999997418283044</v>
      </c>
      <c r="G1350" s="16"/>
      <c r="H1350" s="16">
        <v>1.0</v>
      </c>
      <c r="I1350" s="16">
        <v>0.4708333333333334</v>
      </c>
      <c r="J1350" s="16">
        <v>0.25</v>
      </c>
      <c r="K1350" s="4">
        <v>0.0</v>
      </c>
      <c r="M1350" s="4" t="s">
        <v>32</v>
      </c>
    </row>
    <row r="1351" ht="18.0" customHeight="1">
      <c r="A1351" s="4" t="s">
        <v>57</v>
      </c>
      <c r="B1351" s="4">
        <v>85.0</v>
      </c>
      <c r="C1351" s="4" t="s">
        <v>270</v>
      </c>
      <c r="D1351" s="4" t="s">
        <v>160</v>
      </c>
      <c r="E1351" s="16">
        <v>1.625420554773882E-5</v>
      </c>
      <c r="F1351" s="16">
        <v>0.9999980556826245</v>
      </c>
      <c r="G1351" s="16"/>
      <c r="H1351" s="16">
        <v>0.09090909090909091</v>
      </c>
      <c r="I1351" s="16">
        <v>0.16666666666666666</v>
      </c>
      <c r="J1351" s="16">
        <v>0.4</v>
      </c>
      <c r="K1351" s="4">
        <v>0.0</v>
      </c>
      <c r="M1351" s="4" t="s">
        <v>32</v>
      </c>
    </row>
    <row r="1352" ht="18.0" customHeight="1">
      <c r="A1352" s="4" t="s">
        <v>57</v>
      </c>
      <c r="B1352" s="4">
        <v>86.0</v>
      </c>
      <c r="C1352" s="4" t="s">
        <v>115</v>
      </c>
      <c r="D1352" s="4" t="s">
        <v>225</v>
      </c>
      <c r="E1352" s="16">
        <v>5.442546680569649E-4</v>
      </c>
      <c r="F1352" s="16">
        <v>0.9999003705233918</v>
      </c>
      <c r="G1352" s="16"/>
      <c r="H1352" s="16">
        <v>1.0</v>
      </c>
      <c r="I1352" s="16">
        <v>0.37083333333333335</v>
      </c>
      <c r="J1352" s="16">
        <v>0.25</v>
      </c>
      <c r="K1352" s="4">
        <v>0.0</v>
      </c>
      <c r="M1352" s="4" t="s">
        <v>32</v>
      </c>
    </row>
    <row r="1353" ht="18.0" customHeight="1">
      <c r="A1353" s="4" t="s">
        <v>57</v>
      </c>
      <c r="B1353" s="4">
        <v>87.0</v>
      </c>
      <c r="C1353" s="4" t="s">
        <v>427</v>
      </c>
      <c r="D1353" s="4" t="s">
        <v>225</v>
      </c>
      <c r="E1353" s="16">
        <v>7.666682904527988E-6</v>
      </c>
      <c r="F1353" s="16">
        <v>0.9999993681630599</v>
      </c>
      <c r="G1353" s="16"/>
      <c r="H1353" s="16">
        <v>1.0</v>
      </c>
      <c r="I1353" s="16">
        <v>0.325</v>
      </c>
      <c r="J1353" s="16">
        <v>0.30361445783132535</v>
      </c>
      <c r="K1353" s="4">
        <v>0.0</v>
      </c>
      <c r="M1353" s="4" t="s">
        <v>32</v>
      </c>
    </row>
    <row r="1354" ht="18.0" customHeight="1">
      <c r="A1354" s="4" t="s">
        <v>57</v>
      </c>
      <c r="B1354" s="4">
        <v>88.0</v>
      </c>
      <c r="C1354" s="4" t="s">
        <v>225</v>
      </c>
      <c r="D1354" s="4" t="s">
        <v>258</v>
      </c>
      <c r="E1354" s="16">
        <v>1.1235950296395458E-5</v>
      </c>
      <c r="F1354" s="16">
        <v>0.999999010995765</v>
      </c>
      <c r="G1354" s="16"/>
      <c r="H1354" s="16">
        <v>1.0</v>
      </c>
      <c r="I1354" s="16">
        <v>0.325</v>
      </c>
      <c r="J1354" s="16">
        <v>0.25</v>
      </c>
      <c r="K1354" s="4">
        <v>0.0</v>
      </c>
      <c r="M1354" s="4" t="s">
        <v>32</v>
      </c>
    </row>
    <row r="1355" ht="18.0" customHeight="1">
      <c r="A1355" s="4" t="s">
        <v>57</v>
      </c>
      <c r="B1355" s="4">
        <v>89.0</v>
      </c>
      <c r="C1355" s="4" t="s">
        <v>582</v>
      </c>
      <c r="D1355" s="4" t="s">
        <v>907</v>
      </c>
      <c r="E1355" s="16">
        <v>4.776713831233792E-5</v>
      </c>
      <c r="F1355" s="16">
        <v>0.9999953225986928</v>
      </c>
      <c r="G1355" s="16"/>
      <c r="H1355" s="16">
        <v>0.0</v>
      </c>
      <c r="I1355" s="16">
        <v>0.0</v>
      </c>
      <c r="J1355" s="16">
        <v>0.0</v>
      </c>
      <c r="K1355" s="4">
        <v>0.0</v>
      </c>
      <c r="M1355" s="4" t="s">
        <v>32</v>
      </c>
    </row>
    <row r="1356" ht="18.0" customHeight="1">
      <c r="A1356" s="4" t="s">
        <v>57</v>
      </c>
      <c r="B1356" s="4">
        <v>90.0</v>
      </c>
      <c r="C1356" s="4" t="s">
        <v>859</v>
      </c>
      <c r="D1356" s="4" t="s">
        <v>1226</v>
      </c>
      <c r="E1356" s="16">
        <v>5.4347501645679586E-6</v>
      </c>
      <c r="F1356" s="16">
        <v>0.9999995845387417</v>
      </c>
      <c r="G1356" s="16"/>
      <c r="H1356" s="16">
        <v>0.09090909090909091</v>
      </c>
      <c r="I1356" s="16">
        <v>0.041666666666666664</v>
      </c>
      <c r="J1356" s="16">
        <v>0.0</v>
      </c>
      <c r="K1356" s="4">
        <v>0.0</v>
      </c>
      <c r="M1356" s="4" t="s">
        <v>32</v>
      </c>
    </row>
    <row r="1357" ht="18.0" customHeight="1">
      <c r="A1357" s="4" t="s">
        <v>57</v>
      </c>
      <c r="B1357" s="4">
        <v>91.0</v>
      </c>
      <c r="C1357" s="4" t="s">
        <v>848</v>
      </c>
      <c r="D1357" s="4" t="s">
        <v>849</v>
      </c>
      <c r="E1357" s="16">
        <v>2.9587832614197396E-5</v>
      </c>
      <c r="F1357" s="16">
        <v>0.999997511644608</v>
      </c>
      <c r="G1357" s="16"/>
      <c r="H1357" s="16">
        <v>1.0</v>
      </c>
      <c r="I1357" s="16">
        <v>0.4708333333333334</v>
      </c>
      <c r="J1357" s="16">
        <v>0.0</v>
      </c>
      <c r="K1357" s="4">
        <v>1.0</v>
      </c>
      <c r="L1357" s="4">
        <v>0.0</v>
      </c>
      <c r="M1357" s="4" t="s">
        <v>239</v>
      </c>
    </row>
    <row r="1358" ht="18.0" customHeight="1">
      <c r="A1358" s="4" t="s">
        <v>57</v>
      </c>
      <c r="B1358" s="4">
        <v>92.0</v>
      </c>
      <c r="C1358" s="4" t="s">
        <v>845</v>
      </c>
      <c r="D1358" s="4" t="s">
        <v>846</v>
      </c>
      <c r="E1358" s="16">
        <v>2.0135382783337263E-6</v>
      </c>
      <c r="F1358" s="16">
        <v>0.9999998276328554</v>
      </c>
      <c r="G1358" s="16"/>
      <c r="H1358" s="16">
        <v>0.0</v>
      </c>
      <c r="I1358" s="16">
        <v>0.016666666666666666</v>
      </c>
      <c r="J1358" s="16">
        <v>0.0</v>
      </c>
      <c r="K1358" s="4">
        <v>0.0</v>
      </c>
      <c r="M1358" s="4" t="s">
        <v>32</v>
      </c>
    </row>
    <row r="1359" ht="18.0" customHeight="1">
      <c r="A1359" s="4" t="s">
        <v>57</v>
      </c>
      <c r="B1359" s="4">
        <v>93.0</v>
      </c>
      <c r="C1359" s="4" t="s">
        <v>838</v>
      </c>
      <c r="D1359" s="4" t="s">
        <v>1227</v>
      </c>
      <c r="E1359" s="16">
        <v>2.642216713866219E-6</v>
      </c>
      <c r="F1359" s="16">
        <v>0.999999830853529</v>
      </c>
      <c r="G1359" s="16"/>
      <c r="H1359" s="16">
        <v>0.9090909090909091</v>
      </c>
      <c r="I1359" s="16">
        <v>0.45416666666666666</v>
      </c>
      <c r="J1359" s="16">
        <v>0.6021505376344086</v>
      </c>
      <c r="K1359" s="4">
        <v>0.0</v>
      </c>
      <c r="M1359" s="4" t="s">
        <v>32</v>
      </c>
    </row>
    <row r="1360" ht="18.0" customHeight="1">
      <c r="A1360" s="4" t="s">
        <v>57</v>
      </c>
      <c r="B1360" s="4">
        <v>94.0</v>
      </c>
      <c r="C1360" s="4" t="s">
        <v>100</v>
      </c>
      <c r="D1360" s="4" t="s">
        <v>101</v>
      </c>
      <c r="E1360" s="16">
        <v>6.466115337389056E-6</v>
      </c>
      <c r="F1360" s="16">
        <v>0.9999993217892325</v>
      </c>
      <c r="G1360" s="16"/>
      <c r="H1360" s="16">
        <v>0.09090909090909091</v>
      </c>
      <c r="I1360" s="16">
        <v>0.041666666666666664</v>
      </c>
      <c r="J1360" s="16">
        <v>0.0</v>
      </c>
      <c r="K1360" s="4">
        <v>0.0</v>
      </c>
      <c r="M1360" s="4" t="s">
        <v>32</v>
      </c>
    </row>
    <row r="1361" ht="18.0" customHeight="1">
      <c r="A1361" s="4" t="s">
        <v>57</v>
      </c>
      <c r="B1361" s="4">
        <v>95.0</v>
      </c>
      <c r="C1361" s="4" t="s">
        <v>1228</v>
      </c>
      <c r="D1361" s="4" t="s">
        <v>398</v>
      </c>
      <c r="E1361" s="16">
        <v>4.375984190119198E-6</v>
      </c>
      <c r="F1361" s="16">
        <v>0.9999995157820081</v>
      </c>
      <c r="G1361" s="16"/>
      <c r="H1361" s="16">
        <v>0.09090909090909091</v>
      </c>
      <c r="I1361" s="16">
        <v>0.09999999999999999</v>
      </c>
      <c r="J1361" s="16">
        <v>0.4</v>
      </c>
      <c r="K1361" s="4">
        <v>0.0</v>
      </c>
      <c r="M1361" s="4" t="s">
        <v>32</v>
      </c>
    </row>
    <row r="1362" ht="18.0" customHeight="1">
      <c r="A1362" s="4" t="s">
        <v>57</v>
      </c>
      <c r="B1362" s="4">
        <v>96.0</v>
      </c>
      <c r="C1362" s="4" t="s">
        <v>890</v>
      </c>
      <c r="D1362" s="4" t="s">
        <v>1224</v>
      </c>
      <c r="E1362" s="16">
        <v>2.0250795932952315E-4</v>
      </c>
      <c r="F1362" s="16">
        <v>0.9999684615022488</v>
      </c>
      <c r="G1362" s="16"/>
      <c r="H1362" s="16">
        <v>0.09090909090909091</v>
      </c>
      <c r="I1362" s="16">
        <v>0.08333333333333333</v>
      </c>
      <c r="J1362" s="16">
        <v>0.0</v>
      </c>
      <c r="K1362" s="4">
        <v>0.0</v>
      </c>
      <c r="M1362" s="4" t="s">
        <v>32</v>
      </c>
    </row>
    <row r="1363" ht="18.0" customHeight="1">
      <c r="A1363" s="4" t="s">
        <v>57</v>
      </c>
      <c r="B1363" s="4">
        <v>97.0</v>
      </c>
      <c r="C1363" s="4" t="s">
        <v>504</v>
      </c>
      <c r="D1363" s="4" t="s">
        <v>1231</v>
      </c>
      <c r="E1363" s="16">
        <v>1.1721400369424373E-4</v>
      </c>
      <c r="F1363" s="16">
        <v>0.9999891023110195</v>
      </c>
      <c r="G1363" s="16"/>
      <c r="H1363" s="16">
        <v>0.0</v>
      </c>
      <c r="I1363" s="16">
        <v>0.0</v>
      </c>
      <c r="J1363" s="16">
        <v>0.0</v>
      </c>
      <c r="K1363" s="4">
        <v>0.0</v>
      </c>
      <c r="M1363" s="4" t="s">
        <v>32</v>
      </c>
    </row>
    <row r="1364" ht="18.0" customHeight="1">
      <c r="A1364" s="4" t="s">
        <v>57</v>
      </c>
      <c r="B1364" s="4">
        <v>98.0</v>
      </c>
      <c r="C1364" s="4" t="s">
        <v>326</v>
      </c>
      <c r="D1364" s="4" t="s">
        <v>582</v>
      </c>
      <c r="E1364" s="16">
        <v>1.4645976989413612E-5</v>
      </c>
      <c r="F1364" s="16">
        <v>0.9999988422262902</v>
      </c>
      <c r="G1364" s="16"/>
      <c r="H1364" s="16">
        <v>1.0</v>
      </c>
      <c r="I1364" s="16">
        <v>0.40416666666666673</v>
      </c>
      <c r="J1364" s="16">
        <v>0.49523809523809526</v>
      </c>
      <c r="K1364" s="4">
        <v>0.0</v>
      </c>
      <c r="M1364" s="4" t="s">
        <v>32</v>
      </c>
    </row>
    <row r="1365" ht="18.0" customHeight="1">
      <c r="A1365" s="4" t="s">
        <v>57</v>
      </c>
      <c r="B1365" s="4">
        <v>99.0</v>
      </c>
      <c r="C1365" s="4" t="s">
        <v>262</v>
      </c>
      <c r="D1365" s="4" t="s">
        <v>1225</v>
      </c>
      <c r="E1365" s="16">
        <v>2.71117332886206E-5</v>
      </c>
      <c r="F1365" s="16">
        <v>0.999997110266122</v>
      </c>
      <c r="G1365" s="16"/>
      <c r="H1365" s="16">
        <v>0.0</v>
      </c>
      <c r="I1365" s="16">
        <v>0.08333333333333333</v>
      </c>
      <c r="J1365" s="16">
        <v>0.0</v>
      </c>
      <c r="K1365" s="4">
        <v>0.0</v>
      </c>
      <c r="M1365" s="4" t="s">
        <v>32</v>
      </c>
    </row>
    <row r="1366" ht="18.0" customHeight="1">
      <c r="A1366" s="4" t="s">
        <v>57</v>
      </c>
      <c r="B1366" s="4">
        <v>100.0</v>
      </c>
      <c r="C1366" s="4" t="s">
        <v>854</v>
      </c>
      <c r="D1366" s="4" t="s">
        <v>1229</v>
      </c>
      <c r="E1366" s="16">
        <v>2.17002525459975E-5</v>
      </c>
      <c r="F1366" s="16">
        <v>0.999998108197758</v>
      </c>
      <c r="G1366" s="16"/>
      <c r="H1366" s="16">
        <v>1.0</v>
      </c>
      <c r="I1366" s="16">
        <v>0.5166666666666667</v>
      </c>
      <c r="J1366" s="16">
        <v>0.047619047619047616</v>
      </c>
      <c r="K1366" s="4">
        <v>0.0</v>
      </c>
      <c r="M1366" s="4" t="s">
        <v>32</v>
      </c>
    </row>
    <row r="1367" ht="18.0" customHeight="1">
      <c r="A1367" s="4" t="s">
        <v>57</v>
      </c>
      <c r="B1367" s="4">
        <v>101.0</v>
      </c>
      <c r="C1367" s="4" t="s">
        <v>1219</v>
      </c>
      <c r="D1367" s="4" t="s">
        <v>1230</v>
      </c>
      <c r="E1367" s="16">
        <v>1.0622330592013896E-5</v>
      </c>
      <c r="F1367" s="16">
        <v>0.9999991061121705</v>
      </c>
      <c r="G1367" s="16"/>
      <c r="H1367" s="16">
        <v>0.0</v>
      </c>
      <c r="I1367" s="16">
        <v>0.016666666666666666</v>
      </c>
      <c r="J1367" s="16">
        <v>0.0</v>
      </c>
      <c r="K1367" s="4">
        <v>0.0</v>
      </c>
      <c r="M1367" s="4" t="s">
        <v>32</v>
      </c>
    </row>
    <row r="1368" ht="18.0" customHeight="1">
      <c r="A1368" s="4" t="s">
        <v>57</v>
      </c>
      <c r="B1368" s="4">
        <v>102.0</v>
      </c>
      <c r="C1368" s="4" t="s">
        <v>327</v>
      </c>
      <c r="D1368" s="4" t="s">
        <v>803</v>
      </c>
      <c r="E1368" s="16">
        <v>2.4745236260059755E-6</v>
      </c>
      <c r="F1368" s="16">
        <v>0.9999997734089021</v>
      </c>
      <c r="G1368" s="16"/>
      <c r="H1368" s="16">
        <v>0.0</v>
      </c>
      <c r="I1368" s="16">
        <v>0.08333333333333333</v>
      </c>
      <c r="J1368" s="16">
        <v>0.4</v>
      </c>
      <c r="K1368" s="4">
        <v>0.0</v>
      </c>
      <c r="M1368" s="4" t="s">
        <v>32</v>
      </c>
    </row>
    <row r="1369" ht="18.0" customHeight="1">
      <c r="A1369" s="4" t="s">
        <v>57</v>
      </c>
      <c r="B1369" s="4">
        <v>103.0</v>
      </c>
      <c r="C1369" s="4" t="s">
        <v>159</v>
      </c>
      <c r="D1369" s="4" t="s">
        <v>160</v>
      </c>
      <c r="E1369" s="16">
        <v>1.0556282177276444E-6</v>
      </c>
      <c r="F1369" s="16">
        <v>0.9999999595596414</v>
      </c>
      <c r="G1369" s="16"/>
      <c r="H1369" s="16">
        <v>1.0</v>
      </c>
      <c r="I1369" s="16">
        <v>0.4083333333333334</v>
      </c>
      <c r="J1369" s="16">
        <v>0.0</v>
      </c>
      <c r="K1369" s="4">
        <v>0.0</v>
      </c>
      <c r="M1369" s="4" t="s">
        <v>32</v>
      </c>
    </row>
    <row r="1370" ht="18.0" customHeight="1">
      <c r="A1370" s="4" t="s">
        <v>57</v>
      </c>
      <c r="B1370" s="4">
        <v>104.0</v>
      </c>
      <c r="C1370" s="4" t="s">
        <v>160</v>
      </c>
      <c r="D1370" s="4" t="s">
        <v>270</v>
      </c>
      <c r="E1370" s="16">
        <v>6.582305104529951E-6</v>
      </c>
      <c r="F1370" s="16">
        <v>0.9999992957393715</v>
      </c>
      <c r="G1370" s="16"/>
      <c r="H1370" s="16">
        <v>0.0</v>
      </c>
      <c r="I1370" s="16">
        <v>0.08333333333333333</v>
      </c>
      <c r="J1370" s="16">
        <v>0.5</v>
      </c>
      <c r="K1370" s="4">
        <v>0.0</v>
      </c>
      <c r="M1370" s="4" t="s">
        <v>32</v>
      </c>
    </row>
    <row r="1371" ht="18.0" customHeight="1">
      <c r="A1371" s="4" t="s">
        <v>57</v>
      </c>
      <c r="B1371" s="4">
        <v>105.0</v>
      </c>
      <c r="C1371" s="4" t="s">
        <v>115</v>
      </c>
      <c r="D1371" s="4" t="s">
        <v>114</v>
      </c>
      <c r="E1371" s="16">
        <v>3.7113079542905325E-7</v>
      </c>
      <c r="F1371" s="16">
        <v>0.9999999902433085</v>
      </c>
      <c r="G1371" s="16"/>
      <c r="H1371" s="16">
        <v>1.0</v>
      </c>
      <c r="I1371" s="16">
        <v>0.4375</v>
      </c>
      <c r="J1371" s="16">
        <v>0.06976744186046512</v>
      </c>
      <c r="K1371" s="4">
        <v>0.0</v>
      </c>
      <c r="M1371" s="4" t="s">
        <v>32</v>
      </c>
    </row>
    <row r="1372" ht="18.0" customHeight="1">
      <c r="A1372" s="4" t="s">
        <v>57</v>
      </c>
      <c r="B1372" s="4">
        <v>106.0</v>
      </c>
      <c r="C1372" s="4" t="s">
        <v>762</v>
      </c>
      <c r="D1372" s="4" t="s">
        <v>1134</v>
      </c>
      <c r="E1372" s="16">
        <v>5.025662630941952E-6</v>
      </c>
      <c r="F1372" s="16">
        <v>0.9999996711568713</v>
      </c>
      <c r="G1372" s="16"/>
      <c r="H1372" s="16">
        <v>0.0</v>
      </c>
      <c r="I1372" s="16">
        <v>0.08333333333333333</v>
      </c>
      <c r="J1372" s="16">
        <v>0.4</v>
      </c>
      <c r="K1372" s="4">
        <v>0.0</v>
      </c>
      <c r="M1372" s="4" t="s">
        <v>32</v>
      </c>
    </row>
    <row r="1373" ht="18.0" customHeight="1">
      <c r="A1373" s="4" t="s">
        <v>57</v>
      </c>
      <c r="B1373" s="4">
        <v>107.0</v>
      </c>
      <c r="C1373" s="4" t="s">
        <v>225</v>
      </c>
      <c r="D1373" s="4" t="s">
        <v>258</v>
      </c>
      <c r="E1373" s="16">
        <v>2.7946360205532983E-5</v>
      </c>
      <c r="F1373" s="16">
        <v>0.9999975490219981</v>
      </c>
      <c r="G1373" s="16"/>
      <c r="H1373" s="16">
        <v>1.0</v>
      </c>
      <c r="I1373" s="16">
        <v>0.325</v>
      </c>
      <c r="J1373" s="16">
        <v>0.0</v>
      </c>
      <c r="K1373" s="4">
        <v>0.0</v>
      </c>
      <c r="M1373" s="4" t="s">
        <v>32</v>
      </c>
    </row>
    <row r="1374" ht="18.0" customHeight="1">
      <c r="A1374" s="4" t="s">
        <v>57</v>
      </c>
      <c r="B1374" s="4">
        <v>108.0</v>
      </c>
      <c r="C1374" s="4" t="s">
        <v>582</v>
      </c>
      <c r="D1374" s="4" t="s">
        <v>907</v>
      </c>
      <c r="E1374" s="16">
        <v>2.9958009690744802E-5</v>
      </c>
      <c r="F1374" s="16">
        <v>0.999997340427683</v>
      </c>
      <c r="G1374" s="16"/>
      <c r="H1374" s="16">
        <v>0.0</v>
      </c>
      <c r="I1374" s="16">
        <v>0.0</v>
      </c>
      <c r="J1374" s="16">
        <v>0.0</v>
      </c>
      <c r="K1374" s="4">
        <v>0.0</v>
      </c>
      <c r="M1374" s="4" t="s">
        <v>32</v>
      </c>
    </row>
    <row r="1375" ht="18.0" customHeight="1">
      <c r="A1375" s="4" t="s">
        <v>57</v>
      </c>
      <c r="B1375" s="4">
        <v>109.0</v>
      </c>
      <c r="C1375" s="4" t="s">
        <v>859</v>
      </c>
      <c r="D1375" s="4" t="s">
        <v>1226</v>
      </c>
      <c r="E1375" s="16">
        <v>4.1243824853154365E-6</v>
      </c>
      <c r="F1375" s="16">
        <v>0.9999996300144716</v>
      </c>
      <c r="G1375" s="16"/>
      <c r="H1375" s="16">
        <v>0.09090909090909091</v>
      </c>
      <c r="I1375" s="16">
        <v>0.041666666666666664</v>
      </c>
      <c r="J1375" s="16">
        <v>0.0</v>
      </c>
      <c r="K1375" s="4">
        <v>0.0</v>
      </c>
      <c r="M1375" s="4" t="s">
        <v>32</v>
      </c>
    </row>
    <row r="1376" ht="18.0" customHeight="1">
      <c r="A1376" s="4" t="s">
        <v>57</v>
      </c>
      <c r="B1376" s="4">
        <v>110.0</v>
      </c>
      <c r="C1376" s="4" t="s">
        <v>848</v>
      </c>
      <c r="D1376" s="4" t="s">
        <v>849</v>
      </c>
      <c r="E1376" s="16">
        <v>2.5766414182726294E-5</v>
      </c>
      <c r="F1376" s="16">
        <v>0.999997502428414</v>
      </c>
      <c r="G1376" s="16"/>
      <c r="H1376" s="16">
        <v>1.0</v>
      </c>
      <c r="I1376" s="16">
        <v>0.4083333333333334</v>
      </c>
      <c r="J1376" s="16">
        <v>0.19999999999999996</v>
      </c>
      <c r="K1376" s="4">
        <v>0.0</v>
      </c>
      <c r="M1376" s="4" t="s">
        <v>32</v>
      </c>
    </row>
    <row r="1377" ht="18.0" customHeight="1">
      <c r="A1377" s="4" t="s">
        <v>57</v>
      </c>
      <c r="B1377" s="4">
        <v>111.0</v>
      </c>
      <c r="C1377" s="4" t="s">
        <v>845</v>
      </c>
      <c r="D1377" s="4" t="s">
        <v>846</v>
      </c>
      <c r="E1377" s="16">
        <v>9.916573162627174E-7</v>
      </c>
      <c r="F1377" s="16">
        <v>0.9999999715466519</v>
      </c>
      <c r="G1377" s="16"/>
      <c r="H1377" s="16">
        <v>0.0</v>
      </c>
      <c r="I1377" s="16">
        <v>0.016666666666666666</v>
      </c>
      <c r="J1377" s="16">
        <v>0.0</v>
      </c>
      <c r="K1377" s="4">
        <v>1.0</v>
      </c>
      <c r="L1377" s="4">
        <v>0.0</v>
      </c>
      <c r="M1377" s="4" t="s">
        <v>239</v>
      </c>
    </row>
    <row r="1378" ht="18.0" customHeight="1">
      <c r="A1378" s="4" t="s">
        <v>57</v>
      </c>
      <c r="B1378" s="4">
        <v>112.0</v>
      </c>
      <c r="C1378" s="4" t="s">
        <v>838</v>
      </c>
      <c r="D1378" s="4" t="s">
        <v>839</v>
      </c>
      <c r="E1378" s="16">
        <v>4.270021236152388E-6</v>
      </c>
      <c r="F1378" s="16">
        <v>0.9999997084235659</v>
      </c>
      <c r="G1378" s="16"/>
      <c r="H1378" s="16">
        <v>1.0</v>
      </c>
      <c r="I1378" s="16">
        <v>0.5416666666666666</v>
      </c>
      <c r="J1378" s="16">
        <v>1.0</v>
      </c>
      <c r="K1378" s="4">
        <v>1.0</v>
      </c>
      <c r="L1378" s="4">
        <v>0.0</v>
      </c>
      <c r="M1378" s="4" t="s">
        <v>239</v>
      </c>
    </row>
    <row r="1379" ht="18.0" customHeight="1">
      <c r="A1379" s="4" t="s">
        <v>57</v>
      </c>
      <c r="B1379" s="4">
        <v>113.0</v>
      </c>
      <c r="C1379" s="4" t="s">
        <v>100</v>
      </c>
      <c r="D1379" s="4" t="s">
        <v>101</v>
      </c>
      <c r="E1379" s="16">
        <v>3.047051677640411E-6</v>
      </c>
      <c r="F1379" s="16">
        <v>0.9999997830184526</v>
      </c>
      <c r="G1379" s="16"/>
      <c r="H1379" s="16">
        <v>0.09090909090909091</v>
      </c>
      <c r="I1379" s="16">
        <v>0.041666666666666664</v>
      </c>
      <c r="J1379" s="16">
        <v>0.0</v>
      </c>
      <c r="K1379" s="4">
        <v>0.0</v>
      </c>
      <c r="M1379" s="4" t="s">
        <v>32</v>
      </c>
    </row>
    <row r="1380" ht="18.0" customHeight="1">
      <c r="A1380" s="4" t="s">
        <v>57</v>
      </c>
      <c r="B1380" s="4">
        <v>114.0</v>
      </c>
      <c r="C1380" s="4" t="s">
        <v>1228</v>
      </c>
      <c r="D1380" s="4" t="s">
        <v>398</v>
      </c>
      <c r="E1380" s="16">
        <v>4.408899258123711E-6</v>
      </c>
      <c r="F1380" s="16">
        <v>0.9999995446641918</v>
      </c>
      <c r="G1380" s="16"/>
      <c r="H1380" s="16">
        <v>0.0</v>
      </c>
      <c r="I1380" s="16">
        <v>0.016666666666666666</v>
      </c>
      <c r="J1380" s="16">
        <v>0.0</v>
      </c>
      <c r="K1380" s="4">
        <v>0.0</v>
      </c>
      <c r="M1380" s="4" t="s">
        <v>32</v>
      </c>
    </row>
    <row r="1381" ht="18.0" customHeight="1">
      <c r="A1381" s="4" t="s">
        <v>57</v>
      </c>
      <c r="B1381" s="4">
        <v>115.0</v>
      </c>
      <c r="C1381" s="4" t="s">
        <v>504</v>
      </c>
      <c r="D1381" s="4" t="s">
        <v>1232</v>
      </c>
      <c r="E1381" s="16">
        <v>0.004391036927700043</v>
      </c>
      <c r="F1381" s="16">
        <v>0.9990604651975445</v>
      </c>
      <c r="G1381" s="16"/>
      <c r="H1381" s="16">
        <v>0.0</v>
      </c>
      <c r="I1381" s="16">
        <v>0.0</v>
      </c>
      <c r="J1381" s="16">
        <v>0.0</v>
      </c>
      <c r="K1381" s="4">
        <v>0.0</v>
      </c>
      <c r="M1381" s="4" t="s">
        <v>32</v>
      </c>
    </row>
    <row r="1382" ht="18.0" customHeight="1">
      <c r="A1382" s="4" t="s">
        <v>57</v>
      </c>
      <c r="B1382" s="4">
        <v>116.0</v>
      </c>
      <c r="C1382" s="4" t="s">
        <v>326</v>
      </c>
      <c r="D1382" s="4" t="s">
        <v>582</v>
      </c>
      <c r="E1382" s="16">
        <v>1.0209480024059303E-5</v>
      </c>
      <c r="F1382" s="16">
        <v>0.9999990592168899</v>
      </c>
      <c r="G1382" s="16"/>
      <c r="H1382" s="16">
        <v>1.0</v>
      </c>
      <c r="I1382" s="16">
        <v>0.44583333333333336</v>
      </c>
      <c r="J1382" s="16">
        <v>0.6746031746031746</v>
      </c>
      <c r="K1382" s="4">
        <v>0.0</v>
      </c>
      <c r="M1382" s="4" t="s">
        <v>32</v>
      </c>
    </row>
    <row r="1383" ht="18.0" customHeight="1">
      <c r="A1383" s="4" t="s">
        <v>57</v>
      </c>
      <c r="B1383" s="4">
        <v>117.0</v>
      </c>
      <c r="C1383" s="4" t="s">
        <v>262</v>
      </c>
      <c r="D1383" s="4" t="s">
        <v>1225</v>
      </c>
      <c r="E1383" s="16">
        <v>2.80311141978018E-5</v>
      </c>
      <c r="F1383" s="16">
        <v>0.9999967042701883</v>
      </c>
      <c r="G1383" s="16"/>
      <c r="H1383" s="16">
        <v>0.0</v>
      </c>
      <c r="I1383" s="16">
        <v>0.08333333333333333</v>
      </c>
      <c r="J1383" s="16">
        <v>0.0</v>
      </c>
      <c r="K1383" s="4">
        <v>0.0</v>
      </c>
      <c r="M1383" s="4" t="s">
        <v>32</v>
      </c>
    </row>
    <row r="1384" ht="18.0" customHeight="1">
      <c r="A1384" s="4" t="s">
        <v>57</v>
      </c>
      <c r="B1384" s="4">
        <v>118.0</v>
      </c>
      <c r="C1384" s="4" t="s">
        <v>854</v>
      </c>
      <c r="D1384" s="4" t="s">
        <v>1229</v>
      </c>
      <c r="E1384" s="16">
        <v>1.7877879145089537E-5</v>
      </c>
      <c r="F1384" s="16">
        <v>0.9999987380244306</v>
      </c>
      <c r="G1384" s="16"/>
      <c r="H1384" s="16">
        <v>1.0</v>
      </c>
      <c r="I1384" s="16">
        <v>0.5166666666666667</v>
      </c>
      <c r="J1384" s="16">
        <v>0.047619047619047616</v>
      </c>
      <c r="K1384" s="4">
        <v>0.0</v>
      </c>
      <c r="M1384" s="4" t="s">
        <v>32</v>
      </c>
    </row>
    <row r="1385" ht="18.0" customHeight="1">
      <c r="A1385" s="4" t="s">
        <v>57</v>
      </c>
      <c r="B1385" s="4">
        <v>119.0</v>
      </c>
      <c r="C1385" s="4" t="s">
        <v>1219</v>
      </c>
      <c r="D1385" s="4" t="s">
        <v>1221</v>
      </c>
      <c r="E1385" s="16">
        <v>1.6784382751211524E-5</v>
      </c>
      <c r="F1385" s="16">
        <v>0.9999984379668945</v>
      </c>
      <c r="G1385" s="16"/>
      <c r="H1385" s="16">
        <v>0.0</v>
      </c>
      <c r="I1385" s="16">
        <v>0.016666666666666666</v>
      </c>
      <c r="J1385" s="16">
        <v>0.0</v>
      </c>
      <c r="K1385" s="4">
        <v>0.0</v>
      </c>
      <c r="M1385" s="4" t="s">
        <v>32</v>
      </c>
    </row>
    <row r="1386" ht="18.0" customHeight="1">
      <c r="A1386" s="4" t="s">
        <v>57</v>
      </c>
      <c r="B1386" s="4">
        <v>120.0</v>
      </c>
      <c r="C1386" s="4" t="s">
        <v>327</v>
      </c>
      <c r="D1386" s="4" t="s">
        <v>803</v>
      </c>
      <c r="E1386" s="16">
        <v>3.7859556414332474E-6</v>
      </c>
      <c r="F1386" s="16">
        <v>0.9999995701526245</v>
      </c>
      <c r="G1386" s="16"/>
      <c r="H1386" s="16">
        <v>0.0</v>
      </c>
      <c r="I1386" s="16">
        <v>0.08333333333333333</v>
      </c>
      <c r="J1386" s="16">
        <v>0.4</v>
      </c>
      <c r="K1386" s="4">
        <v>0.0</v>
      </c>
      <c r="M1386" s="4" t="s">
        <v>32</v>
      </c>
    </row>
    <row r="1387" ht="18.0" customHeight="1">
      <c r="A1387" s="4" t="s">
        <v>57</v>
      </c>
      <c r="B1387" s="4">
        <v>121.0</v>
      </c>
      <c r="C1387" s="4" t="s">
        <v>159</v>
      </c>
      <c r="D1387" s="4" t="s">
        <v>160</v>
      </c>
      <c r="E1387" s="16">
        <v>1.9081908249063417E-6</v>
      </c>
      <c r="F1387" s="16">
        <v>0.9999998272159374</v>
      </c>
      <c r="G1387" s="16"/>
      <c r="H1387" s="16">
        <v>1.0</v>
      </c>
      <c r="I1387" s="16">
        <v>0.4708333333333334</v>
      </c>
      <c r="J1387" s="16">
        <v>0.25</v>
      </c>
      <c r="K1387" s="4">
        <v>0.0</v>
      </c>
      <c r="M1387" s="4" t="s">
        <v>32</v>
      </c>
    </row>
    <row r="1388" ht="18.0" customHeight="1">
      <c r="A1388" s="4" t="s">
        <v>57</v>
      </c>
      <c r="B1388" s="4">
        <v>122.0</v>
      </c>
      <c r="C1388" s="4" t="s">
        <v>160</v>
      </c>
      <c r="D1388" s="4" t="s">
        <v>270</v>
      </c>
      <c r="E1388" s="16">
        <v>2.7470080112834694E-6</v>
      </c>
      <c r="F1388" s="16">
        <v>0.9999997407384171</v>
      </c>
      <c r="G1388" s="16"/>
      <c r="H1388" s="16">
        <v>0.0</v>
      </c>
      <c r="I1388" s="16">
        <v>0.08333333333333333</v>
      </c>
      <c r="J1388" s="16">
        <v>0.4</v>
      </c>
      <c r="K1388" s="4">
        <v>0.0</v>
      </c>
      <c r="M1388" s="4" t="s">
        <v>32</v>
      </c>
    </row>
    <row r="1389" ht="18.0" customHeight="1">
      <c r="A1389" s="4" t="s">
        <v>57</v>
      </c>
      <c r="B1389" s="4">
        <v>123.0</v>
      </c>
      <c r="C1389" s="4" t="s">
        <v>115</v>
      </c>
      <c r="D1389" s="4" t="s">
        <v>225</v>
      </c>
      <c r="E1389" s="16">
        <v>1.2670459454966476E-6</v>
      </c>
      <c r="F1389" s="16">
        <v>0.9999999706434473</v>
      </c>
      <c r="G1389" s="16"/>
      <c r="H1389" s="16">
        <v>1.0</v>
      </c>
      <c r="I1389" s="16">
        <v>0.37083333333333335</v>
      </c>
      <c r="J1389" s="16">
        <v>0.25</v>
      </c>
      <c r="K1389" s="4">
        <v>0.0</v>
      </c>
      <c r="M1389" s="4" t="s">
        <v>32</v>
      </c>
    </row>
    <row r="1390" ht="18.0" customHeight="1">
      <c r="A1390" s="4" t="s">
        <v>57</v>
      </c>
      <c r="B1390" s="4">
        <v>124.0</v>
      </c>
      <c r="C1390" s="4" t="s">
        <v>270</v>
      </c>
      <c r="D1390" s="4" t="s">
        <v>427</v>
      </c>
      <c r="E1390" s="16">
        <v>2.810706746458891E-6</v>
      </c>
      <c r="F1390" s="16">
        <v>0.9999998135928863</v>
      </c>
      <c r="G1390" s="16"/>
      <c r="H1390" s="16">
        <v>0.0</v>
      </c>
      <c r="I1390" s="16">
        <v>0.08333333333333333</v>
      </c>
      <c r="J1390" s="16">
        <v>0.4</v>
      </c>
      <c r="K1390" s="4">
        <v>0.0</v>
      </c>
      <c r="M1390" s="4" t="s">
        <v>32</v>
      </c>
    </row>
    <row r="1391" ht="18.0" customHeight="1">
      <c r="A1391" s="4" t="s">
        <v>57</v>
      </c>
      <c r="B1391" s="4">
        <v>125.0</v>
      </c>
      <c r="C1391" s="4" t="s">
        <v>225</v>
      </c>
      <c r="D1391" s="4" t="s">
        <v>258</v>
      </c>
      <c r="E1391" s="16">
        <v>2.0613160813809372E-5</v>
      </c>
      <c r="F1391" s="16">
        <v>0.999998046142764</v>
      </c>
      <c r="G1391" s="16"/>
      <c r="H1391" s="16">
        <v>1.0</v>
      </c>
      <c r="I1391" s="16">
        <v>0.325</v>
      </c>
      <c r="J1391" s="16">
        <v>0.25</v>
      </c>
      <c r="K1391" s="4">
        <v>0.0</v>
      </c>
      <c r="M1391" s="4" t="s">
        <v>32</v>
      </c>
    </row>
    <row r="1392" ht="18.0" customHeight="1">
      <c r="A1392" s="4" t="s">
        <v>57</v>
      </c>
      <c r="B1392" s="4">
        <v>126.0</v>
      </c>
      <c r="C1392" s="4" t="s">
        <v>582</v>
      </c>
      <c r="D1392" s="4" t="s">
        <v>907</v>
      </c>
      <c r="E1392" s="16">
        <v>2.3420288925990462E-5</v>
      </c>
      <c r="F1392" s="16">
        <v>0.999998006848557</v>
      </c>
      <c r="G1392" s="16"/>
      <c r="H1392" s="16">
        <v>0.0</v>
      </c>
      <c r="I1392" s="16">
        <v>0.0</v>
      </c>
      <c r="J1392" s="16">
        <v>0.0</v>
      </c>
      <c r="K1392" s="4">
        <v>0.0</v>
      </c>
      <c r="M1392" s="4" t="s">
        <v>32</v>
      </c>
    </row>
    <row r="1393" ht="18.0" customHeight="1">
      <c r="A1393" s="4" t="s">
        <v>57</v>
      </c>
      <c r="B1393" s="4">
        <v>127.0</v>
      </c>
      <c r="C1393" s="4" t="s">
        <v>859</v>
      </c>
      <c r="D1393" s="4" t="s">
        <v>1226</v>
      </c>
      <c r="E1393" s="16">
        <v>4.744000762002543E-6</v>
      </c>
      <c r="F1393" s="16">
        <v>0.9999996124965378</v>
      </c>
      <c r="G1393" s="16"/>
      <c r="H1393" s="16">
        <v>0.09090909090909091</v>
      </c>
      <c r="I1393" s="16">
        <v>0.041666666666666664</v>
      </c>
      <c r="J1393" s="16">
        <v>0.0</v>
      </c>
      <c r="K1393" s="4">
        <v>0.0</v>
      </c>
      <c r="M1393" s="4" t="s">
        <v>32</v>
      </c>
    </row>
    <row r="1394" ht="18.0" customHeight="1">
      <c r="A1394" s="4" t="s">
        <v>57</v>
      </c>
      <c r="B1394" s="4">
        <v>128.0</v>
      </c>
      <c r="C1394" s="4" t="s">
        <v>848</v>
      </c>
      <c r="D1394" s="4" t="s">
        <v>849</v>
      </c>
      <c r="E1394" s="16">
        <v>2.6093695851159282E-5</v>
      </c>
      <c r="F1394" s="16">
        <v>0.9999980120952614</v>
      </c>
      <c r="G1394" s="16"/>
      <c r="H1394" s="16">
        <v>1.0</v>
      </c>
      <c r="I1394" s="16">
        <v>0.4708333333333334</v>
      </c>
      <c r="J1394" s="16">
        <v>0.0</v>
      </c>
      <c r="K1394" s="4">
        <v>0.0</v>
      </c>
      <c r="M1394" s="4" t="s">
        <v>32</v>
      </c>
    </row>
    <row r="1395" ht="18.0" customHeight="1">
      <c r="A1395" s="4" t="s">
        <v>57</v>
      </c>
      <c r="B1395" s="4">
        <v>129.0</v>
      </c>
      <c r="C1395" s="4" t="s">
        <v>845</v>
      </c>
      <c r="D1395" s="4" t="s">
        <v>846</v>
      </c>
      <c r="E1395" s="16">
        <v>1.684401354395959E-6</v>
      </c>
      <c r="F1395" s="16">
        <v>0.9999999715466519</v>
      </c>
      <c r="G1395" s="16"/>
      <c r="H1395" s="16">
        <v>0.0</v>
      </c>
      <c r="I1395" s="16">
        <v>0.016666666666666666</v>
      </c>
      <c r="J1395" s="16">
        <v>0.0</v>
      </c>
      <c r="K1395" s="4">
        <v>0.0</v>
      </c>
      <c r="M1395" s="4" t="s">
        <v>32</v>
      </c>
    </row>
    <row r="1396" ht="18.0" customHeight="1">
      <c r="A1396" s="4" t="s">
        <v>57</v>
      </c>
      <c r="B1396" s="4">
        <v>130.0</v>
      </c>
      <c r="C1396" s="4" t="s">
        <v>838</v>
      </c>
      <c r="D1396" s="4" t="s">
        <v>1233</v>
      </c>
      <c r="E1396" s="16">
        <v>3.584323167160619E-6</v>
      </c>
      <c r="F1396" s="16">
        <v>0.9999997247600518</v>
      </c>
      <c r="G1396" s="16"/>
      <c r="H1396" s="16">
        <v>1.0</v>
      </c>
      <c r="I1396" s="16">
        <v>0.47500000000000003</v>
      </c>
      <c r="J1396" s="16">
        <v>0.5241935483870968</v>
      </c>
      <c r="K1396" s="4">
        <v>0.0</v>
      </c>
      <c r="M1396" s="4" t="s">
        <v>32</v>
      </c>
    </row>
    <row r="1397" ht="18.0" customHeight="1">
      <c r="A1397" s="4" t="s">
        <v>57</v>
      </c>
      <c r="B1397" s="4">
        <v>131.0</v>
      </c>
      <c r="C1397" s="4" t="s">
        <v>100</v>
      </c>
      <c r="D1397" s="4" t="s">
        <v>101</v>
      </c>
      <c r="E1397" s="16">
        <v>4.971039288648171E-6</v>
      </c>
      <c r="F1397" s="16">
        <v>0.9999995789187892</v>
      </c>
      <c r="G1397" s="16"/>
      <c r="H1397" s="16">
        <v>0.09090909090909091</v>
      </c>
      <c r="I1397" s="16">
        <v>0.041666666666666664</v>
      </c>
      <c r="J1397" s="16">
        <v>0.0</v>
      </c>
      <c r="K1397" s="4">
        <v>0.0</v>
      </c>
      <c r="M1397" s="4" t="s">
        <v>32</v>
      </c>
    </row>
    <row r="1398" ht="18.0" customHeight="1">
      <c r="A1398" s="4" t="s">
        <v>57</v>
      </c>
      <c r="B1398" s="4">
        <v>132.0</v>
      </c>
      <c r="C1398" s="4" t="s">
        <v>1228</v>
      </c>
      <c r="D1398" s="4" t="s">
        <v>1234</v>
      </c>
      <c r="E1398" s="16">
        <v>2.7346599381417036E-5</v>
      </c>
      <c r="F1398" s="16">
        <v>0.99999615917136</v>
      </c>
      <c r="G1398" s="16"/>
      <c r="H1398" s="16">
        <v>0.09090909090909091</v>
      </c>
      <c r="I1398" s="16">
        <v>0.09999999999999999</v>
      </c>
      <c r="J1398" s="16">
        <v>0.4</v>
      </c>
      <c r="K1398" s="4">
        <v>0.0</v>
      </c>
      <c r="M1398" s="4" t="s">
        <v>32</v>
      </c>
    </row>
    <row r="1399" ht="18.0" customHeight="1">
      <c r="A1399" s="4" t="s">
        <v>57</v>
      </c>
      <c r="B1399" s="4">
        <v>133.0</v>
      </c>
      <c r="C1399" s="4" t="s">
        <v>412</v>
      </c>
      <c r="D1399" s="4" t="s">
        <v>890</v>
      </c>
      <c r="E1399" s="16">
        <v>2.2548454580828547E-5</v>
      </c>
      <c r="F1399" s="16">
        <v>0.9999977883403517</v>
      </c>
      <c r="G1399" s="16"/>
      <c r="H1399" s="16">
        <v>0.0</v>
      </c>
      <c r="I1399" s="16">
        <v>0.08333333333333333</v>
      </c>
      <c r="J1399" s="16">
        <v>0.4</v>
      </c>
      <c r="K1399" s="4">
        <v>0.0</v>
      </c>
      <c r="M1399" s="4" t="s">
        <v>32</v>
      </c>
    </row>
    <row r="1400" ht="18.0" customHeight="1">
      <c r="A1400" s="4" t="s">
        <v>57</v>
      </c>
      <c r="B1400" s="4">
        <v>134.0</v>
      </c>
      <c r="C1400" s="4" t="s">
        <v>504</v>
      </c>
      <c r="D1400" s="4" t="s">
        <v>505</v>
      </c>
      <c r="E1400" s="16">
        <v>1.5195929154288024E-4</v>
      </c>
      <c r="F1400" s="16">
        <v>0.9999802044258104</v>
      </c>
      <c r="G1400" s="16"/>
      <c r="H1400" s="16">
        <v>1.0</v>
      </c>
      <c r="I1400" s="16">
        <v>0.45416666666666666</v>
      </c>
      <c r="J1400" s="16">
        <v>0.0</v>
      </c>
      <c r="K1400" s="4">
        <v>0.0</v>
      </c>
      <c r="M1400" s="4" t="s">
        <v>32</v>
      </c>
    </row>
    <row r="1401" ht="18.0" customHeight="1">
      <c r="A1401" s="4" t="s">
        <v>57</v>
      </c>
      <c r="B1401" s="4">
        <v>135.0</v>
      </c>
      <c r="C1401" s="4" t="s">
        <v>326</v>
      </c>
      <c r="D1401" s="4" t="s">
        <v>582</v>
      </c>
      <c r="E1401" s="16">
        <v>1.0555090739217121E-5</v>
      </c>
      <c r="F1401" s="16">
        <v>0.9999989867131944</v>
      </c>
      <c r="G1401" s="16"/>
      <c r="H1401" s="16">
        <v>1.0</v>
      </c>
      <c r="I1401" s="16">
        <v>0.44583333333333336</v>
      </c>
      <c r="J1401" s="16">
        <v>0.6746031746031746</v>
      </c>
      <c r="K1401" s="4">
        <v>0.0</v>
      </c>
      <c r="M1401" s="4" t="s">
        <v>32</v>
      </c>
    </row>
    <row r="1402" ht="18.0" customHeight="1">
      <c r="A1402" s="4" t="s">
        <v>57</v>
      </c>
      <c r="B1402" s="4">
        <v>136.0</v>
      </c>
      <c r="C1402" s="4" t="s">
        <v>262</v>
      </c>
      <c r="D1402" s="4" t="s">
        <v>1225</v>
      </c>
      <c r="E1402" s="16">
        <v>4.5495144149754196E-5</v>
      </c>
      <c r="F1402" s="16">
        <v>0.9999949367559111</v>
      </c>
      <c r="G1402" s="16"/>
      <c r="H1402" s="16">
        <v>0.0</v>
      </c>
      <c r="I1402" s="16">
        <v>0.08333333333333333</v>
      </c>
      <c r="J1402" s="16">
        <v>0.0</v>
      </c>
      <c r="K1402" s="4">
        <v>0.0</v>
      </c>
      <c r="M1402" s="4" t="s">
        <v>32</v>
      </c>
    </row>
    <row r="1403" ht="18.0" customHeight="1">
      <c r="A1403" s="4" t="s">
        <v>57</v>
      </c>
      <c r="B1403" s="4">
        <v>137.0</v>
      </c>
      <c r="C1403" s="4" t="s">
        <v>854</v>
      </c>
      <c r="D1403" s="4" t="s">
        <v>1235</v>
      </c>
      <c r="E1403" s="16">
        <v>1.3242513887234963E-5</v>
      </c>
      <c r="F1403" s="16">
        <v>0.9999990777605916</v>
      </c>
      <c r="G1403" s="16"/>
      <c r="H1403" s="16">
        <v>0.0</v>
      </c>
      <c r="I1403" s="16">
        <v>0.041666666666666664</v>
      </c>
      <c r="J1403" s="16">
        <v>0.33333333333333337</v>
      </c>
      <c r="K1403" s="4">
        <v>0.0</v>
      </c>
      <c r="M1403" s="4" t="s">
        <v>32</v>
      </c>
    </row>
    <row r="1404" ht="18.0" customHeight="1">
      <c r="A1404" s="4" t="s">
        <v>57</v>
      </c>
      <c r="B1404" s="4">
        <v>138.0</v>
      </c>
      <c r="C1404" s="4" t="s">
        <v>1219</v>
      </c>
      <c r="D1404" s="4" t="s">
        <v>1230</v>
      </c>
      <c r="E1404" s="16">
        <v>1.606234764039982E-5</v>
      </c>
      <c r="F1404" s="16">
        <v>0.999998565074236</v>
      </c>
      <c r="G1404" s="16"/>
      <c r="H1404" s="16">
        <v>0.0</v>
      </c>
      <c r="I1404" s="16">
        <v>0.016666666666666666</v>
      </c>
      <c r="J1404" s="16">
        <v>0.0</v>
      </c>
      <c r="K1404" s="4">
        <v>0.0</v>
      </c>
      <c r="M1404" s="4" t="s">
        <v>32</v>
      </c>
    </row>
    <row r="1405" ht="18.0" customHeight="1">
      <c r="A1405" s="4" t="s">
        <v>57</v>
      </c>
      <c r="B1405" s="4">
        <v>139.0</v>
      </c>
      <c r="C1405" s="4" t="s">
        <v>327</v>
      </c>
      <c r="D1405" s="4" t="s">
        <v>803</v>
      </c>
      <c r="E1405" s="16">
        <v>1.37100714709959E-5</v>
      </c>
      <c r="F1405" s="16">
        <v>0.999998274402401</v>
      </c>
      <c r="G1405" s="16"/>
      <c r="H1405" s="16">
        <v>0.0</v>
      </c>
      <c r="I1405" s="16">
        <v>0.08333333333333333</v>
      </c>
      <c r="J1405" s="16">
        <v>0.4</v>
      </c>
      <c r="K1405" s="4">
        <v>0.0</v>
      </c>
      <c r="M1405" s="4" t="s">
        <v>32</v>
      </c>
    </row>
    <row r="1406" ht="18.0" customHeight="1">
      <c r="A1406" s="4" t="s">
        <v>57</v>
      </c>
      <c r="B1406" s="4">
        <v>140.0</v>
      </c>
      <c r="C1406" s="4" t="s">
        <v>159</v>
      </c>
      <c r="D1406" s="4" t="s">
        <v>160</v>
      </c>
      <c r="E1406" s="16">
        <v>1.7105793403970893E-6</v>
      </c>
      <c r="F1406" s="16">
        <v>0.9999998246448278</v>
      </c>
      <c r="G1406" s="16"/>
      <c r="H1406" s="16">
        <v>1.0</v>
      </c>
      <c r="I1406" s="16">
        <v>0.4708333333333334</v>
      </c>
      <c r="J1406" s="16">
        <v>0.25</v>
      </c>
      <c r="K1406" s="4">
        <v>0.0</v>
      </c>
      <c r="M1406" s="4" t="s">
        <v>32</v>
      </c>
    </row>
    <row r="1407" ht="18.0" customHeight="1">
      <c r="A1407" s="4" t="s">
        <v>57</v>
      </c>
      <c r="B1407" s="4">
        <v>141.0</v>
      </c>
      <c r="C1407" s="4" t="s">
        <v>160</v>
      </c>
      <c r="D1407" s="4" t="s">
        <v>181</v>
      </c>
      <c r="E1407" s="16">
        <v>3.024506213478162E-6</v>
      </c>
      <c r="F1407" s="16">
        <v>0.999999734017166</v>
      </c>
      <c r="G1407" s="16"/>
      <c r="H1407" s="16">
        <v>0.09090909090909091</v>
      </c>
      <c r="I1407" s="16">
        <v>0.16666666666666666</v>
      </c>
      <c r="J1407" s="16">
        <v>0.4</v>
      </c>
      <c r="K1407" s="4">
        <v>0.0</v>
      </c>
      <c r="M1407" s="4" t="s">
        <v>32</v>
      </c>
    </row>
    <row r="1408" ht="18.0" customHeight="1">
      <c r="A1408" s="4" t="s">
        <v>57</v>
      </c>
      <c r="B1408" s="4">
        <v>142.0</v>
      </c>
      <c r="C1408" s="4" t="s">
        <v>115</v>
      </c>
      <c r="D1408" s="4" t="s">
        <v>225</v>
      </c>
      <c r="E1408" s="16">
        <v>7.7407130447682E-6</v>
      </c>
      <c r="F1408" s="16">
        <v>0.9999990419109395</v>
      </c>
      <c r="G1408" s="16"/>
      <c r="H1408" s="16">
        <v>1.0</v>
      </c>
      <c r="I1408" s="16">
        <v>0.37083333333333335</v>
      </c>
      <c r="J1408" s="16">
        <v>0.25</v>
      </c>
      <c r="K1408" s="4">
        <v>0.0</v>
      </c>
      <c r="M1408" s="4" t="s">
        <v>32</v>
      </c>
    </row>
    <row r="1409" ht="18.0" customHeight="1">
      <c r="A1409" s="4" t="s">
        <v>57</v>
      </c>
      <c r="B1409" s="4">
        <v>143.0</v>
      </c>
      <c r="C1409" s="4" t="s">
        <v>427</v>
      </c>
      <c r="D1409" s="4" t="s">
        <v>225</v>
      </c>
      <c r="E1409" s="16">
        <v>5.096162567497231E-6</v>
      </c>
      <c r="F1409" s="16">
        <v>0.9999995609657901</v>
      </c>
      <c r="G1409" s="16"/>
      <c r="H1409" s="16">
        <v>1.0</v>
      </c>
      <c r="I1409" s="16">
        <v>0.325</v>
      </c>
      <c r="J1409" s="16">
        <v>0.30361445783132535</v>
      </c>
      <c r="K1409" s="4">
        <v>0.0</v>
      </c>
      <c r="M1409" s="4" t="s">
        <v>32</v>
      </c>
    </row>
    <row r="1410" ht="18.0" customHeight="1">
      <c r="A1410" s="4" t="s">
        <v>57</v>
      </c>
      <c r="B1410" s="4">
        <v>144.0</v>
      </c>
      <c r="C1410" s="4" t="s">
        <v>225</v>
      </c>
      <c r="D1410" s="4" t="s">
        <v>225</v>
      </c>
      <c r="E1410" s="16">
        <v>8.64543835632503E-6</v>
      </c>
      <c r="F1410" s="16">
        <v>0.9999994157810335</v>
      </c>
      <c r="G1410" s="16"/>
      <c r="H1410" s="16">
        <v>0.09090909090909091</v>
      </c>
      <c r="I1410" s="16">
        <v>0.0</v>
      </c>
      <c r="J1410" s="16">
        <v>0.0</v>
      </c>
      <c r="K1410" s="4">
        <v>0.0</v>
      </c>
      <c r="M1410" s="4" t="s">
        <v>32</v>
      </c>
    </row>
    <row r="1411" ht="18.0" customHeight="1">
      <c r="A1411" s="4" t="s">
        <v>57</v>
      </c>
      <c r="B1411" s="4">
        <v>145.0</v>
      </c>
      <c r="C1411" s="4" t="s">
        <v>582</v>
      </c>
      <c r="D1411" s="4" t="s">
        <v>907</v>
      </c>
      <c r="E1411" s="16">
        <v>1.8719108993536793E-5</v>
      </c>
      <c r="F1411" s="16">
        <v>0.9999984067595165</v>
      </c>
      <c r="G1411" s="16"/>
      <c r="H1411" s="16">
        <v>0.0</v>
      </c>
      <c r="I1411" s="16">
        <v>0.0</v>
      </c>
      <c r="J1411" s="16">
        <v>0.0</v>
      </c>
      <c r="K1411" s="4">
        <v>0.0</v>
      </c>
      <c r="M1411" s="4" t="s">
        <v>32</v>
      </c>
    </row>
    <row r="1412" ht="18.0" customHeight="1">
      <c r="A1412" s="4" t="s">
        <v>57</v>
      </c>
      <c r="B1412" s="4">
        <v>146.0</v>
      </c>
      <c r="C1412" s="4" t="s">
        <v>859</v>
      </c>
      <c r="D1412" s="4" t="s">
        <v>1226</v>
      </c>
      <c r="E1412" s="16">
        <v>3.795215434365673E-6</v>
      </c>
      <c r="F1412" s="16">
        <v>0.9999997571950132</v>
      </c>
      <c r="G1412" s="16"/>
      <c r="H1412" s="16">
        <v>0.09090909090909091</v>
      </c>
      <c r="I1412" s="16">
        <v>0.041666666666666664</v>
      </c>
      <c r="J1412" s="16">
        <v>0.0</v>
      </c>
      <c r="K1412" s="4">
        <v>0.0</v>
      </c>
      <c r="M1412" s="4" t="s">
        <v>32</v>
      </c>
    </row>
    <row r="1413" ht="18.0" customHeight="1">
      <c r="A1413" s="4" t="s">
        <v>57</v>
      </c>
      <c r="B1413" s="4">
        <v>147.0</v>
      </c>
      <c r="C1413" s="4" t="s">
        <v>848</v>
      </c>
      <c r="D1413" s="4" t="s">
        <v>849</v>
      </c>
      <c r="E1413" s="16">
        <v>4.029180854558945E-5</v>
      </c>
      <c r="F1413" s="16">
        <v>0.9999967275687709</v>
      </c>
      <c r="G1413" s="16"/>
      <c r="H1413" s="16">
        <v>1.0</v>
      </c>
      <c r="I1413" s="16">
        <v>0.4708333333333334</v>
      </c>
      <c r="J1413" s="16">
        <v>0.0</v>
      </c>
      <c r="K1413" s="4">
        <v>0.0</v>
      </c>
      <c r="M1413" s="4" t="s">
        <v>32</v>
      </c>
    </row>
    <row r="1414" ht="18.0" customHeight="1">
      <c r="A1414" s="4" t="s">
        <v>57</v>
      </c>
      <c r="B1414" s="4">
        <v>148.0</v>
      </c>
      <c r="C1414" s="4" t="s">
        <v>845</v>
      </c>
      <c r="D1414" s="4" t="s">
        <v>846</v>
      </c>
      <c r="E1414" s="16">
        <v>3.437024133745581E-6</v>
      </c>
      <c r="F1414" s="16">
        <v>0.9999997860265921</v>
      </c>
      <c r="G1414" s="16"/>
      <c r="H1414" s="16">
        <v>0.0</v>
      </c>
      <c r="I1414" s="16">
        <v>0.016666666666666666</v>
      </c>
      <c r="J1414" s="16">
        <v>0.0</v>
      </c>
      <c r="K1414" s="4">
        <v>0.0</v>
      </c>
      <c r="M1414" s="4" t="s">
        <v>32</v>
      </c>
    </row>
    <row r="1415" ht="18.0" customHeight="1">
      <c r="A1415" s="4" t="s">
        <v>57</v>
      </c>
      <c r="B1415" s="4">
        <v>149.0</v>
      </c>
      <c r="C1415" s="4" t="s">
        <v>838</v>
      </c>
      <c r="D1415" s="4" t="s">
        <v>1227</v>
      </c>
      <c r="E1415" s="16">
        <v>4.00794579036301E-6</v>
      </c>
      <c r="F1415" s="16">
        <v>0.9999997238868588</v>
      </c>
      <c r="G1415" s="16"/>
      <c r="H1415" s="16">
        <v>0.9090909090909091</v>
      </c>
      <c r="I1415" s="16">
        <v>0.45416666666666666</v>
      </c>
      <c r="J1415" s="16">
        <v>0.6021505376344086</v>
      </c>
      <c r="K1415" s="4">
        <v>0.0</v>
      </c>
      <c r="M1415" s="4" t="s">
        <v>32</v>
      </c>
    </row>
    <row r="1416" ht="18.0" customHeight="1">
      <c r="A1416" s="4" t="s">
        <v>57</v>
      </c>
      <c r="B1416" s="4">
        <v>150.0</v>
      </c>
      <c r="C1416" s="4" t="s">
        <v>100</v>
      </c>
      <c r="D1416" s="4" t="s">
        <v>101</v>
      </c>
      <c r="E1416" s="16">
        <v>5.4218771765590645E-6</v>
      </c>
      <c r="F1416" s="16">
        <v>0.9999995412482434</v>
      </c>
      <c r="G1416" s="16"/>
      <c r="H1416" s="16">
        <v>0.09090909090909091</v>
      </c>
      <c r="I1416" s="16">
        <v>0.041666666666666664</v>
      </c>
      <c r="J1416" s="16">
        <v>0.0</v>
      </c>
      <c r="K1416" s="4">
        <v>0.0</v>
      </c>
      <c r="M1416" s="4" t="s">
        <v>32</v>
      </c>
    </row>
    <row r="1417" ht="18.0" customHeight="1">
      <c r="A1417" s="4" t="s">
        <v>57</v>
      </c>
      <c r="B1417" s="4">
        <v>151.0</v>
      </c>
      <c r="C1417" s="4" t="s">
        <v>1234</v>
      </c>
      <c r="D1417" s="4" t="s">
        <v>1228</v>
      </c>
      <c r="E1417" s="16">
        <v>2.5275792722823098E-5</v>
      </c>
      <c r="F1417" s="16">
        <v>0.9999967179679743</v>
      </c>
      <c r="G1417" s="16"/>
      <c r="H1417" s="16">
        <v>0.0</v>
      </c>
      <c r="I1417" s="16">
        <v>0.016666666666666666</v>
      </c>
      <c r="J1417" s="16">
        <v>0.0</v>
      </c>
      <c r="K1417" s="4">
        <v>0.0</v>
      </c>
      <c r="M1417" s="4" t="s">
        <v>32</v>
      </c>
    </row>
    <row r="1418" ht="18.0" customHeight="1">
      <c r="A1418" s="4" t="s">
        <v>57</v>
      </c>
      <c r="B1418" s="4">
        <v>152.0</v>
      </c>
      <c r="C1418" s="4" t="s">
        <v>890</v>
      </c>
      <c r="D1418" s="4" t="s">
        <v>1224</v>
      </c>
      <c r="E1418" s="16">
        <v>1.551967579871416E-4</v>
      </c>
      <c r="F1418" s="16">
        <v>0.9999772841420054</v>
      </c>
      <c r="G1418" s="16"/>
      <c r="H1418" s="16">
        <v>0.09090909090909091</v>
      </c>
      <c r="I1418" s="16">
        <v>0.08333333333333333</v>
      </c>
      <c r="J1418" s="16">
        <v>0.0</v>
      </c>
      <c r="K1418" s="4">
        <v>0.0</v>
      </c>
      <c r="M1418" s="4" t="s">
        <v>32</v>
      </c>
    </row>
    <row r="1419" ht="18.0" customHeight="1">
      <c r="A1419" s="4" t="s">
        <v>57</v>
      </c>
      <c r="B1419" s="4">
        <v>153.0</v>
      </c>
      <c r="C1419" s="4" t="s">
        <v>504</v>
      </c>
      <c r="D1419" s="4" t="s">
        <v>1231</v>
      </c>
      <c r="E1419" s="16">
        <v>1.3377406867220998E-4</v>
      </c>
      <c r="F1419" s="16">
        <v>0.9999867035980969</v>
      </c>
      <c r="G1419" s="16"/>
      <c r="H1419" s="16">
        <v>0.0</v>
      </c>
      <c r="I1419" s="16">
        <v>0.0</v>
      </c>
      <c r="J1419" s="16">
        <v>0.0</v>
      </c>
      <c r="K1419" s="4">
        <v>0.0</v>
      </c>
      <c r="M1419" s="4" t="s">
        <v>32</v>
      </c>
    </row>
    <row r="1420" ht="18.0" customHeight="1">
      <c r="A1420" s="4" t="s">
        <v>57</v>
      </c>
      <c r="B1420" s="4">
        <v>154.0</v>
      </c>
      <c r="C1420" s="4" t="s">
        <v>326</v>
      </c>
      <c r="D1420" s="4" t="s">
        <v>582</v>
      </c>
      <c r="E1420" s="16">
        <v>1.5095789422048256E-5</v>
      </c>
      <c r="F1420" s="16">
        <v>0.9999987281917413</v>
      </c>
      <c r="G1420" s="16"/>
      <c r="H1420" s="16">
        <v>1.0</v>
      </c>
      <c r="I1420" s="16">
        <v>0.40416666666666673</v>
      </c>
      <c r="J1420" s="16">
        <v>0.49523809523809526</v>
      </c>
      <c r="K1420" s="4">
        <v>0.0</v>
      </c>
      <c r="M1420" s="4" t="s">
        <v>32</v>
      </c>
    </row>
    <row r="1421" ht="18.0" customHeight="1">
      <c r="A1421" s="4" t="s">
        <v>57</v>
      </c>
      <c r="B1421" s="4">
        <v>155.0</v>
      </c>
      <c r="C1421" s="4" t="s">
        <v>262</v>
      </c>
      <c r="D1421" s="4" t="s">
        <v>1225</v>
      </c>
      <c r="E1421" s="16">
        <v>4.53731554443948E-5</v>
      </c>
      <c r="F1421" s="16">
        <v>0.9999946752786855</v>
      </c>
      <c r="G1421" s="16"/>
      <c r="H1421" s="16">
        <v>0.0</v>
      </c>
      <c r="I1421" s="16">
        <v>0.08333333333333333</v>
      </c>
      <c r="J1421" s="16">
        <v>0.0</v>
      </c>
      <c r="K1421" s="4">
        <v>0.0</v>
      </c>
      <c r="M1421" s="4" t="s">
        <v>32</v>
      </c>
    </row>
    <row r="1422" ht="18.0" customHeight="1">
      <c r="A1422" s="4" t="s">
        <v>57</v>
      </c>
      <c r="B1422" s="4">
        <v>156.0</v>
      </c>
      <c r="C1422" s="4" t="s">
        <v>854</v>
      </c>
      <c r="D1422" s="4" t="s">
        <v>1229</v>
      </c>
      <c r="E1422" s="16">
        <v>1.292762863158714E-5</v>
      </c>
      <c r="F1422" s="16">
        <v>0.9999990465075257</v>
      </c>
      <c r="G1422" s="16"/>
      <c r="H1422" s="16">
        <v>1.0</v>
      </c>
      <c r="I1422" s="16">
        <v>0.5166666666666667</v>
      </c>
      <c r="J1422" s="16">
        <v>0.047619047619047616</v>
      </c>
      <c r="K1422" s="4">
        <v>0.0</v>
      </c>
      <c r="M1422" s="4" t="s">
        <v>32</v>
      </c>
    </row>
    <row r="1423" ht="18.0" customHeight="1">
      <c r="A1423" s="4" t="s">
        <v>57</v>
      </c>
      <c r="B1423" s="4">
        <v>157.0</v>
      </c>
      <c r="C1423" s="4" t="s">
        <v>1219</v>
      </c>
      <c r="D1423" s="4" t="s">
        <v>1221</v>
      </c>
      <c r="E1423" s="16">
        <v>2.936987584689632E-5</v>
      </c>
      <c r="F1423" s="16">
        <v>0.99999700199578</v>
      </c>
      <c r="G1423" s="16"/>
      <c r="H1423" s="16">
        <v>0.0</v>
      </c>
      <c r="I1423" s="16">
        <v>0.016666666666666666</v>
      </c>
      <c r="J1423" s="16">
        <v>0.0</v>
      </c>
      <c r="K1423" s="4">
        <v>0.0</v>
      </c>
      <c r="M1423" s="4" t="s">
        <v>32</v>
      </c>
    </row>
    <row r="1424" ht="18.0" customHeight="1">
      <c r="A1424" s="4" t="s">
        <v>57</v>
      </c>
      <c r="B1424" s="4">
        <v>158.0</v>
      </c>
      <c r="C1424" s="4" t="s">
        <v>327</v>
      </c>
      <c r="D1424" s="4" t="s">
        <v>803</v>
      </c>
      <c r="E1424" s="16">
        <v>4.118539436603896E-6</v>
      </c>
      <c r="F1424" s="16">
        <v>0.9999995342541155</v>
      </c>
      <c r="G1424" s="16"/>
      <c r="H1424" s="16">
        <v>0.0</v>
      </c>
      <c r="I1424" s="16">
        <v>0.08333333333333333</v>
      </c>
      <c r="J1424" s="16">
        <v>0.4</v>
      </c>
      <c r="K1424" s="4">
        <v>0.0</v>
      </c>
      <c r="M1424" s="4" t="s">
        <v>32</v>
      </c>
    </row>
    <row r="1425" ht="18.0" customHeight="1">
      <c r="A1425" s="4" t="s">
        <v>57</v>
      </c>
      <c r="B1425" s="4">
        <v>159.0</v>
      </c>
      <c r="C1425" s="4" t="s">
        <v>159</v>
      </c>
      <c r="D1425" s="4" t="s">
        <v>181</v>
      </c>
      <c r="E1425" s="16">
        <v>2.960520646411169E-7</v>
      </c>
      <c r="F1425" s="16">
        <v>0.9999999966017321</v>
      </c>
      <c r="G1425" s="16"/>
      <c r="H1425" s="16">
        <v>1.0</v>
      </c>
      <c r="I1425" s="16">
        <v>0.4083333333333334</v>
      </c>
      <c r="J1425" s="16">
        <v>0.0</v>
      </c>
      <c r="K1425" s="4">
        <v>0.0</v>
      </c>
      <c r="M1425" s="4" t="s">
        <v>32</v>
      </c>
    </row>
    <row r="1426" ht="18.0" customHeight="1">
      <c r="A1426" s="4" t="s">
        <v>57</v>
      </c>
      <c r="B1426" s="4">
        <v>160.0</v>
      </c>
      <c r="C1426" s="4" t="s">
        <v>181</v>
      </c>
      <c r="D1426" s="4" t="s">
        <v>160</v>
      </c>
      <c r="E1426" s="16">
        <v>6.164690148580121E-6</v>
      </c>
      <c r="F1426" s="16">
        <v>0.9999993594587124</v>
      </c>
      <c r="G1426" s="16"/>
      <c r="H1426" s="16">
        <v>0.18181818181818182</v>
      </c>
      <c r="I1426" s="16">
        <v>0.1875</v>
      </c>
      <c r="J1426" s="16">
        <v>0.6</v>
      </c>
      <c r="K1426" s="4">
        <v>0.0</v>
      </c>
      <c r="M1426" s="4" t="s">
        <v>32</v>
      </c>
    </row>
    <row r="1427" ht="18.0" customHeight="1">
      <c r="A1427" s="4" t="s">
        <v>57</v>
      </c>
      <c r="B1427" s="4">
        <v>161.0</v>
      </c>
      <c r="C1427" s="4" t="s">
        <v>115</v>
      </c>
      <c r="D1427" s="4" t="s">
        <v>114</v>
      </c>
      <c r="E1427" s="16">
        <v>1.0191268984272028E-6</v>
      </c>
      <c r="F1427" s="16">
        <v>0.9999999732705529</v>
      </c>
      <c r="G1427" s="16"/>
      <c r="H1427" s="16">
        <v>1.0</v>
      </c>
      <c r="I1427" s="16">
        <v>0.4375</v>
      </c>
      <c r="J1427" s="16">
        <v>0.06976744186046512</v>
      </c>
      <c r="K1427" s="4">
        <v>0.0</v>
      </c>
      <c r="M1427" s="4" t="s">
        <v>32</v>
      </c>
    </row>
    <row r="1428" ht="18.0" customHeight="1">
      <c r="A1428" s="4" t="s">
        <v>57</v>
      </c>
      <c r="B1428" s="4">
        <v>162.0</v>
      </c>
      <c r="C1428" s="4" t="s">
        <v>762</v>
      </c>
      <c r="D1428" s="4" t="s">
        <v>270</v>
      </c>
      <c r="E1428" s="16">
        <v>4.129660010221414E-5</v>
      </c>
      <c r="F1428" s="16">
        <v>0.9999946949851619</v>
      </c>
      <c r="G1428" s="16"/>
      <c r="H1428" s="16">
        <v>0.2727272727272727</v>
      </c>
      <c r="I1428" s="16">
        <v>0.125</v>
      </c>
      <c r="J1428" s="16">
        <v>0.6666666666666667</v>
      </c>
      <c r="K1428" s="4">
        <v>0.0</v>
      </c>
      <c r="M1428" s="4" t="s">
        <v>32</v>
      </c>
    </row>
    <row r="1429" ht="18.0" customHeight="1">
      <c r="A1429" s="4" t="s">
        <v>57</v>
      </c>
      <c r="B1429" s="4">
        <v>163.0</v>
      </c>
      <c r="C1429" s="4" t="s">
        <v>225</v>
      </c>
      <c r="D1429" s="4" t="s">
        <v>258</v>
      </c>
      <c r="E1429" s="16">
        <v>2.6248580979881808E-5</v>
      </c>
      <c r="F1429" s="16">
        <v>0.9999979764893681</v>
      </c>
      <c r="G1429" s="16"/>
      <c r="H1429" s="16">
        <v>1.0</v>
      </c>
      <c r="I1429" s="16">
        <v>0.325</v>
      </c>
      <c r="J1429" s="16">
        <v>0.0</v>
      </c>
      <c r="K1429" s="4">
        <v>0.0</v>
      </c>
      <c r="M1429" s="4" t="s">
        <v>32</v>
      </c>
    </row>
    <row r="1430" ht="18.0" customHeight="1">
      <c r="A1430" s="4" t="s">
        <v>57</v>
      </c>
      <c r="B1430" s="4">
        <v>164.0</v>
      </c>
      <c r="C1430" s="4" t="s">
        <v>582</v>
      </c>
      <c r="D1430" s="4" t="s">
        <v>907</v>
      </c>
      <c r="E1430" s="16">
        <v>2.6543009880697355E-5</v>
      </c>
      <c r="F1430" s="16">
        <v>0.9999978466552761</v>
      </c>
      <c r="G1430" s="16"/>
      <c r="H1430" s="16">
        <v>0.0</v>
      </c>
      <c r="I1430" s="16">
        <v>0.0</v>
      </c>
      <c r="J1430" s="16">
        <v>0.0</v>
      </c>
      <c r="K1430" s="4">
        <v>0.0</v>
      </c>
      <c r="M1430" s="4" t="s">
        <v>32</v>
      </c>
    </row>
    <row r="1431" ht="18.0" customHeight="1">
      <c r="A1431" s="4" t="s">
        <v>57</v>
      </c>
      <c r="B1431" s="4">
        <v>165.0</v>
      </c>
      <c r="C1431" s="4" t="s">
        <v>859</v>
      </c>
      <c r="D1431" s="4" t="s">
        <v>1226</v>
      </c>
      <c r="E1431" s="16">
        <v>3.3412866287108045E-6</v>
      </c>
      <c r="F1431" s="16">
        <v>0.9999997830184526</v>
      </c>
      <c r="G1431" s="16"/>
      <c r="H1431" s="16">
        <v>0.09090909090909091</v>
      </c>
      <c r="I1431" s="16">
        <v>0.041666666666666664</v>
      </c>
      <c r="J1431" s="16">
        <v>0.0</v>
      </c>
      <c r="K1431" s="4">
        <v>0.0</v>
      </c>
      <c r="M1431" s="4" t="s">
        <v>32</v>
      </c>
    </row>
    <row r="1432" ht="18.0" customHeight="1">
      <c r="A1432" s="4" t="s">
        <v>57</v>
      </c>
      <c r="B1432" s="4">
        <v>166.0</v>
      </c>
      <c r="C1432" s="4" t="s">
        <v>848</v>
      </c>
      <c r="D1432" s="4" t="s">
        <v>849</v>
      </c>
      <c r="E1432" s="16">
        <v>2.1566829673247412E-5</v>
      </c>
      <c r="F1432" s="16">
        <v>0.9999980610276111</v>
      </c>
      <c r="G1432" s="16"/>
      <c r="H1432" s="16">
        <v>1.0</v>
      </c>
      <c r="I1432" s="16">
        <v>0.4083333333333334</v>
      </c>
      <c r="J1432" s="16">
        <v>0.19999999999999996</v>
      </c>
      <c r="K1432" s="4">
        <v>0.0</v>
      </c>
      <c r="M1432" s="4" t="s">
        <v>32</v>
      </c>
    </row>
    <row r="1433" ht="18.0" customHeight="1">
      <c r="A1433" s="4" t="s">
        <v>57</v>
      </c>
      <c r="B1433" s="4">
        <v>167.0</v>
      </c>
      <c r="C1433" s="4" t="s">
        <v>845</v>
      </c>
      <c r="D1433" s="4" t="s">
        <v>846</v>
      </c>
      <c r="E1433" s="16">
        <v>1.0120301340066362E-5</v>
      </c>
      <c r="F1433" s="16">
        <v>0.9999991673063988</v>
      </c>
      <c r="G1433" s="16"/>
      <c r="H1433" s="16">
        <v>0.0</v>
      </c>
      <c r="I1433" s="16">
        <v>0.016666666666666666</v>
      </c>
      <c r="J1433" s="16">
        <v>0.0</v>
      </c>
      <c r="K1433" s="4">
        <v>0.0</v>
      </c>
      <c r="M1433" s="4" t="s">
        <v>32</v>
      </c>
    </row>
    <row r="1434" ht="18.0" customHeight="1">
      <c r="A1434" s="4" t="s">
        <v>57</v>
      </c>
      <c r="B1434" s="4">
        <v>168.0</v>
      </c>
      <c r="C1434" s="4" t="s">
        <v>838</v>
      </c>
      <c r="D1434" s="4" t="s">
        <v>1233</v>
      </c>
      <c r="E1434" s="16">
        <v>5.692342710972298E-6</v>
      </c>
      <c r="F1434" s="16">
        <v>0.9999996877790522</v>
      </c>
      <c r="G1434" s="16"/>
      <c r="H1434" s="16">
        <v>1.0</v>
      </c>
      <c r="I1434" s="16">
        <v>0.47500000000000003</v>
      </c>
      <c r="J1434" s="16">
        <v>0.7142857142857143</v>
      </c>
      <c r="K1434" s="4">
        <v>0.0</v>
      </c>
      <c r="M1434" s="4" t="s">
        <v>32</v>
      </c>
    </row>
    <row r="1435" ht="18.0" customHeight="1">
      <c r="A1435" s="4" t="s">
        <v>57</v>
      </c>
      <c r="B1435" s="4">
        <v>169.0</v>
      </c>
      <c r="C1435" s="4" t="s">
        <v>100</v>
      </c>
      <c r="D1435" s="4" t="s">
        <v>101</v>
      </c>
      <c r="E1435" s="16">
        <v>4.0578579501016065E-6</v>
      </c>
      <c r="F1435" s="16">
        <v>0.9999996507909472</v>
      </c>
      <c r="G1435" s="16"/>
      <c r="H1435" s="16">
        <v>0.09090909090909091</v>
      </c>
      <c r="I1435" s="16">
        <v>0.041666666666666664</v>
      </c>
      <c r="J1435" s="16">
        <v>0.0</v>
      </c>
      <c r="K1435" s="4">
        <v>0.0</v>
      </c>
      <c r="M1435" s="4" t="s">
        <v>32</v>
      </c>
    </row>
    <row r="1436" ht="18.0" customHeight="1">
      <c r="A1436" s="4" t="s">
        <v>57</v>
      </c>
      <c r="B1436" s="4">
        <v>170.0</v>
      </c>
      <c r="C1436" s="4" t="s">
        <v>1234</v>
      </c>
      <c r="D1436" s="4" t="s">
        <v>1228</v>
      </c>
      <c r="E1436" s="16">
        <v>3.22392770613078E-5</v>
      </c>
      <c r="F1436" s="16">
        <v>0.9999956445644784</v>
      </c>
      <c r="G1436" s="16"/>
      <c r="H1436" s="16">
        <v>0.0</v>
      </c>
      <c r="I1436" s="16">
        <v>0.016666666666666666</v>
      </c>
      <c r="J1436" s="16">
        <v>0.0</v>
      </c>
      <c r="K1436" s="4">
        <v>0.0</v>
      </c>
      <c r="M1436" s="4" t="s">
        <v>32</v>
      </c>
    </row>
    <row r="1437" ht="18.0" customHeight="1">
      <c r="A1437" s="4" t="s">
        <v>57</v>
      </c>
      <c r="B1437" s="4">
        <v>171.0</v>
      </c>
      <c r="C1437" s="4" t="s">
        <v>504</v>
      </c>
      <c r="D1437" s="4" t="s">
        <v>505</v>
      </c>
      <c r="E1437" s="16">
        <v>2.3348793911281973E-4</v>
      </c>
      <c r="F1437" s="16">
        <v>0.9999766333121443</v>
      </c>
      <c r="G1437" s="16"/>
      <c r="H1437" s="16">
        <v>1.0</v>
      </c>
      <c r="I1437" s="16">
        <v>0.45416666666666666</v>
      </c>
      <c r="J1437" s="16">
        <v>0.0</v>
      </c>
      <c r="K1437" s="4">
        <v>0.0</v>
      </c>
      <c r="M1437" s="4" t="s">
        <v>32</v>
      </c>
    </row>
    <row r="1438" ht="18.0" customHeight="1">
      <c r="A1438" s="4" t="s">
        <v>57</v>
      </c>
      <c r="B1438" s="4">
        <v>172.0</v>
      </c>
      <c r="C1438" s="4" t="s">
        <v>326</v>
      </c>
      <c r="D1438" s="4" t="s">
        <v>582</v>
      </c>
      <c r="E1438" s="16">
        <v>2.0953299099346623E-5</v>
      </c>
      <c r="F1438" s="16">
        <v>0.9999977012339514</v>
      </c>
      <c r="G1438" s="16"/>
      <c r="H1438" s="16">
        <v>1.0</v>
      </c>
      <c r="I1438" s="16">
        <v>0.44583333333333336</v>
      </c>
      <c r="J1438" s="16">
        <v>0.6746031746031746</v>
      </c>
      <c r="K1438" s="4">
        <v>0.0</v>
      </c>
      <c r="M1438" s="4" t="s">
        <v>32</v>
      </c>
    </row>
    <row r="1439" ht="18.0" customHeight="1">
      <c r="A1439" s="4" t="s">
        <v>57</v>
      </c>
      <c r="B1439" s="4">
        <v>173.0</v>
      </c>
      <c r="C1439" s="4" t="s">
        <v>262</v>
      </c>
      <c r="D1439" s="4" t="s">
        <v>1225</v>
      </c>
      <c r="E1439" s="16">
        <v>4.6626671974081546E-5</v>
      </c>
      <c r="F1439" s="16">
        <v>0.9999946245341107</v>
      </c>
      <c r="G1439" s="16"/>
      <c r="H1439" s="16">
        <v>0.0</v>
      </c>
      <c r="I1439" s="16">
        <v>0.08333333333333333</v>
      </c>
      <c r="J1439" s="16">
        <v>0.0</v>
      </c>
      <c r="K1439" s="4">
        <v>0.0</v>
      </c>
      <c r="M1439" s="4" t="s">
        <v>32</v>
      </c>
    </row>
    <row r="1440" ht="18.0" customHeight="1">
      <c r="A1440" s="4" t="s">
        <v>57</v>
      </c>
      <c r="B1440" s="4">
        <v>174.0</v>
      </c>
      <c r="C1440" s="4" t="s">
        <v>854</v>
      </c>
      <c r="D1440" s="4" t="s">
        <v>1229</v>
      </c>
      <c r="E1440" s="16">
        <v>1.755470657371916E-5</v>
      </c>
      <c r="F1440" s="16">
        <v>0.9999986410713575</v>
      </c>
      <c r="G1440" s="16"/>
      <c r="H1440" s="16">
        <v>1.0</v>
      </c>
      <c r="I1440" s="16">
        <v>0.5166666666666667</v>
      </c>
      <c r="J1440" s="16">
        <v>0.047619047619047616</v>
      </c>
      <c r="K1440" s="4">
        <v>0.0</v>
      </c>
      <c r="M1440" s="4" t="s">
        <v>32</v>
      </c>
    </row>
    <row r="1441" ht="18.0" customHeight="1">
      <c r="A1441" s="4" t="s">
        <v>57</v>
      </c>
      <c r="B1441" s="4">
        <v>175.0</v>
      </c>
      <c r="C1441" s="4" t="s">
        <v>1219</v>
      </c>
      <c r="D1441" s="4" t="s">
        <v>1221</v>
      </c>
      <c r="E1441" s="16">
        <v>2.2540614736499265E-5</v>
      </c>
      <c r="F1441" s="16">
        <v>0.9999980707587497</v>
      </c>
      <c r="G1441" s="16"/>
      <c r="H1441" s="16">
        <v>0.0</v>
      </c>
      <c r="I1441" s="16">
        <v>0.016666666666666666</v>
      </c>
      <c r="J1441" s="16">
        <v>0.0</v>
      </c>
      <c r="K1441" s="4">
        <v>0.0</v>
      </c>
      <c r="M1441" s="4" t="s">
        <v>32</v>
      </c>
    </row>
    <row r="1442" ht="18.0" customHeight="1">
      <c r="A1442" s="4" t="s">
        <v>57</v>
      </c>
      <c r="B1442" s="4">
        <v>176.0</v>
      </c>
      <c r="C1442" s="4" t="s">
        <v>327</v>
      </c>
      <c r="D1442" s="4" t="s">
        <v>803</v>
      </c>
      <c r="E1442" s="16">
        <v>6.336145816021599E-6</v>
      </c>
      <c r="F1442" s="16">
        <v>0.999999279104145</v>
      </c>
      <c r="G1442" s="16"/>
      <c r="H1442" s="16">
        <v>0.0</v>
      </c>
      <c r="I1442" s="16">
        <v>0.08333333333333333</v>
      </c>
      <c r="J1442" s="16">
        <v>0.4</v>
      </c>
      <c r="K1442" s="4">
        <v>0.0</v>
      </c>
      <c r="M1442" s="4" t="s">
        <v>32</v>
      </c>
    </row>
    <row r="1443" ht="18.0" customHeight="1">
      <c r="A1443" s="4" t="s">
        <v>57</v>
      </c>
      <c r="B1443" s="4">
        <v>177.0</v>
      </c>
      <c r="C1443" s="4" t="s">
        <v>159</v>
      </c>
      <c r="D1443" s="4" t="s">
        <v>181</v>
      </c>
      <c r="E1443" s="16">
        <v>9.464081927035295E-7</v>
      </c>
      <c r="F1443" s="16">
        <v>0.9999999780129567</v>
      </c>
      <c r="G1443" s="16"/>
      <c r="H1443" s="16">
        <v>1.0</v>
      </c>
      <c r="I1443" s="16">
        <v>0.4708333333333334</v>
      </c>
      <c r="J1443" s="16">
        <v>0.25</v>
      </c>
      <c r="K1443" s="4">
        <v>0.0</v>
      </c>
      <c r="M1443" s="4" t="s">
        <v>32</v>
      </c>
    </row>
    <row r="1444" ht="18.0" customHeight="1">
      <c r="A1444" s="4" t="s">
        <v>57</v>
      </c>
      <c r="B1444" s="4">
        <v>178.0</v>
      </c>
      <c r="C1444" s="4" t="s">
        <v>181</v>
      </c>
      <c r="D1444" s="4" t="s">
        <v>427</v>
      </c>
      <c r="E1444" s="16">
        <v>3.8074920212238794E-6</v>
      </c>
      <c r="F1444" s="16">
        <v>0.9999996360393624</v>
      </c>
      <c r="G1444" s="16"/>
      <c r="H1444" s="16">
        <v>0.2727272727272727</v>
      </c>
      <c r="I1444" s="16">
        <v>0.2041666666666667</v>
      </c>
      <c r="J1444" s="16">
        <v>0.4554216867469879</v>
      </c>
      <c r="K1444" s="4">
        <v>0.0</v>
      </c>
      <c r="M1444" s="4" t="s">
        <v>32</v>
      </c>
    </row>
    <row r="1445" ht="18.0" customHeight="1">
      <c r="A1445" s="4" t="s">
        <v>57</v>
      </c>
      <c r="B1445" s="4">
        <v>179.0</v>
      </c>
      <c r="C1445" s="4" t="s">
        <v>115</v>
      </c>
      <c r="D1445" s="4" t="s">
        <v>114</v>
      </c>
      <c r="E1445" s="16">
        <v>1.5397489505630801E-6</v>
      </c>
      <c r="F1445" s="16">
        <v>0.9999999628898415</v>
      </c>
      <c r="G1445" s="16"/>
      <c r="H1445" s="16">
        <v>1.0</v>
      </c>
      <c r="I1445" s="16">
        <v>0.5</v>
      </c>
      <c r="J1445" s="16">
        <v>0.047619047619047616</v>
      </c>
      <c r="K1445" s="4">
        <v>0.0</v>
      </c>
      <c r="M1445" s="4" t="s">
        <v>32</v>
      </c>
    </row>
    <row r="1446" ht="18.0" customHeight="1">
      <c r="A1446" s="4" t="s">
        <v>57</v>
      </c>
      <c r="B1446" s="4">
        <v>180.0</v>
      </c>
      <c r="C1446" s="4" t="s">
        <v>270</v>
      </c>
      <c r="D1446" s="4" t="s">
        <v>761</v>
      </c>
      <c r="E1446" s="16">
        <v>1.3709062841371633E-5</v>
      </c>
      <c r="F1446" s="16">
        <v>0.9999987699626729</v>
      </c>
      <c r="G1446" s="16"/>
      <c r="H1446" s="16">
        <v>0.0</v>
      </c>
      <c r="I1446" s="16">
        <v>0.08333333333333333</v>
      </c>
      <c r="J1446" s="16">
        <v>0.4</v>
      </c>
      <c r="K1446" s="4">
        <v>0.0</v>
      </c>
      <c r="M1446" s="4" t="s">
        <v>32</v>
      </c>
    </row>
    <row r="1447" ht="18.0" customHeight="1">
      <c r="A1447" s="4" t="s">
        <v>57</v>
      </c>
      <c r="B1447" s="4">
        <v>181.0</v>
      </c>
      <c r="C1447" s="4" t="s">
        <v>225</v>
      </c>
      <c r="D1447" s="4" t="s">
        <v>258</v>
      </c>
      <c r="E1447" s="16">
        <v>2.09622139664134E-5</v>
      </c>
      <c r="F1447" s="16">
        <v>0.9999984474664529</v>
      </c>
      <c r="G1447" s="16"/>
      <c r="H1447" s="16">
        <v>1.0</v>
      </c>
      <c r="I1447" s="16">
        <v>0.325</v>
      </c>
      <c r="J1447" s="16">
        <v>0.25</v>
      </c>
      <c r="K1447" s="4">
        <v>0.0</v>
      </c>
      <c r="M1447" s="4" t="s">
        <v>32</v>
      </c>
    </row>
    <row r="1448" ht="18.0" customHeight="1">
      <c r="A1448" s="4" t="s">
        <v>57</v>
      </c>
      <c r="B1448" s="4">
        <v>182.0</v>
      </c>
      <c r="C1448" s="4" t="s">
        <v>582</v>
      </c>
      <c r="D1448" s="4" t="s">
        <v>907</v>
      </c>
      <c r="E1448" s="16">
        <v>1.638066714804154E-5</v>
      </c>
      <c r="F1448" s="16">
        <v>0.999998691473138</v>
      </c>
      <c r="G1448" s="16"/>
      <c r="H1448" s="16">
        <v>0.0</v>
      </c>
      <c r="I1448" s="16">
        <v>0.0</v>
      </c>
      <c r="J1448" s="16">
        <v>0.0</v>
      </c>
      <c r="K1448" s="4">
        <v>0.0</v>
      </c>
      <c r="M1448" s="4" t="s">
        <v>32</v>
      </c>
    </row>
    <row r="1449" ht="18.0" customHeight="1">
      <c r="A1449" s="4" t="s">
        <v>57</v>
      </c>
      <c r="B1449" s="4">
        <v>183.0</v>
      </c>
      <c r="C1449" s="4" t="s">
        <v>859</v>
      </c>
      <c r="D1449" s="4" t="s">
        <v>1226</v>
      </c>
      <c r="E1449" s="16">
        <v>3.5654652492667083E-6</v>
      </c>
      <c r="F1449" s="16">
        <v>0.9999997717178815</v>
      </c>
      <c r="G1449" s="16"/>
      <c r="H1449" s="16">
        <v>0.09090909090909091</v>
      </c>
      <c r="I1449" s="16">
        <v>0.041666666666666664</v>
      </c>
      <c r="J1449" s="16">
        <v>0.0</v>
      </c>
      <c r="K1449" s="4">
        <v>0.0</v>
      </c>
      <c r="M1449" s="4" t="s">
        <v>32</v>
      </c>
    </row>
    <row r="1450" ht="18.0" customHeight="1">
      <c r="A1450" s="4" t="s">
        <v>57</v>
      </c>
      <c r="B1450" s="4">
        <v>184.0</v>
      </c>
      <c r="C1450" s="4" t="s">
        <v>848</v>
      </c>
      <c r="D1450" s="4" t="s">
        <v>849</v>
      </c>
      <c r="E1450" s="16">
        <v>3.474020923022181E-5</v>
      </c>
      <c r="F1450" s="16">
        <v>0.9999966443679114</v>
      </c>
      <c r="G1450" s="16"/>
      <c r="H1450" s="16">
        <v>1.0</v>
      </c>
      <c r="I1450" s="16">
        <v>0.4708333333333334</v>
      </c>
      <c r="J1450" s="16">
        <v>0.0</v>
      </c>
      <c r="K1450" s="4">
        <v>0.0</v>
      </c>
      <c r="M1450" s="4" t="s">
        <v>32</v>
      </c>
    </row>
    <row r="1451" ht="18.0" customHeight="1">
      <c r="A1451" s="4" t="s">
        <v>57</v>
      </c>
      <c r="B1451" s="4">
        <v>185.0</v>
      </c>
      <c r="C1451" s="4" t="s">
        <v>845</v>
      </c>
      <c r="D1451" s="4" t="s">
        <v>1122</v>
      </c>
      <c r="E1451" s="16">
        <v>8.699352292751428E-6</v>
      </c>
      <c r="F1451" s="16">
        <v>0.9999991645183854</v>
      </c>
      <c r="G1451" s="16"/>
      <c r="H1451" s="16">
        <v>0.0</v>
      </c>
      <c r="I1451" s="16">
        <v>0.016666666666666666</v>
      </c>
      <c r="J1451" s="16">
        <v>0.0</v>
      </c>
      <c r="K1451" s="4">
        <v>0.0</v>
      </c>
      <c r="M1451" s="4" t="s">
        <v>32</v>
      </c>
    </row>
    <row r="1452" ht="18.0" customHeight="1">
      <c r="A1452" s="4" t="s">
        <v>57</v>
      </c>
      <c r="B1452" s="4">
        <v>186.0</v>
      </c>
      <c r="C1452" s="4" t="s">
        <v>838</v>
      </c>
      <c r="D1452" s="4" t="s">
        <v>839</v>
      </c>
      <c r="E1452" s="16">
        <v>7.4344134191051126E-6</v>
      </c>
      <c r="F1452" s="16">
        <v>0.9999995587430917</v>
      </c>
      <c r="G1452" s="16"/>
      <c r="H1452" s="16">
        <v>1.0</v>
      </c>
      <c r="I1452" s="16">
        <v>0.5833333333333334</v>
      </c>
      <c r="J1452" s="16">
        <v>0.6774193548387097</v>
      </c>
      <c r="K1452" s="4">
        <v>0.0</v>
      </c>
      <c r="M1452" s="4" t="s">
        <v>32</v>
      </c>
    </row>
    <row r="1453" ht="18.0" customHeight="1">
      <c r="A1453" s="4" t="s">
        <v>57</v>
      </c>
      <c r="B1453" s="4">
        <v>187.0</v>
      </c>
      <c r="C1453" s="4" t="s">
        <v>100</v>
      </c>
      <c r="D1453" s="4" t="s">
        <v>101</v>
      </c>
      <c r="E1453" s="16">
        <v>5.5491746024927124E-6</v>
      </c>
      <c r="F1453" s="16">
        <v>0.9999994625414246</v>
      </c>
      <c r="G1453" s="16"/>
      <c r="H1453" s="16">
        <v>0.09090909090909091</v>
      </c>
      <c r="I1453" s="16">
        <v>0.041666666666666664</v>
      </c>
      <c r="J1453" s="16">
        <v>0.0</v>
      </c>
      <c r="K1453" s="4">
        <v>0.0</v>
      </c>
      <c r="M1453" s="4" t="s">
        <v>32</v>
      </c>
    </row>
    <row r="1454" ht="18.0" customHeight="1">
      <c r="A1454" s="4" t="s">
        <v>57</v>
      </c>
      <c r="B1454" s="4">
        <v>188.0</v>
      </c>
      <c r="C1454" s="4" t="s">
        <v>1234</v>
      </c>
      <c r="D1454" s="4" t="s">
        <v>1236</v>
      </c>
      <c r="E1454" s="16">
        <v>2.4492592274327762E-5</v>
      </c>
      <c r="F1454" s="16">
        <v>0.9999966434143062</v>
      </c>
      <c r="G1454" s="16"/>
      <c r="H1454" s="16">
        <v>0.0</v>
      </c>
      <c r="I1454" s="16">
        <v>0.016666666666666666</v>
      </c>
      <c r="J1454" s="16">
        <v>0.0</v>
      </c>
      <c r="K1454" s="4">
        <v>0.0</v>
      </c>
      <c r="M1454" s="4" t="s">
        <v>32</v>
      </c>
    </row>
    <row r="1455" ht="18.0" customHeight="1">
      <c r="A1455" s="4" t="s">
        <v>57</v>
      </c>
      <c r="B1455" s="4">
        <v>189.0</v>
      </c>
      <c r="C1455" s="4" t="s">
        <v>412</v>
      </c>
      <c r="D1455" s="4" t="s">
        <v>504</v>
      </c>
      <c r="E1455" s="16">
        <v>3.40421283908654E-5</v>
      </c>
      <c r="F1455" s="16">
        <v>0.9999967176698874</v>
      </c>
      <c r="G1455" s="16"/>
      <c r="H1455" s="16">
        <v>1.0</v>
      </c>
      <c r="I1455" s="16">
        <v>0.45416666666666666</v>
      </c>
      <c r="J1455" s="16">
        <v>0.18902439024390247</v>
      </c>
      <c r="K1455" s="4">
        <v>0.0</v>
      </c>
      <c r="M1455" s="4" t="s">
        <v>32</v>
      </c>
    </row>
    <row r="1456" ht="18.0" customHeight="1">
      <c r="A1456" s="4" t="s">
        <v>57</v>
      </c>
      <c r="B1456" s="4">
        <v>190.0</v>
      </c>
      <c r="C1456" s="4" t="s">
        <v>504</v>
      </c>
      <c r="D1456" s="4" t="s">
        <v>505</v>
      </c>
      <c r="E1456" s="16">
        <v>9.904117177939042E-5</v>
      </c>
      <c r="F1456" s="16">
        <v>0.9999882254214754</v>
      </c>
      <c r="G1456" s="16"/>
      <c r="H1456" s="16">
        <v>1.0</v>
      </c>
      <c r="I1456" s="16">
        <v>0.45416666666666666</v>
      </c>
      <c r="J1456" s="16">
        <v>0.0</v>
      </c>
      <c r="K1456" s="4">
        <v>0.0</v>
      </c>
      <c r="M1456" s="4" t="s">
        <v>32</v>
      </c>
    </row>
    <row r="1457" ht="18.0" customHeight="1">
      <c r="A1457" s="4" t="s">
        <v>57</v>
      </c>
      <c r="B1457" s="4">
        <v>191.0</v>
      </c>
      <c r="C1457" s="4" t="s">
        <v>326</v>
      </c>
      <c r="D1457" s="4" t="s">
        <v>582</v>
      </c>
      <c r="E1457" s="16">
        <v>3.067240322707221E-5</v>
      </c>
      <c r="F1457" s="16">
        <v>0.9999964550854656</v>
      </c>
      <c r="G1457" s="16"/>
      <c r="H1457" s="16">
        <v>1.0</v>
      </c>
      <c r="I1457" s="16">
        <v>0.44583333333333336</v>
      </c>
      <c r="J1457" s="16">
        <v>0.6746031746031746</v>
      </c>
      <c r="K1457" s="4">
        <v>0.0</v>
      </c>
      <c r="M1457" s="4" t="s">
        <v>32</v>
      </c>
    </row>
    <row r="1458" ht="18.0" customHeight="1">
      <c r="A1458" s="4" t="s">
        <v>57</v>
      </c>
      <c r="B1458" s="4">
        <v>192.0</v>
      </c>
      <c r="C1458" s="4" t="s">
        <v>262</v>
      </c>
      <c r="D1458" s="4" t="s">
        <v>1225</v>
      </c>
      <c r="E1458" s="16">
        <v>6.655864126514643E-5</v>
      </c>
      <c r="F1458" s="16">
        <v>0.9999924485309748</v>
      </c>
      <c r="G1458" s="16"/>
      <c r="H1458" s="16">
        <v>0.0</v>
      </c>
      <c r="I1458" s="16">
        <v>0.08333333333333333</v>
      </c>
      <c r="J1458" s="16">
        <v>0.0</v>
      </c>
      <c r="K1458" s="4">
        <v>0.0</v>
      </c>
      <c r="M1458" s="4" t="s">
        <v>32</v>
      </c>
    </row>
    <row r="1459" ht="18.0" customHeight="1">
      <c r="A1459" s="4" t="s">
        <v>57</v>
      </c>
      <c r="B1459" s="4">
        <v>193.0</v>
      </c>
      <c r="C1459" s="4" t="s">
        <v>854</v>
      </c>
      <c r="D1459" s="4" t="s">
        <v>1229</v>
      </c>
      <c r="E1459" s="16">
        <v>1.1367746992618777E-5</v>
      </c>
      <c r="F1459" s="16">
        <v>0.9999991616864605</v>
      </c>
      <c r="G1459" s="16"/>
      <c r="H1459" s="16">
        <v>1.0</v>
      </c>
      <c r="I1459" s="16">
        <v>0.5166666666666667</v>
      </c>
      <c r="J1459" s="16">
        <v>0.047619047619047616</v>
      </c>
      <c r="K1459" s="4">
        <v>0.0</v>
      </c>
      <c r="M1459" s="4" t="s">
        <v>32</v>
      </c>
    </row>
    <row r="1460" ht="18.0" customHeight="1">
      <c r="A1460" s="4" t="s">
        <v>57</v>
      </c>
      <c r="B1460" s="4">
        <v>194.0</v>
      </c>
      <c r="C1460" s="4" t="s">
        <v>1219</v>
      </c>
      <c r="D1460" s="4" t="s">
        <v>1230</v>
      </c>
      <c r="E1460" s="16">
        <v>2.6768129828269593E-5</v>
      </c>
      <c r="F1460" s="16">
        <v>0.9999976443355649</v>
      </c>
      <c r="G1460" s="16"/>
      <c r="H1460" s="16">
        <v>0.0</v>
      </c>
      <c r="I1460" s="16">
        <v>0.016666666666666666</v>
      </c>
      <c r="J1460" s="16">
        <v>0.0</v>
      </c>
      <c r="K1460" s="4">
        <v>0.0</v>
      </c>
      <c r="M1460" s="4" t="s">
        <v>32</v>
      </c>
    </row>
    <row r="1461" ht="18.0" customHeight="1">
      <c r="A1461" s="4" t="s">
        <v>57</v>
      </c>
      <c r="B1461" s="4">
        <v>195.0</v>
      </c>
      <c r="C1461" s="4" t="s">
        <v>327</v>
      </c>
      <c r="D1461" s="4" t="s">
        <v>803</v>
      </c>
      <c r="E1461" s="16">
        <v>5.4784562962595373E-5</v>
      </c>
      <c r="F1461" s="16">
        <v>0.999992101004409</v>
      </c>
      <c r="G1461" s="16"/>
      <c r="H1461" s="16">
        <v>0.0</v>
      </c>
      <c r="I1461" s="16">
        <v>0.08333333333333333</v>
      </c>
      <c r="J1461" s="16">
        <v>0.4</v>
      </c>
      <c r="K1461" s="4">
        <v>1.0</v>
      </c>
      <c r="L1461" s="4">
        <v>0.0</v>
      </c>
      <c r="M1461" s="4" t="s">
        <v>239</v>
      </c>
    </row>
    <row r="1462" ht="18.0" customHeight="1">
      <c r="A1462" s="4" t="s">
        <v>57</v>
      </c>
      <c r="B1462" s="4">
        <v>196.0</v>
      </c>
      <c r="C1462" s="4" t="s">
        <v>159</v>
      </c>
      <c r="D1462" s="4" t="s">
        <v>181</v>
      </c>
      <c r="E1462" s="16">
        <v>6.567718173755566E-7</v>
      </c>
      <c r="F1462" s="16">
        <v>0.9999999769577776</v>
      </c>
      <c r="G1462" s="16"/>
      <c r="H1462" s="16">
        <v>1.0</v>
      </c>
      <c r="I1462" s="16">
        <v>0.4708333333333334</v>
      </c>
      <c r="J1462" s="16">
        <v>0.25</v>
      </c>
      <c r="K1462" s="4">
        <v>0.0</v>
      </c>
      <c r="M1462" s="4" t="s">
        <v>32</v>
      </c>
    </row>
    <row r="1463" ht="18.0" customHeight="1">
      <c r="A1463" s="4" t="s">
        <v>57</v>
      </c>
      <c r="B1463" s="4">
        <v>197.0</v>
      </c>
      <c r="C1463" s="4" t="s">
        <v>181</v>
      </c>
      <c r="D1463" s="4" t="s">
        <v>427</v>
      </c>
      <c r="E1463" s="16">
        <v>1.4100643056735862E-5</v>
      </c>
      <c r="F1463" s="16">
        <v>0.9999982276893888</v>
      </c>
      <c r="G1463" s="16"/>
      <c r="H1463" s="16">
        <v>0.09090909090909091</v>
      </c>
      <c r="I1463" s="16">
        <v>0.16666666666666666</v>
      </c>
      <c r="J1463" s="16">
        <v>0.4</v>
      </c>
      <c r="K1463" s="4">
        <v>0.0</v>
      </c>
      <c r="M1463" s="4" t="s">
        <v>32</v>
      </c>
    </row>
    <row r="1464" ht="18.0" customHeight="1">
      <c r="A1464" s="4" t="s">
        <v>57</v>
      </c>
      <c r="B1464" s="4">
        <v>198.0</v>
      </c>
      <c r="C1464" s="4" t="s">
        <v>115</v>
      </c>
      <c r="D1464" s="4" t="s">
        <v>225</v>
      </c>
      <c r="E1464" s="16">
        <v>3.449451833148487E-5</v>
      </c>
      <c r="F1464" s="16">
        <v>0.9999950526130306</v>
      </c>
      <c r="G1464" s="16"/>
      <c r="H1464" s="16">
        <v>1.0</v>
      </c>
      <c r="I1464" s="16">
        <v>0.37083333333333335</v>
      </c>
      <c r="J1464" s="16">
        <v>0.25</v>
      </c>
      <c r="K1464" s="4">
        <v>0.0</v>
      </c>
      <c r="M1464" s="4" t="s">
        <v>32</v>
      </c>
    </row>
    <row r="1465" ht="18.0" customHeight="1">
      <c r="A1465" s="4" t="s">
        <v>57</v>
      </c>
      <c r="B1465" s="4">
        <v>199.0</v>
      </c>
      <c r="C1465" s="4" t="s">
        <v>427</v>
      </c>
      <c r="D1465" s="4" t="s">
        <v>225</v>
      </c>
      <c r="E1465" s="16">
        <v>8.207404789573047E-6</v>
      </c>
      <c r="F1465" s="16">
        <v>0.9999993062456127</v>
      </c>
      <c r="G1465" s="16"/>
      <c r="H1465" s="16">
        <v>1.0</v>
      </c>
      <c r="I1465" s="16">
        <v>0.325</v>
      </c>
      <c r="J1465" s="16">
        <v>0.30361445783132535</v>
      </c>
      <c r="K1465" s="4">
        <v>0.0</v>
      </c>
      <c r="M1465" s="4" t="s">
        <v>32</v>
      </c>
    </row>
    <row r="1466" ht="18.0" customHeight="1">
      <c r="A1466" s="4" t="s">
        <v>57</v>
      </c>
      <c r="B1466" s="4">
        <v>200.0</v>
      </c>
      <c r="C1466" s="4" t="s">
        <v>225</v>
      </c>
      <c r="D1466" s="4" t="s">
        <v>225</v>
      </c>
      <c r="E1466" s="16">
        <v>1.4535196896758862E-5</v>
      </c>
      <c r="F1466" s="16">
        <v>0.9999989260998063</v>
      </c>
      <c r="G1466" s="16"/>
      <c r="H1466" s="16">
        <v>0.09090909090909091</v>
      </c>
      <c r="I1466" s="16">
        <v>0.0</v>
      </c>
      <c r="J1466" s="16">
        <v>0.0</v>
      </c>
      <c r="K1466" s="4">
        <v>0.0</v>
      </c>
      <c r="M1466" s="4" t="s">
        <v>32</v>
      </c>
    </row>
    <row r="1467" ht="18.0" customHeight="1">
      <c r="A1467" s="4" t="s">
        <v>57</v>
      </c>
      <c r="B1467" s="4">
        <v>201.0</v>
      </c>
      <c r="C1467" s="4" t="s">
        <v>582</v>
      </c>
      <c r="D1467" s="4" t="s">
        <v>907</v>
      </c>
      <c r="E1467" s="16">
        <v>1.926431286847219E-5</v>
      </c>
      <c r="F1467" s="16">
        <v>0.9999982364068387</v>
      </c>
      <c r="G1467" s="16"/>
      <c r="H1467" s="16">
        <v>0.0</v>
      </c>
      <c r="I1467" s="16">
        <v>0.0</v>
      </c>
      <c r="J1467" s="16">
        <v>0.0</v>
      </c>
      <c r="K1467" s="4">
        <v>0.0</v>
      </c>
      <c r="M1467" s="4" t="s">
        <v>32</v>
      </c>
    </row>
    <row r="1468" ht="18.0" customHeight="1">
      <c r="A1468" s="4" t="s">
        <v>57</v>
      </c>
      <c r="B1468" s="4">
        <v>202.0</v>
      </c>
      <c r="C1468" s="4" t="s">
        <v>859</v>
      </c>
      <c r="D1468" s="4" t="s">
        <v>1226</v>
      </c>
      <c r="E1468" s="16">
        <v>3.15558690999751E-6</v>
      </c>
      <c r="F1468" s="16">
        <v>0.9999997799148304</v>
      </c>
      <c r="G1468" s="16"/>
      <c r="H1468" s="16">
        <v>0.09090909090909091</v>
      </c>
      <c r="I1468" s="16">
        <v>0.041666666666666664</v>
      </c>
      <c r="J1468" s="16">
        <v>0.0</v>
      </c>
      <c r="K1468" s="4">
        <v>0.0</v>
      </c>
      <c r="M1468" s="4" t="s">
        <v>32</v>
      </c>
    </row>
    <row r="1469" ht="18.0" customHeight="1">
      <c r="A1469" s="4" t="s">
        <v>57</v>
      </c>
      <c r="B1469" s="4">
        <v>203.0</v>
      </c>
      <c r="C1469" s="4" t="s">
        <v>848</v>
      </c>
      <c r="D1469" s="4" t="s">
        <v>849</v>
      </c>
      <c r="E1469" s="16">
        <v>2.1945741536910646E-5</v>
      </c>
      <c r="F1469" s="16">
        <v>0.9999980803390258</v>
      </c>
      <c r="G1469" s="16"/>
      <c r="H1469" s="16">
        <v>1.0</v>
      </c>
      <c r="I1469" s="16">
        <v>0.4708333333333334</v>
      </c>
      <c r="J1469" s="16">
        <v>0.0</v>
      </c>
      <c r="K1469" s="4">
        <v>0.0</v>
      </c>
      <c r="M1469" s="4" t="s">
        <v>32</v>
      </c>
    </row>
    <row r="1470" ht="18.0" customHeight="1">
      <c r="A1470" s="4" t="s">
        <v>57</v>
      </c>
      <c r="B1470" s="4">
        <v>204.0</v>
      </c>
      <c r="C1470" s="4" t="s">
        <v>845</v>
      </c>
      <c r="D1470" s="4" t="s">
        <v>846</v>
      </c>
      <c r="E1470" s="16">
        <v>3.942217972507933E-6</v>
      </c>
      <c r="F1470" s="16">
        <v>0.9999996830192046</v>
      </c>
      <c r="G1470" s="16"/>
      <c r="H1470" s="16">
        <v>0.0</v>
      </c>
      <c r="I1470" s="16">
        <v>0.016666666666666666</v>
      </c>
      <c r="J1470" s="16">
        <v>0.0</v>
      </c>
      <c r="K1470" s="4">
        <v>0.0</v>
      </c>
      <c r="M1470" s="4" t="s">
        <v>32</v>
      </c>
    </row>
    <row r="1471" ht="18.0" customHeight="1">
      <c r="A1471" s="4" t="s">
        <v>57</v>
      </c>
      <c r="B1471" s="4">
        <v>205.0</v>
      </c>
      <c r="C1471" s="4" t="s">
        <v>838</v>
      </c>
      <c r="D1471" s="4" t="s">
        <v>1233</v>
      </c>
      <c r="E1471" s="16">
        <v>5.225267159403302E-6</v>
      </c>
      <c r="F1471" s="16">
        <v>0.9999997161130985</v>
      </c>
      <c r="G1471" s="16"/>
      <c r="H1471" s="16">
        <v>1.0</v>
      </c>
      <c r="I1471" s="16">
        <v>0.47500000000000003</v>
      </c>
      <c r="J1471" s="16">
        <v>0.5241935483870968</v>
      </c>
      <c r="K1471" s="4">
        <v>0.0</v>
      </c>
      <c r="M1471" s="4" t="s">
        <v>32</v>
      </c>
    </row>
    <row r="1472" ht="18.0" customHeight="1">
      <c r="A1472" s="4" t="s">
        <v>57</v>
      </c>
      <c r="B1472" s="4">
        <v>206.0</v>
      </c>
      <c r="C1472" s="4" t="s">
        <v>100</v>
      </c>
      <c r="D1472" s="4" t="s">
        <v>101</v>
      </c>
      <c r="E1472" s="16">
        <v>6.03542639510124E-6</v>
      </c>
      <c r="F1472" s="16">
        <v>0.9999994696873955</v>
      </c>
      <c r="G1472" s="16"/>
      <c r="H1472" s="16">
        <v>0.09090909090909091</v>
      </c>
      <c r="I1472" s="16">
        <v>0.041666666666666664</v>
      </c>
      <c r="J1472" s="16">
        <v>0.0</v>
      </c>
      <c r="K1472" s="4">
        <v>0.0</v>
      </c>
      <c r="M1472" s="4" t="s">
        <v>32</v>
      </c>
    </row>
    <row r="1473" ht="18.0" customHeight="1">
      <c r="A1473" s="4" t="s">
        <v>57</v>
      </c>
      <c r="B1473" s="4">
        <v>207.0</v>
      </c>
      <c r="C1473" s="4" t="s">
        <v>1236</v>
      </c>
      <c r="D1473" s="4" t="s">
        <v>1234</v>
      </c>
      <c r="E1473" s="16">
        <v>1.9026856534765102E-5</v>
      </c>
      <c r="F1473" s="16">
        <v>0.999998013861557</v>
      </c>
      <c r="G1473" s="16"/>
      <c r="H1473" s="16">
        <v>0.0</v>
      </c>
      <c r="I1473" s="16">
        <v>0.016666666666666666</v>
      </c>
      <c r="J1473" s="16">
        <v>0.0</v>
      </c>
      <c r="K1473" s="4">
        <v>0.0</v>
      </c>
      <c r="M1473" s="4" t="s">
        <v>32</v>
      </c>
    </row>
    <row r="1474" ht="18.0" customHeight="1">
      <c r="A1474" s="4" t="s">
        <v>57</v>
      </c>
      <c r="B1474" s="4">
        <v>208.0</v>
      </c>
      <c r="C1474" s="4" t="s">
        <v>890</v>
      </c>
      <c r="D1474" s="4" t="s">
        <v>1224</v>
      </c>
      <c r="E1474" s="16">
        <v>2.1495705004781485E-4</v>
      </c>
      <c r="F1474" s="16">
        <v>0.9999673279762646</v>
      </c>
      <c r="G1474" s="16"/>
      <c r="H1474" s="16">
        <v>0.09090909090909091</v>
      </c>
      <c r="I1474" s="16">
        <v>0.08333333333333333</v>
      </c>
      <c r="J1474" s="16">
        <v>0.0</v>
      </c>
      <c r="K1474" s="4">
        <v>0.0</v>
      </c>
      <c r="M1474" s="4" t="s">
        <v>32</v>
      </c>
    </row>
    <row r="1475" ht="18.0" customHeight="1">
      <c r="A1475" s="4" t="s">
        <v>57</v>
      </c>
      <c r="B1475" s="4">
        <v>209.0</v>
      </c>
      <c r="C1475" s="4" t="s">
        <v>504</v>
      </c>
      <c r="D1475" s="4" t="s">
        <v>1232</v>
      </c>
      <c r="E1475" s="16">
        <v>7.636505179107189E-4</v>
      </c>
      <c r="F1475" s="16">
        <v>0.9999232985956041</v>
      </c>
      <c r="G1475" s="16"/>
      <c r="H1475" s="16">
        <v>0.0</v>
      </c>
      <c r="I1475" s="16">
        <v>0.0</v>
      </c>
      <c r="J1475" s="16">
        <v>0.0</v>
      </c>
      <c r="K1475" s="4">
        <v>0.0</v>
      </c>
      <c r="M1475" s="4" t="s">
        <v>32</v>
      </c>
    </row>
    <row r="1476" ht="18.0" customHeight="1">
      <c r="A1476" s="4" t="s">
        <v>57</v>
      </c>
      <c r="B1476" s="4">
        <v>210.0</v>
      </c>
      <c r="C1476" s="4" t="s">
        <v>326</v>
      </c>
      <c r="D1476" s="4" t="s">
        <v>582</v>
      </c>
      <c r="E1476" s="16">
        <v>1.3123486496624537E-5</v>
      </c>
      <c r="F1476" s="16">
        <v>0.9999988826436379</v>
      </c>
      <c r="G1476" s="16"/>
      <c r="H1476" s="16">
        <v>1.0</v>
      </c>
      <c r="I1476" s="16">
        <v>0.40416666666666673</v>
      </c>
      <c r="J1476" s="16">
        <v>0.49523809523809526</v>
      </c>
      <c r="K1476" s="4">
        <v>0.0</v>
      </c>
      <c r="M1476" s="4" t="s">
        <v>32</v>
      </c>
    </row>
    <row r="1477" ht="18.0" customHeight="1">
      <c r="A1477" s="4" t="s">
        <v>57</v>
      </c>
      <c r="B1477" s="4">
        <v>211.0</v>
      </c>
      <c r="C1477" s="4" t="s">
        <v>262</v>
      </c>
      <c r="D1477" s="4" t="s">
        <v>1225</v>
      </c>
      <c r="E1477" s="16">
        <v>3.759069659281522E-5</v>
      </c>
      <c r="F1477" s="16">
        <v>0.9999960372307442</v>
      </c>
      <c r="G1477" s="16"/>
      <c r="H1477" s="16">
        <v>0.0</v>
      </c>
      <c r="I1477" s="16">
        <v>0.08333333333333333</v>
      </c>
      <c r="J1477" s="16">
        <v>0.0</v>
      </c>
      <c r="K1477" s="4">
        <v>0.0</v>
      </c>
      <c r="M1477" s="4" t="s">
        <v>32</v>
      </c>
    </row>
    <row r="1478" ht="18.0" customHeight="1">
      <c r="A1478" s="4" t="s">
        <v>57</v>
      </c>
      <c r="B1478" s="4">
        <v>212.0</v>
      </c>
      <c r="C1478" s="4" t="s">
        <v>854</v>
      </c>
      <c r="D1478" s="4" t="s">
        <v>1229</v>
      </c>
      <c r="E1478" s="16">
        <v>1.0222463060927112E-5</v>
      </c>
      <c r="F1478" s="16">
        <v>0.9999993079336633</v>
      </c>
      <c r="G1478" s="16"/>
      <c r="H1478" s="16">
        <v>1.0</v>
      </c>
      <c r="I1478" s="16">
        <v>0.5166666666666667</v>
      </c>
      <c r="J1478" s="16">
        <v>0.047619047619047616</v>
      </c>
      <c r="K1478" s="4">
        <v>0.0</v>
      </c>
      <c r="M1478" s="4" t="s">
        <v>32</v>
      </c>
    </row>
    <row r="1479" ht="18.0" customHeight="1">
      <c r="A1479" s="4" t="s">
        <v>57</v>
      </c>
      <c r="B1479" s="4">
        <v>213.0</v>
      </c>
      <c r="C1479" s="4" t="s">
        <v>1219</v>
      </c>
      <c r="D1479" s="4" t="s">
        <v>1221</v>
      </c>
      <c r="E1479" s="16">
        <v>2.0443521862034686E-5</v>
      </c>
      <c r="F1479" s="16">
        <v>0.9999980966636031</v>
      </c>
      <c r="G1479" s="16"/>
      <c r="H1479" s="16">
        <v>0.0</v>
      </c>
      <c r="I1479" s="16">
        <v>0.016666666666666666</v>
      </c>
      <c r="J1479" s="16">
        <v>0.0</v>
      </c>
      <c r="K1479" s="4">
        <v>0.0</v>
      </c>
      <c r="M1479" s="4" t="s">
        <v>32</v>
      </c>
    </row>
    <row r="1480" ht="18.0" customHeight="1">
      <c r="A1480" s="4" t="s">
        <v>57</v>
      </c>
      <c r="B1480" s="4">
        <v>214.0</v>
      </c>
      <c r="C1480" s="4" t="s">
        <v>327</v>
      </c>
      <c r="D1480" s="4" t="s">
        <v>803</v>
      </c>
      <c r="E1480" s="16">
        <v>2.9513494155253284E-5</v>
      </c>
      <c r="F1480" s="16">
        <v>0.9999959153926739</v>
      </c>
      <c r="G1480" s="16"/>
      <c r="H1480" s="16">
        <v>0.0</v>
      </c>
      <c r="I1480" s="16">
        <v>0.08333333333333333</v>
      </c>
      <c r="J1480" s="16">
        <v>0.4</v>
      </c>
      <c r="K1480" s="4">
        <v>0.0</v>
      </c>
      <c r="M1480" s="4" t="s">
        <v>32</v>
      </c>
    </row>
    <row r="1481" ht="18.0" customHeight="1">
      <c r="A1481" s="4" t="s">
        <v>57</v>
      </c>
      <c r="B1481" s="4">
        <v>215.0</v>
      </c>
      <c r="C1481" s="4" t="s">
        <v>159</v>
      </c>
      <c r="D1481" s="4" t="s">
        <v>1237</v>
      </c>
      <c r="E1481" s="16">
        <v>1.0401133749837754E-6</v>
      </c>
      <c r="F1481" s="16">
        <v>0.9999999586006219</v>
      </c>
      <c r="G1481" s="16"/>
      <c r="H1481" s="16">
        <v>1.0</v>
      </c>
      <c r="I1481" s="16">
        <v>0.37083333333333335</v>
      </c>
      <c r="J1481" s="16">
        <v>0.22751322751322756</v>
      </c>
      <c r="K1481" s="4">
        <v>0.0</v>
      </c>
      <c r="M1481" s="4" t="s">
        <v>32</v>
      </c>
    </row>
    <row r="1482" ht="18.0" customHeight="1">
      <c r="A1482" s="4" t="s">
        <v>57</v>
      </c>
      <c r="B1482" s="4">
        <v>216.0</v>
      </c>
      <c r="C1482" s="4" t="s">
        <v>427</v>
      </c>
      <c r="D1482" s="4" t="s">
        <v>181</v>
      </c>
      <c r="E1482" s="16">
        <v>1.654474181123078E-5</v>
      </c>
      <c r="F1482" s="16">
        <v>0.9999983556161283</v>
      </c>
      <c r="G1482" s="16"/>
      <c r="H1482" s="16">
        <v>0.09090909090909091</v>
      </c>
      <c r="I1482" s="16">
        <v>0.16666666666666666</v>
      </c>
      <c r="J1482" s="16">
        <v>0.5</v>
      </c>
      <c r="K1482" s="4">
        <v>1.0</v>
      </c>
      <c r="L1482" s="4">
        <v>0.0</v>
      </c>
      <c r="M1482" s="4" t="s">
        <v>239</v>
      </c>
    </row>
    <row r="1483" ht="18.0" customHeight="1">
      <c r="A1483" s="4" t="s">
        <v>57</v>
      </c>
      <c r="B1483" s="4">
        <v>217.0</v>
      </c>
      <c r="C1483" s="4" t="s">
        <v>115</v>
      </c>
      <c r="D1483" s="4" t="s">
        <v>225</v>
      </c>
      <c r="E1483" s="16">
        <v>6.554980132023047E-7</v>
      </c>
      <c r="F1483" s="16">
        <v>0.9999999736849556</v>
      </c>
      <c r="G1483" s="16"/>
      <c r="H1483" s="16">
        <v>1.0</v>
      </c>
      <c r="I1483" s="16">
        <v>0.28750000000000003</v>
      </c>
      <c r="J1483" s="16">
        <v>0.33333333333333337</v>
      </c>
      <c r="K1483" s="4">
        <v>0.0</v>
      </c>
      <c r="M1483" s="4" t="s">
        <v>32</v>
      </c>
    </row>
    <row r="1484" ht="18.0" customHeight="1">
      <c r="A1484" s="4" t="s">
        <v>57</v>
      </c>
      <c r="B1484" s="4">
        <v>218.0</v>
      </c>
      <c r="C1484" s="4" t="s">
        <v>762</v>
      </c>
      <c r="D1484" s="4" t="s">
        <v>427</v>
      </c>
      <c r="E1484" s="16">
        <v>2.3013146346784197E-5</v>
      </c>
      <c r="F1484" s="16">
        <v>0.9999973596225118</v>
      </c>
      <c r="G1484" s="16"/>
      <c r="H1484" s="16">
        <v>0.0</v>
      </c>
      <c r="I1484" s="16">
        <v>0.08333333333333333</v>
      </c>
      <c r="J1484" s="16">
        <v>0.4</v>
      </c>
      <c r="K1484" s="4">
        <v>0.0</v>
      </c>
      <c r="M1484" s="4" t="s">
        <v>32</v>
      </c>
    </row>
    <row r="1485" ht="18.0" customHeight="1">
      <c r="A1485" s="4" t="s">
        <v>57</v>
      </c>
      <c r="B1485" s="4">
        <v>219.0</v>
      </c>
      <c r="C1485" s="4" t="s">
        <v>225</v>
      </c>
      <c r="D1485" s="4" t="s">
        <v>258</v>
      </c>
      <c r="E1485" s="16">
        <v>2.745460187725257E-5</v>
      </c>
      <c r="F1485" s="16">
        <v>0.9999981296969622</v>
      </c>
      <c r="G1485" s="16"/>
      <c r="H1485" s="16">
        <v>1.0</v>
      </c>
      <c r="I1485" s="16">
        <v>0.325</v>
      </c>
      <c r="J1485" s="16">
        <v>0.0</v>
      </c>
      <c r="K1485" s="4">
        <v>0.0</v>
      </c>
      <c r="M1485" s="4" t="s">
        <v>32</v>
      </c>
    </row>
    <row r="1486" ht="18.0" customHeight="1">
      <c r="A1486" s="4" t="s">
        <v>57</v>
      </c>
      <c r="B1486" s="4">
        <v>220.0</v>
      </c>
      <c r="C1486" s="4" t="s">
        <v>582</v>
      </c>
      <c r="D1486" s="4" t="s">
        <v>907</v>
      </c>
      <c r="E1486" s="16">
        <v>1.958247048605699E-5</v>
      </c>
      <c r="F1486" s="16">
        <v>0.9999981803949822</v>
      </c>
      <c r="G1486" s="16"/>
      <c r="H1486" s="16">
        <v>0.0</v>
      </c>
      <c r="I1486" s="16">
        <v>0.0</v>
      </c>
      <c r="J1486" s="16">
        <v>0.0</v>
      </c>
      <c r="K1486" s="4">
        <v>0.0</v>
      </c>
      <c r="M1486" s="4" t="s">
        <v>32</v>
      </c>
    </row>
    <row r="1487" ht="18.0" customHeight="1">
      <c r="A1487" s="4" t="s">
        <v>57</v>
      </c>
      <c r="B1487" s="4">
        <v>221.0</v>
      </c>
      <c r="C1487" s="4" t="s">
        <v>859</v>
      </c>
      <c r="D1487" s="4" t="s">
        <v>1226</v>
      </c>
      <c r="E1487" s="16">
        <v>4.516017725109123E-6</v>
      </c>
      <c r="F1487" s="16">
        <v>0.9999996472740733</v>
      </c>
      <c r="G1487" s="16"/>
      <c r="H1487" s="16">
        <v>0.09090909090909091</v>
      </c>
      <c r="I1487" s="16">
        <v>0.041666666666666664</v>
      </c>
      <c r="J1487" s="16">
        <v>0.0</v>
      </c>
      <c r="K1487" s="4">
        <v>0.0</v>
      </c>
      <c r="M1487" s="4" t="s">
        <v>32</v>
      </c>
    </row>
    <row r="1488" ht="18.0" customHeight="1">
      <c r="A1488" s="4" t="s">
        <v>57</v>
      </c>
      <c r="B1488" s="4">
        <v>222.0</v>
      </c>
      <c r="C1488" s="4" t="s">
        <v>848</v>
      </c>
      <c r="D1488" s="4" t="s">
        <v>849</v>
      </c>
      <c r="E1488" s="16">
        <v>2.6598660042509437E-5</v>
      </c>
      <c r="F1488" s="16">
        <v>0.9999975376451857</v>
      </c>
      <c r="G1488" s="16"/>
      <c r="H1488" s="16">
        <v>1.0</v>
      </c>
      <c r="I1488" s="16">
        <v>0.4083333333333334</v>
      </c>
      <c r="J1488" s="16">
        <v>0.19999999999999996</v>
      </c>
      <c r="K1488" s="4">
        <v>0.0</v>
      </c>
      <c r="M1488" s="4" t="s">
        <v>32</v>
      </c>
    </row>
    <row r="1489" ht="18.0" customHeight="1">
      <c r="A1489" s="4" t="s">
        <v>57</v>
      </c>
      <c r="B1489" s="4">
        <v>223.0</v>
      </c>
      <c r="C1489" s="4" t="s">
        <v>845</v>
      </c>
      <c r="D1489" s="4" t="s">
        <v>846</v>
      </c>
      <c r="E1489" s="16">
        <v>2.747045300566242E-6</v>
      </c>
      <c r="F1489" s="16">
        <v>0.999999835322388</v>
      </c>
      <c r="G1489" s="16"/>
      <c r="H1489" s="16">
        <v>0.0</v>
      </c>
      <c r="I1489" s="16">
        <v>0.016666666666666666</v>
      </c>
      <c r="J1489" s="16">
        <v>0.0</v>
      </c>
      <c r="K1489" s="4">
        <v>0.0</v>
      </c>
      <c r="M1489" s="4" t="s">
        <v>32</v>
      </c>
    </row>
    <row r="1490" ht="18.0" customHeight="1">
      <c r="A1490" s="4" t="s">
        <v>57</v>
      </c>
      <c r="B1490" s="4">
        <v>224.0</v>
      </c>
      <c r="C1490" s="4" t="s">
        <v>838</v>
      </c>
      <c r="D1490" s="4" t="s">
        <v>1233</v>
      </c>
      <c r="E1490" s="16">
        <v>6.654825028817868E-6</v>
      </c>
      <c r="F1490" s="16">
        <v>0.999999712032853</v>
      </c>
      <c r="G1490" s="16"/>
      <c r="H1490" s="16">
        <v>1.0</v>
      </c>
      <c r="I1490" s="16">
        <v>0.47500000000000003</v>
      </c>
      <c r="J1490" s="16">
        <v>0.7142857142857143</v>
      </c>
      <c r="K1490" s="4">
        <v>0.0</v>
      </c>
      <c r="M1490" s="4" t="s">
        <v>32</v>
      </c>
    </row>
    <row r="1491" ht="18.0" customHeight="1">
      <c r="A1491" s="4" t="s">
        <v>57</v>
      </c>
      <c r="B1491" s="4">
        <v>225.0</v>
      </c>
      <c r="C1491" s="4" t="s">
        <v>100</v>
      </c>
      <c r="D1491" s="4" t="s">
        <v>101</v>
      </c>
      <c r="E1491" s="16">
        <v>3.2596892651781673E-6</v>
      </c>
      <c r="F1491" s="16">
        <v>0.9999997750736966</v>
      </c>
      <c r="G1491" s="16"/>
      <c r="H1491" s="16">
        <v>0.09090909090909091</v>
      </c>
      <c r="I1491" s="16">
        <v>0.041666666666666664</v>
      </c>
      <c r="J1491" s="16">
        <v>0.0</v>
      </c>
      <c r="K1491" s="4">
        <v>0.0</v>
      </c>
      <c r="M1491" s="4" t="s">
        <v>32</v>
      </c>
    </row>
    <row r="1492" ht="18.0" customHeight="1">
      <c r="A1492" s="4" t="s">
        <v>57</v>
      </c>
      <c r="B1492" s="4">
        <v>226.0</v>
      </c>
      <c r="C1492" s="4" t="s">
        <v>1236</v>
      </c>
      <c r="D1492" s="4" t="s">
        <v>1234</v>
      </c>
      <c r="E1492" s="16">
        <v>6.2386498029809445E-6</v>
      </c>
      <c r="F1492" s="16">
        <v>0.9999993594587124</v>
      </c>
      <c r="G1492" s="16"/>
      <c r="H1492" s="16">
        <v>0.0</v>
      </c>
      <c r="I1492" s="16">
        <v>0.016666666666666666</v>
      </c>
      <c r="J1492" s="16">
        <v>0.0</v>
      </c>
      <c r="K1492" s="4">
        <v>0.0</v>
      </c>
      <c r="M1492" s="4" t="s">
        <v>32</v>
      </c>
    </row>
    <row r="1493" ht="18.0" customHeight="1">
      <c r="A1493" s="4" t="s">
        <v>57</v>
      </c>
      <c r="B1493" s="4">
        <v>227.0</v>
      </c>
      <c r="C1493" s="4" t="s">
        <v>504</v>
      </c>
      <c r="D1493" s="4" t="s">
        <v>505</v>
      </c>
      <c r="E1493" s="16">
        <v>3.951104881707579E-4</v>
      </c>
      <c r="F1493" s="16">
        <v>0.9999608291491313</v>
      </c>
      <c r="G1493" s="16"/>
      <c r="H1493" s="16">
        <v>1.0</v>
      </c>
      <c r="I1493" s="16">
        <v>0.45416666666666666</v>
      </c>
      <c r="J1493" s="16">
        <v>0.0</v>
      </c>
      <c r="K1493" s="4">
        <v>0.0</v>
      </c>
      <c r="M1493" s="4" t="s">
        <v>32</v>
      </c>
    </row>
    <row r="1494" ht="18.0" customHeight="1">
      <c r="A1494" s="4" t="s">
        <v>57</v>
      </c>
      <c r="B1494" s="4">
        <v>228.0</v>
      </c>
      <c r="C1494" s="4" t="s">
        <v>326</v>
      </c>
      <c r="D1494" s="4" t="s">
        <v>582</v>
      </c>
      <c r="E1494" s="16">
        <v>3.62802020390518E-5</v>
      </c>
      <c r="F1494" s="16">
        <v>0.9999954589968638</v>
      </c>
      <c r="G1494" s="16"/>
      <c r="H1494" s="16">
        <v>1.0</v>
      </c>
      <c r="I1494" s="16">
        <v>0.44583333333333336</v>
      </c>
      <c r="J1494" s="16">
        <v>0.6746031746031746</v>
      </c>
      <c r="K1494" s="4">
        <v>0.0</v>
      </c>
      <c r="M1494" s="4" t="s">
        <v>32</v>
      </c>
    </row>
    <row r="1495" ht="18.0" customHeight="1">
      <c r="A1495" s="4" t="s">
        <v>57</v>
      </c>
      <c r="B1495" s="4">
        <v>229.0</v>
      </c>
      <c r="C1495" s="4" t="s">
        <v>262</v>
      </c>
      <c r="D1495" s="4" t="s">
        <v>261</v>
      </c>
      <c r="E1495" s="16">
        <v>4.4076849007979035E-4</v>
      </c>
      <c r="F1495" s="16">
        <v>0.9999397775554826</v>
      </c>
      <c r="G1495" s="16"/>
      <c r="H1495" s="16">
        <v>1.0</v>
      </c>
      <c r="I1495" s="16">
        <v>0.5208333333333334</v>
      </c>
      <c r="J1495" s="16">
        <v>1.0</v>
      </c>
      <c r="K1495" s="4">
        <v>0.0</v>
      </c>
      <c r="M1495" s="4" t="s">
        <v>32</v>
      </c>
    </row>
    <row r="1496" ht="18.0" customHeight="1">
      <c r="A1496" s="4" t="s">
        <v>57</v>
      </c>
      <c r="B1496" s="4">
        <v>230.0</v>
      </c>
      <c r="C1496" s="4" t="s">
        <v>854</v>
      </c>
      <c r="D1496" s="4" t="s">
        <v>159</v>
      </c>
      <c r="E1496" s="16">
        <v>3.8089114241302013E-5</v>
      </c>
      <c r="F1496" s="16">
        <v>0.9999964059493323</v>
      </c>
      <c r="G1496" s="16"/>
      <c r="H1496" s="16">
        <v>1.0</v>
      </c>
      <c r="I1496" s="16">
        <v>0.6458333333333334</v>
      </c>
      <c r="J1496" s="16">
        <v>0.8</v>
      </c>
      <c r="K1496" s="4">
        <v>1.0</v>
      </c>
      <c r="L1496" s="4">
        <v>0.0</v>
      </c>
      <c r="M1496" s="4" t="s">
        <v>239</v>
      </c>
    </row>
    <row r="1497" ht="18.0" customHeight="1">
      <c r="A1497" s="4" t="s">
        <v>57</v>
      </c>
      <c r="B1497" s="4">
        <v>231.0</v>
      </c>
      <c r="C1497" s="4" t="s">
        <v>1219</v>
      </c>
      <c r="D1497" s="4" t="s">
        <v>1221</v>
      </c>
      <c r="E1497" s="16">
        <v>2.842200774466619E-5</v>
      </c>
      <c r="F1497" s="16">
        <v>0.9999976187521042</v>
      </c>
      <c r="G1497" s="16"/>
      <c r="H1497" s="16">
        <v>0.0</v>
      </c>
      <c r="I1497" s="16">
        <v>0.016666666666666666</v>
      </c>
      <c r="J1497" s="16">
        <v>0.0</v>
      </c>
      <c r="K1497" s="4">
        <v>0.0</v>
      </c>
      <c r="M1497" s="4" t="s">
        <v>32</v>
      </c>
    </row>
    <row r="1498" ht="18.0" customHeight="1">
      <c r="A1498" s="4" t="s">
        <v>57</v>
      </c>
      <c r="B1498" s="4">
        <v>232.0</v>
      </c>
      <c r="C1498" s="4" t="s">
        <v>327</v>
      </c>
      <c r="D1498" s="4" t="s">
        <v>803</v>
      </c>
      <c r="E1498" s="16">
        <v>5.600395379588008E-4</v>
      </c>
      <c r="F1498" s="16">
        <v>0.9999131338954612</v>
      </c>
      <c r="G1498" s="16"/>
      <c r="H1498" s="16">
        <v>0.0</v>
      </c>
      <c r="I1498" s="16">
        <v>0.08333333333333333</v>
      </c>
      <c r="J1498" s="16">
        <v>0.4</v>
      </c>
      <c r="K1498" s="4">
        <v>0.0</v>
      </c>
      <c r="M1498" s="4" t="s">
        <v>32</v>
      </c>
    </row>
    <row r="1499" ht="18.0" customHeight="1">
      <c r="A1499" s="4" t="s">
        <v>57</v>
      </c>
      <c r="B1499" s="4">
        <v>233.0</v>
      </c>
      <c r="C1499" s="4" t="s">
        <v>159</v>
      </c>
      <c r="D1499" s="4" t="s">
        <v>427</v>
      </c>
      <c r="E1499" s="16">
        <v>1.2016364507871913E-6</v>
      </c>
      <c r="F1499" s="16">
        <v>0.9999999728496256</v>
      </c>
      <c r="G1499" s="16"/>
      <c r="H1499" s="16">
        <v>1.0</v>
      </c>
      <c r="I1499" s="16">
        <v>0.4708333333333334</v>
      </c>
      <c r="J1499" s="16">
        <v>0.25</v>
      </c>
      <c r="K1499" s="4">
        <v>0.0</v>
      </c>
      <c r="M1499" s="4" t="s">
        <v>32</v>
      </c>
    </row>
    <row r="1500" ht="18.0" customHeight="1">
      <c r="A1500" s="4" t="s">
        <v>57</v>
      </c>
      <c r="B1500" s="4">
        <v>234.0</v>
      </c>
      <c r="C1500" s="4" t="s">
        <v>427</v>
      </c>
      <c r="D1500" s="4" t="s">
        <v>159</v>
      </c>
      <c r="E1500" s="16">
        <v>2.1716696210205555E-6</v>
      </c>
      <c r="F1500" s="16">
        <v>0.9999999508370223</v>
      </c>
      <c r="G1500" s="16"/>
      <c r="H1500" s="16">
        <v>1.0</v>
      </c>
      <c r="I1500" s="16">
        <v>0.4708333333333334</v>
      </c>
      <c r="J1500" s="16">
        <v>0.1897590361445783</v>
      </c>
      <c r="K1500" s="4">
        <v>0.0</v>
      </c>
      <c r="M1500" s="4" t="s">
        <v>32</v>
      </c>
    </row>
    <row r="1501" ht="18.0" customHeight="1">
      <c r="A1501" s="4" t="s">
        <v>57</v>
      </c>
      <c r="B1501" s="4">
        <v>235.0</v>
      </c>
      <c r="C1501" s="4" t="s">
        <v>115</v>
      </c>
      <c r="D1501" s="4" t="s">
        <v>225</v>
      </c>
      <c r="E1501" s="16">
        <v>0.0019624843262135983</v>
      </c>
      <c r="F1501" s="16">
        <v>0.99958660172706</v>
      </c>
      <c r="G1501" s="16"/>
      <c r="H1501" s="16">
        <v>1.0</v>
      </c>
      <c r="I1501" s="16">
        <v>0.37083333333333335</v>
      </c>
      <c r="J1501" s="16">
        <v>0.25</v>
      </c>
      <c r="K1501" s="4">
        <v>0.0</v>
      </c>
      <c r="M1501" s="4" t="s">
        <v>32</v>
      </c>
    </row>
    <row r="1502" ht="18.0" customHeight="1">
      <c r="A1502" s="4" t="s">
        <v>57</v>
      </c>
      <c r="B1502" s="4">
        <v>236.0</v>
      </c>
      <c r="C1502" s="4" t="s">
        <v>427</v>
      </c>
      <c r="D1502" s="4" t="s">
        <v>270</v>
      </c>
      <c r="E1502" s="16">
        <v>1.8142063345294446E-4</v>
      </c>
      <c r="F1502" s="16">
        <v>0.9999799005522618</v>
      </c>
      <c r="G1502" s="16"/>
      <c r="H1502" s="16">
        <v>0.0</v>
      </c>
      <c r="I1502" s="16">
        <v>0.08333333333333333</v>
      </c>
      <c r="J1502" s="16">
        <v>0.4</v>
      </c>
      <c r="K1502" s="4">
        <v>0.0</v>
      </c>
      <c r="M1502" s="4" t="s">
        <v>32</v>
      </c>
    </row>
    <row r="1503" ht="18.0" customHeight="1">
      <c r="A1503" s="4" t="s">
        <v>57</v>
      </c>
      <c r="B1503" s="4">
        <v>237.0</v>
      </c>
      <c r="C1503" s="4" t="s">
        <v>225</v>
      </c>
      <c r="D1503" s="4" t="s">
        <v>258</v>
      </c>
      <c r="E1503" s="16">
        <v>3.6699322663480416E-5</v>
      </c>
      <c r="F1503" s="16">
        <v>0.9999972411031308</v>
      </c>
      <c r="G1503" s="16"/>
      <c r="H1503" s="16">
        <v>1.0</v>
      </c>
      <c r="I1503" s="16">
        <v>0.325</v>
      </c>
      <c r="J1503" s="16">
        <v>0.25</v>
      </c>
      <c r="K1503" s="4">
        <v>0.0</v>
      </c>
      <c r="M1503" s="4" t="s">
        <v>32</v>
      </c>
    </row>
    <row r="1504" ht="18.0" customHeight="1">
      <c r="A1504" s="4" t="s">
        <v>57</v>
      </c>
      <c r="B1504" s="4">
        <v>238.0</v>
      </c>
      <c r="C1504" s="4" t="s">
        <v>582</v>
      </c>
      <c r="D1504" s="4" t="s">
        <v>907</v>
      </c>
      <c r="E1504" s="16">
        <v>3.771315095946193E-5</v>
      </c>
      <c r="F1504" s="16">
        <v>0.9999967306582107</v>
      </c>
      <c r="G1504" s="16"/>
      <c r="H1504" s="16">
        <v>0.0</v>
      </c>
      <c r="I1504" s="16">
        <v>0.0</v>
      </c>
      <c r="J1504" s="16">
        <v>0.0</v>
      </c>
      <c r="K1504" s="4">
        <v>0.0</v>
      </c>
      <c r="M1504" s="4" t="s">
        <v>32</v>
      </c>
    </row>
    <row r="1505" ht="18.0" customHeight="1">
      <c r="A1505" s="4" t="s">
        <v>57</v>
      </c>
      <c r="B1505" s="4">
        <v>239.0</v>
      </c>
      <c r="C1505" s="4" t="s">
        <v>859</v>
      </c>
      <c r="D1505" s="4" t="s">
        <v>1226</v>
      </c>
      <c r="E1505" s="16">
        <v>7.40346331440378E-6</v>
      </c>
      <c r="F1505" s="16">
        <v>0.999999438597257</v>
      </c>
      <c r="G1505" s="16"/>
      <c r="H1505" s="16">
        <v>0.09090909090909091</v>
      </c>
      <c r="I1505" s="16">
        <v>0.041666666666666664</v>
      </c>
      <c r="J1505" s="16">
        <v>0.0</v>
      </c>
      <c r="K1505" s="4">
        <v>0.0</v>
      </c>
      <c r="M1505" s="4" t="s">
        <v>32</v>
      </c>
    </row>
    <row r="1506" ht="18.0" customHeight="1">
      <c r="A1506" s="4" t="s">
        <v>57</v>
      </c>
      <c r="B1506" s="4">
        <v>240.0</v>
      </c>
      <c r="C1506" s="4" t="s">
        <v>848</v>
      </c>
      <c r="D1506" s="4" t="s">
        <v>849</v>
      </c>
      <c r="E1506" s="16">
        <v>1.082966809917707E-5</v>
      </c>
      <c r="F1506" s="16">
        <v>0.9999990569805561</v>
      </c>
      <c r="G1506" s="16"/>
      <c r="H1506" s="16">
        <v>1.0</v>
      </c>
      <c r="I1506" s="16">
        <v>0.325</v>
      </c>
      <c r="J1506" s="16">
        <v>0.0</v>
      </c>
      <c r="K1506" s="4">
        <v>0.0</v>
      </c>
      <c r="M1506" s="4" t="s">
        <v>32</v>
      </c>
    </row>
    <row r="1507" ht="18.0" customHeight="1">
      <c r="A1507" s="4" t="s">
        <v>57</v>
      </c>
      <c r="B1507" s="4">
        <v>241.0</v>
      </c>
      <c r="C1507" s="4" t="s">
        <v>845</v>
      </c>
      <c r="D1507" s="4" t="s">
        <v>846</v>
      </c>
      <c r="E1507" s="16">
        <v>4.0458062358084135E-6</v>
      </c>
      <c r="F1507" s="16">
        <v>0.9999997874957742</v>
      </c>
      <c r="G1507" s="16"/>
      <c r="H1507" s="16">
        <v>0.0</v>
      </c>
      <c r="I1507" s="16">
        <v>0.016666666666666666</v>
      </c>
      <c r="J1507" s="16">
        <v>0.0</v>
      </c>
      <c r="K1507" s="4">
        <v>0.0</v>
      </c>
      <c r="M1507" s="4" t="s">
        <v>32</v>
      </c>
    </row>
    <row r="1508" ht="18.0" customHeight="1">
      <c r="A1508" s="4" t="s">
        <v>57</v>
      </c>
      <c r="B1508" s="4">
        <v>242.0</v>
      </c>
      <c r="C1508" s="4" t="s">
        <v>838</v>
      </c>
      <c r="D1508" s="4" t="s">
        <v>1233</v>
      </c>
      <c r="E1508" s="16">
        <v>2.155820993721136E-6</v>
      </c>
      <c r="F1508" s="16">
        <v>0.9999999667346664</v>
      </c>
      <c r="G1508" s="16"/>
      <c r="H1508" s="16">
        <v>1.0</v>
      </c>
      <c r="I1508" s="16">
        <v>0.325</v>
      </c>
      <c r="J1508" s="16">
        <v>0.6666666666666667</v>
      </c>
      <c r="K1508" s="4">
        <v>0.0</v>
      </c>
      <c r="M1508" s="4" t="s">
        <v>32</v>
      </c>
    </row>
    <row r="1509" ht="18.0" customHeight="1">
      <c r="A1509" s="4" t="s">
        <v>57</v>
      </c>
      <c r="B1509" s="4">
        <v>243.0</v>
      </c>
      <c r="C1509" s="4" t="s">
        <v>100</v>
      </c>
      <c r="D1509" s="4" t="s">
        <v>101</v>
      </c>
      <c r="E1509" s="16">
        <v>6.340818799799308E-6</v>
      </c>
      <c r="F1509" s="16">
        <v>0.9999994958088791</v>
      </c>
      <c r="G1509" s="16"/>
      <c r="H1509" s="16">
        <v>0.09090909090909091</v>
      </c>
      <c r="I1509" s="16">
        <v>0.041666666666666664</v>
      </c>
      <c r="J1509" s="16">
        <v>0.0</v>
      </c>
      <c r="K1509" s="4">
        <v>0.0</v>
      </c>
      <c r="M1509" s="4" t="s">
        <v>32</v>
      </c>
    </row>
    <row r="1510" ht="18.0" customHeight="1">
      <c r="A1510" s="4" t="s">
        <v>57</v>
      </c>
      <c r="B1510" s="4">
        <v>244.0</v>
      </c>
      <c r="C1510" s="4" t="s">
        <v>1236</v>
      </c>
      <c r="D1510" s="4" t="s">
        <v>1234</v>
      </c>
      <c r="E1510" s="16">
        <v>8.343981789948884E-6</v>
      </c>
      <c r="F1510" s="16">
        <v>0.999999176530082</v>
      </c>
      <c r="G1510" s="16"/>
      <c r="H1510" s="16">
        <v>0.0</v>
      </c>
      <c r="I1510" s="16">
        <v>0.016666666666666666</v>
      </c>
      <c r="J1510" s="16">
        <v>0.0</v>
      </c>
      <c r="K1510" s="4">
        <v>0.0</v>
      </c>
      <c r="M1510" s="4" t="s">
        <v>32</v>
      </c>
    </row>
    <row r="1511" ht="18.0" customHeight="1">
      <c r="A1511" s="4" t="s">
        <v>49</v>
      </c>
      <c r="B1511" s="4">
        <v>2.0</v>
      </c>
      <c r="C1511" s="4" t="s">
        <v>1238</v>
      </c>
      <c r="D1511" s="4" t="s">
        <v>254</v>
      </c>
      <c r="E1511" s="16">
        <v>0.0026820185594260693</v>
      </c>
      <c r="F1511" s="16">
        <v>0.9996100956777809</v>
      </c>
      <c r="G1511" s="16"/>
      <c r="H1511" s="16">
        <v>0.18181818181818182</v>
      </c>
      <c r="I1511" s="16">
        <v>0.14166666666666666</v>
      </c>
      <c r="J1511" s="16">
        <v>0.0</v>
      </c>
      <c r="K1511" s="4">
        <v>0.0</v>
      </c>
      <c r="M1511" s="4" t="s">
        <v>32</v>
      </c>
    </row>
    <row r="1512" ht="18.0" customHeight="1">
      <c r="A1512" s="4" t="s">
        <v>49</v>
      </c>
      <c r="B1512" s="4">
        <v>3.0</v>
      </c>
      <c r="C1512" s="4" t="s">
        <v>139</v>
      </c>
      <c r="D1512" s="4" t="s">
        <v>140</v>
      </c>
      <c r="E1512" s="16">
        <v>0.024661915376782417</v>
      </c>
      <c r="F1512" s="16">
        <v>0.9936840396840125</v>
      </c>
      <c r="G1512" s="16"/>
      <c r="H1512" s="16">
        <v>1.0</v>
      </c>
      <c r="I1512" s="16">
        <v>0.4083333333333334</v>
      </c>
      <c r="J1512" s="16">
        <v>0.0</v>
      </c>
      <c r="K1512" s="4">
        <v>0.0</v>
      </c>
      <c r="M1512" s="4" t="s">
        <v>32</v>
      </c>
    </row>
    <row r="1513" ht="18.0" customHeight="1">
      <c r="A1513" s="4" t="s">
        <v>49</v>
      </c>
      <c r="B1513" s="4">
        <v>4.0</v>
      </c>
      <c r="C1513" s="4" t="s">
        <v>232</v>
      </c>
      <c r="D1513" s="4" t="s">
        <v>159</v>
      </c>
      <c r="E1513" s="16">
        <v>0.004877324216067791</v>
      </c>
      <c r="F1513" s="16">
        <v>0.9992494554899167</v>
      </c>
      <c r="G1513" s="16"/>
      <c r="H1513" s="16">
        <v>0.09090909090909091</v>
      </c>
      <c r="I1513" s="16">
        <v>0.0</v>
      </c>
      <c r="J1513" s="16">
        <v>0.0</v>
      </c>
      <c r="K1513" s="4">
        <v>0.0</v>
      </c>
      <c r="M1513" s="4" t="s">
        <v>32</v>
      </c>
    </row>
    <row r="1514" ht="18.0" customHeight="1">
      <c r="A1514" s="4" t="s">
        <v>49</v>
      </c>
      <c r="B1514" s="4">
        <v>5.0</v>
      </c>
      <c r="C1514" s="4" t="s">
        <v>876</v>
      </c>
      <c r="D1514" s="4" t="s">
        <v>87</v>
      </c>
      <c r="E1514" s="16">
        <v>0.6914275884628296</v>
      </c>
      <c r="F1514" s="16">
        <v>0.8389725238084793</v>
      </c>
      <c r="G1514" s="16"/>
      <c r="H1514" s="16">
        <v>1.0</v>
      </c>
      <c r="I1514" s="16">
        <v>0.3166666666666667</v>
      </c>
      <c r="J1514" s="16">
        <v>0.22480620155038758</v>
      </c>
      <c r="K1514" s="4">
        <v>1.0</v>
      </c>
      <c r="L1514" s="4">
        <v>0.0</v>
      </c>
      <c r="M1514" s="4" t="s">
        <v>239</v>
      </c>
    </row>
    <row r="1515" ht="18.0" customHeight="1">
      <c r="A1515" s="4" t="s">
        <v>49</v>
      </c>
      <c r="B1515" s="4">
        <v>6.0</v>
      </c>
      <c r="C1515" s="4" t="s">
        <v>180</v>
      </c>
      <c r="D1515" s="4" t="s">
        <v>1239</v>
      </c>
      <c r="E1515" s="16">
        <v>0.025537870824337006</v>
      </c>
      <c r="F1515" s="16">
        <v>0.9967212632764131</v>
      </c>
      <c r="G1515" s="16"/>
      <c r="H1515" s="16">
        <v>1.0</v>
      </c>
      <c r="I1515" s="16">
        <v>0.5333333333333333</v>
      </c>
      <c r="J1515" s="16">
        <v>0.14285714285714285</v>
      </c>
      <c r="K1515" s="4">
        <v>0.0</v>
      </c>
      <c r="M1515" s="4" t="s">
        <v>32</v>
      </c>
    </row>
    <row r="1516" ht="18.0" customHeight="1">
      <c r="A1516" s="4" t="s">
        <v>49</v>
      </c>
      <c r="B1516" s="4">
        <v>7.0</v>
      </c>
      <c r="C1516" s="4" t="s">
        <v>509</v>
      </c>
      <c r="D1516" s="4" t="s">
        <v>510</v>
      </c>
      <c r="E1516" s="16">
        <v>0.579127848148346</v>
      </c>
      <c r="F1516" s="16">
        <v>0.6949641853570938</v>
      </c>
      <c r="G1516" s="16"/>
      <c r="H1516" s="16">
        <v>0.18181818181818182</v>
      </c>
      <c r="I1516" s="16">
        <v>0.041666666666666664</v>
      </c>
      <c r="J1516" s="16">
        <v>0.0</v>
      </c>
      <c r="K1516" s="4">
        <v>0.0</v>
      </c>
      <c r="M1516" s="4" t="s">
        <v>32</v>
      </c>
    </row>
    <row r="1517" ht="18.0" customHeight="1">
      <c r="A1517" s="4" t="s">
        <v>49</v>
      </c>
      <c r="B1517" s="4">
        <v>8.0</v>
      </c>
      <c r="C1517" s="4" t="s">
        <v>1240</v>
      </c>
      <c r="D1517" s="4" t="s">
        <v>1241</v>
      </c>
      <c r="E1517" s="16">
        <v>0.02894631028175354</v>
      </c>
      <c r="F1517" s="16">
        <v>0.9940226883627474</v>
      </c>
      <c r="G1517" s="16"/>
      <c r="H1517" s="16">
        <v>1.0</v>
      </c>
      <c r="I1517" s="16">
        <v>0.3</v>
      </c>
      <c r="J1517" s="16">
        <v>0.75</v>
      </c>
      <c r="K1517" s="4">
        <v>0.0</v>
      </c>
      <c r="M1517" s="4" t="s">
        <v>32</v>
      </c>
    </row>
    <row r="1518" ht="18.0" customHeight="1">
      <c r="A1518" s="4" t="s">
        <v>49</v>
      </c>
      <c r="B1518" s="4">
        <v>9.0</v>
      </c>
      <c r="C1518" s="4" t="s">
        <v>1242</v>
      </c>
      <c r="D1518" s="4" t="s">
        <v>1243</v>
      </c>
      <c r="E1518" s="16">
        <v>1.9070383859798312E-4</v>
      </c>
      <c r="F1518" s="16">
        <v>0.999978525228471</v>
      </c>
      <c r="G1518" s="16"/>
      <c r="H1518" s="16">
        <v>0.0</v>
      </c>
      <c r="I1518" s="16">
        <v>0.016666666666666666</v>
      </c>
      <c r="J1518" s="16">
        <v>0.0</v>
      </c>
      <c r="K1518" s="4">
        <v>0.0</v>
      </c>
      <c r="M1518" s="4" t="s">
        <v>32</v>
      </c>
    </row>
    <row r="1519" ht="18.0" customHeight="1">
      <c r="A1519" s="4" t="s">
        <v>49</v>
      </c>
      <c r="B1519" s="4">
        <v>10.0</v>
      </c>
      <c r="C1519" s="4" t="s">
        <v>521</v>
      </c>
      <c r="D1519" s="4" t="s">
        <v>1241</v>
      </c>
      <c r="E1519" s="16">
        <v>0.2555471360683441</v>
      </c>
      <c r="F1519" s="16">
        <v>0.8693422824144363</v>
      </c>
      <c r="G1519" s="16"/>
      <c r="H1519" s="16">
        <v>1.0</v>
      </c>
      <c r="I1519" s="16">
        <v>0.36250000000000004</v>
      </c>
      <c r="J1519" s="16">
        <v>0.39316239316239315</v>
      </c>
      <c r="K1519" s="4">
        <v>0.0</v>
      </c>
      <c r="M1519" s="4" t="s">
        <v>32</v>
      </c>
    </row>
    <row r="1520" ht="18.0" customHeight="1">
      <c r="A1520" s="4" t="s">
        <v>49</v>
      </c>
      <c r="B1520" s="4">
        <v>11.0</v>
      </c>
      <c r="C1520" s="4" t="s">
        <v>232</v>
      </c>
      <c r="D1520" s="4" t="s">
        <v>289</v>
      </c>
      <c r="E1520" s="16">
        <v>0.0014031308237463236</v>
      </c>
      <c r="F1520" s="16">
        <v>0.999759035257739</v>
      </c>
      <c r="G1520" s="16"/>
      <c r="H1520" s="16">
        <v>1.0</v>
      </c>
      <c r="I1520" s="16">
        <v>0.41250000000000003</v>
      </c>
      <c r="J1520" s="16">
        <v>1.0</v>
      </c>
      <c r="K1520" s="4">
        <v>0.0</v>
      </c>
      <c r="M1520" s="4" t="s">
        <v>32</v>
      </c>
    </row>
    <row r="1521" ht="18.0" customHeight="1">
      <c r="A1521" s="4" t="s">
        <v>49</v>
      </c>
      <c r="B1521" s="4">
        <v>12.0</v>
      </c>
      <c r="C1521" s="4" t="s">
        <v>767</v>
      </c>
      <c r="D1521" s="4" t="s">
        <v>887</v>
      </c>
      <c r="E1521" s="16">
        <v>2.125659465789795</v>
      </c>
      <c r="F1521" s="16">
        <v>0.03160718083381653</v>
      </c>
      <c r="G1521" s="16"/>
      <c r="H1521" s="16">
        <v>1.0</v>
      </c>
      <c r="I1521" s="16">
        <v>0.48333333333333334</v>
      </c>
      <c r="J1521" s="16">
        <v>0.7558139534883722</v>
      </c>
      <c r="K1521" s="4">
        <v>1.0</v>
      </c>
      <c r="L1521" s="4">
        <v>0.0</v>
      </c>
      <c r="M1521" s="4" t="s">
        <v>239</v>
      </c>
    </row>
    <row r="1522" ht="18.0" customHeight="1">
      <c r="A1522" s="4" t="s">
        <v>49</v>
      </c>
      <c r="B1522" s="4">
        <v>13.0</v>
      </c>
      <c r="C1522" s="4" t="s">
        <v>903</v>
      </c>
      <c r="D1522" s="4" t="s">
        <v>180</v>
      </c>
      <c r="E1522" s="16">
        <v>0.6594259738922119</v>
      </c>
      <c r="F1522" s="16">
        <v>0.42094501852989197</v>
      </c>
      <c r="G1522" s="16"/>
      <c r="H1522" s="16">
        <v>1.0</v>
      </c>
      <c r="I1522" s="16">
        <v>0.5416666666666666</v>
      </c>
      <c r="J1522" s="16">
        <v>0.33333333333333337</v>
      </c>
      <c r="K1522" s="4">
        <v>1.0</v>
      </c>
      <c r="L1522" s="4">
        <v>0.0</v>
      </c>
      <c r="M1522" s="4" t="s">
        <v>239</v>
      </c>
    </row>
    <row r="1523" ht="18.0" customHeight="1">
      <c r="A1523" s="4" t="s">
        <v>49</v>
      </c>
      <c r="B1523" s="4">
        <v>14.0</v>
      </c>
      <c r="C1523" s="4" t="s">
        <v>180</v>
      </c>
      <c r="D1523" s="4" t="s">
        <v>1244</v>
      </c>
      <c r="E1523" s="16">
        <v>1.2315937783569098E-4</v>
      </c>
      <c r="F1523" s="16">
        <v>0.999986929878105</v>
      </c>
      <c r="G1523" s="16"/>
      <c r="H1523" s="16">
        <v>0.09090909090909091</v>
      </c>
      <c r="I1523" s="16">
        <v>0.08333333333333333</v>
      </c>
      <c r="J1523" s="16">
        <v>0.0</v>
      </c>
      <c r="K1523" s="4">
        <v>0.0</v>
      </c>
      <c r="M1523" s="4" t="s">
        <v>32</v>
      </c>
    </row>
    <row r="1524" ht="18.0" customHeight="1">
      <c r="A1524" s="4" t="s">
        <v>49</v>
      </c>
      <c r="B1524" s="4">
        <v>15.0</v>
      </c>
      <c r="C1524" s="4" t="s">
        <v>482</v>
      </c>
      <c r="D1524" s="4" t="s">
        <v>893</v>
      </c>
      <c r="E1524" s="16">
        <v>0.7422138452529907</v>
      </c>
      <c r="F1524" s="16">
        <v>0.6726295053958893</v>
      </c>
      <c r="G1524" s="16"/>
      <c r="H1524" s="16">
        <v>0.0</v>
      </c>
      <c r="I1524" s="16">
        <v>0.0</v>
      </c>
      <c r="J1524" s="16">
        <v>0.0</v>
      </c>
      <c r="K1524" s="4">
        <v>1.0</v>
      </c>
      <c r="L1524" s="4">
        <v>0.0</v>
      </c>
      <c r="M1524" s="4" t="s">
        <v>239</v>
      </c>
    </row>
    <row r="1525" ht="18.0" customHeight="1">
      <c r="A1525" s="4" t="s">
        <v>49</v>
      </c>
      <c r="B1525" s="4">
        <v>16.0</v>
      </c>
      <c r="C1525" s="4" t="s">
        <v>232</v>
      </c>
      <c r="D1525" s="4" t="s">
        <v>289</v>
      </c>
      <c r="E1525" s="16">
        <v>0.45300596952438354</v>
      </c>
      <c r="F1525" s="16">
        <v>0.6665049493312836</v>
      </c>
      <c r="G1525" s="16"/>
      <c r="H1525" s="16">
        <v>1.0</v>
      </c>
      <c r="I1525" s="16">
        <v>0.5</v>
      </c>
      <c r="J1525" s="16">
        <v>0.1626168224299065</v>
      </c>
      <c r="K1525" s="4">
        <v>0.0</v>
      </c>
      <c r="M1525" s="4" t="s">
        <v>32</v>
      </c>
    </row>
    <row r="1526" ht="18.0" customHeight="1">
      <c r="A1526" s="4" t="s">
        <v>49</v>
      </c>
      <c r="B1526" s="4">
        <v>17.0</v>
      </c>
      <c r="C1526" s="4" t="s">
        <v>453</v>
      </c>
      <c r="D1526" s="4" t="s">
        <v>785</v>
      </c>
      <c r="E1526" s="16">
        <v>0.004604735877364874</v>
      </c>
      <c r="F1526" s="16">
        <v>0.9994970421830658</v>
      </c>
      <c r="G1526" s="16"/>
      <c r="H1526" s="16">
        <v>0.9090909090909091</v>
      </c>
      <c r="I1526" s="16">
        <v>0.45416666666666666</v>
      </c>
      <c r="J1526" s="16">
        <v>0.7142857142857143</v>
      </c>
      <c r="K1526" s="4">
        <v>0.0</v>
      </c>
      <c r="M1526" s="4" t="s">
        <v>32</v>
      </c>
    </row>
    <row r="1527" ht="18.0" customHeight="1">
      <c r="A1527" s="4" t="s">
        <v>49</v>
      </c>
      <c r="B1527" s="4">
        <v>18.0</v>
      </c>
      <c r="C1527" s="4" t="s">
        <v>879</v>
      </c>
      <c r="D1527" s="4" t="s">
        <v>859</v>
      </c>
      <c r="E1527" s="16">
        <v>0.017423640936613083</v>
      </c>
      <c r="F1527" s="16">
        <v>0.9965801056241617</v>
      </c>
      <c r="G1527" s="16"/>
      <c r="H1527" s="16">
        <v>0.09090909090909091</v>
      </c>
      <c r="I1527" s="16">
        <v>0.03333333333333333</v>
      </c>
      <c r="J1527" s="16">
        <v>0.0</v>
      </c>
      <c r="K1527" s="4">
        <v>0.0</v>
      </c>
      <c r="M1527" s="4" t="s">
        <v>32</v>
      </c>
    </row>
    <row r="1528" ht="18.0" customHeight="1">
      <c r="A1528" s="4" t="s">
        <v>49</v>
      </c>
      <c r="B1528" s="4">
        <v>19.0</v>
      </c>
      <c r="C1528" s="4" t="s">
        <v>172</v>
      </c>
      <c r="D1528" s="4" t="s">
        <v>862</v>
      </c>
      <c r="E1528" s="16">
        <v>2.4213797587435693E-5</v>
      </c>
      <c r="F1528" s="16">
        <v>0.9999981851214557</v>
      </c>
      <c r="G1528" s="16"/>
      <c r="H1528" s="16">
        <v>1.0</v>
      </c>
      <c r="I1528" s="16">
        <v>0.5208333333333334</v>
      </c>
      <c r="J1528" s="16">
        <v>0.06542056074766354</v>
      </c>
      <c r="K1528" s="4">
        <v>0.0</v>
      </c>
      <c r="M1528" s="4" t="s">
        <v>32</v>
      </c>
    </row>
    <row r="1529" ht="18.0" customHeight="1">
      <c r="A1529" s="4" t="s">
        <v>49</v>
      </c>
      <c r="B1529" s="4">
        <v>20.0</v>
      </c>
      <c r="C1529" s="4" t="s">
        <v>1245</v>
      </c>
      <c r="D1529" s="4" t="s">
        <v>1238</v>
      </c>
      <c r="E1529" s="16">
        <v>1.1204335169168189E-4</v>
      </c>
      <c r="F1529" s="16">
        <v>0.9999902951101376</v>
      </c>
      <c r="G1529" s="16"/>
      <c r="H1529" s="16">
        <v>0.09090909090909091</v>
      </c>
      <c r="I1529" s="16">
        <v>0.041666666666666664</v>
      </c>
      <c r="J1529" s="16">
        <v>0.0</v>
      </c>
      <c r="K1529" s="4">
        <v>0.0</v>
      </c>
      <c r="M1529" s="4" t="s">
        <v>32</v>
      </c>
    </row>
    <row r="1530" ht="18.0" customHeight="1">
      <c r="A1530" s="4" t="s">
        <v>49</v>
      </c>
      <c r="B1530" s="4">
        <v>21.0</v>
      </c>
      <c r="C1530" s="4" t="s">
        <v>225</v>
      </c>
      <c r="D1530" s="4" t="s">
        <v>258</v>
      </c>
      <c r="E1530" s="16">
        <v>0.0013412260450422764</v>
      </c>
      <c r="F1530" s="16">
        <v>0.9998190986370901</v>
      </c>
      <c r="G1530" s="16"/>
      <c r="H1530" s="16">
        <v>1.0</v>
      </c>
      <c r="I1530" s="16">
        <v>0.4166666666666667</v>
      </c>
      <c r="J1530" s="16">
        <v>0.5</v>
      </c>
      <c r="K1530" s="4">
        <v>0.0</v>
      </c>
      <c r="M1530" s="4" t="s">
        <v>32</v>
      </c>
    </row>
    <row r="1531" ht="18.0" customHeight="1">
      <c r="A1531" s="4" t="s">
        <v>49</v>
      </c>
      <c r="B1531" s="4">
        <v>22.0</v>
      </c>
      <c r="C1531" s="4" t="s">
        <v>326</v>
      </c>
      <c r="D1531" s="4" t="s">
        <v>955</v>
      </c>
      <c r="E1531" s="16">
        <v>1.1722020281013101E-4</v>
      </c>
      <c r="F1531" s="16">
        <v>0.9999887156250225</v>
      </c>
      <c r="G1531" s="16"/>
      <c r="H1531" s="16">
        <v>1.0</v>
      </c>
      <c r="I1531" s="16">
        <v>0.4166666666666667</v>
      </c>
      <c r="J1531" s="16">
        <v>0.1682539682539682</v>
      </c>
      <c r="K1531" s="4">
        <v>0.0</v>
      </c>
      <c r="M1531" s="4" t="s">
        <v>32</v>
      </c>
    </row>
    <row r="1532" ht="18.0" customHeight="1">
      <c r="A1532" s="4" t="s">
        <v>49</v>
      </c>
      <c r="B1532" s="4">
        <v>23.0</v>
      </c>
      <c r="C1532" s="4" t="s">
        <v>94</v>
      </c>
      <c r="D1532" s="4" t="s">
        <v>625</v>
      </c>
      <c r="E1532" s="16">
        <v>0.008115267381072044</v>
      </c>
      <c r="F1532" s="16">
        <v>0.9988153901940677</v>
      </c>
      <c r="G1532" s="16"/>
      <c r="H1532" s="16">
        <v>1.0</v>
      </c>
      <c r="I1532" s="16">
        <v>0.39166666666666666</v>
      </c>
      <c r="J1532" s="16">
        <v>0.20952380952380956</v>
      </c>
      <c r="K1532" s="4">
        <v>0.0</v>
      </c>
      <c r="M1532" s="4" t="s">
        <v>32</v>
      </c>
    </row>
    <row r="1533" ht="18.0" customHeight="1">
      <c r="A1533" s="4" t="s">
        <v>49</v>
      </c>
      <c r="B1533" s="4">
        <v>24.0</v>
      </c>
      <c r="C1533" s="4" t="s">
        <v>879</v>
      </c>
      <c r="D1533" s="4" t="s">
        <v>509</v>
      </c>
      <c r="E1533" s="16">
        <v>9.712911560200155E-4</v>
      </c>
      <c r="F1533" s="16">
        <v>0.9999003379543865</v>
      </c>
      <c r="G1533" s="16"/>
      <c r="H1533" s="16">
        <v>1.0</v>
      </c>
      <c r="I1533" s="16">
        <v>0.39166666666666666</v>
      </c>
      <c r="J1533" s="16">
        <v>0.6226415094339622</v>
      </c>
      <c r="K1533" s="4">
        <v>0.0</v>
      </c>
      <c r="M1533" s="4" t="s">
        <v>32</v>
      </c>
    </row>
    <row r="1534" ht="18.0" customHeight="1">
      <c r="A1534" s="4" t="s">
        <v>49</v>
      </c>
      <c r="B1534" s="4">
        <v>25.0</v>
      </c>
      <c r="C1534" s="4" t="s">
        <v>865</v>
      </c>
      <c r="D1534" s="4" t="s">
        <v>172</v>
      </c>
      <c r="E1534" s="16">
        <v>0.14359045028686523</v>
      </c>
      <c r="F1534" s="16">
        <v>0.9596802899613976</v>
      </c>
      <c r="G1534" s="16"/>
      <c r="H1534" s="16">
        <v>0.9090909090909091</v>
      </c>
      <c r="I1534" s="16">
        <v>0.4916666666666667</v>
      </c>
      <c r="J1534" s="16">
        <v>0.5096296296296297</v>
      </c>
      <c r="K1534" s="4">
        <v>1.0</v>
      </c>
      <c r="L1534" s="4">
        <v>0.0</v>
      </c>
      <c r="M1534" s="4" t="s">
        <v>239</v>
      </c>
    </row>
    <row r="1535" ht="18.0" customHeight="1">
      <c r="A1535" s="4" t="s">
        <v>49</v>
      </c>
      <c r="B1535" s="4">
        <v>26.0</v>
      </c>
      <c r="C1535" s="4" t="s">
        <v>1246</v>
      </c>
      <c r="D1535" s="4" t="s">
        <v>1247</v>
      </c>
      <c r="E1535" s="16">
        <v>0.03485342487692833</v>
      </c>
      <c r="F1535" s="16">
        <v>0.9913734213914722</v>
      </c>
      <c r="G1535" s="16"/>
      <c r="H1535" s="16">
        <v>0.8181818181818182</v>
      </c>
      <c r="I1535" s="16">
        <v>0.3625</v>
      </c>
      <c r="J1535" s="16">
        <v>0.8888888888888888</v>
      </c>
      <c r="K1535" s="4">
        <v>0.0</v>
      </c>
      <c r="M1535" s="4" t="s">
        <v>32</v>
      </c>
    </row>
    <row r="1536" ht="18.0" customHeight="1">
      <c r="A1536" s="4" t="s">
        <v>49</v>
      </c>
      <c r="B1536" s="4">
        <v>27.0</v>
      </c>
      <c r="C1536" s="4" t="s">
        <v>1248</v>
      </c>
      <c r="D1536" s="4" t="s">
        <v>225</v>
      </c>
      <c r="E1536" s="16">
        <v>0.0025442286860197783</v>
      </c>
      <c r="F1536" s="16">
        <v>0.9996572674863273</v>
      </c>
      <c r="G1536" s="16"/>
      <c r="H1536" s="16">
        <v>0.0</v>
      </c>
      <c r="I1536" s="16">
        <v>0.0</v>
      </c>
      <c r="J1536" s="16">
        <v>0.0</v>
      </c>
      <c r="K1536" s="4">
        <v>0.0</v>
      </c>
      <c r="M1536" s="4" t="s">
        <v>32</v>
      </c>
    </row>
    <row r="1537" ht="18.0" customHeight="1">
      <c r="A1537" s="4" t="s">
        <v>49</v>
      </c>
      <c r="B1537" s="4">
        <v>28.0</v>
      </c>
      <c r="C1537" s="4" t="s">
        <v>582</v>
      </c>
      <c r="D1537" s="4" t="s">
        <v>900</v>
      </c>
      <c r="E1537" s="16">
        <v>1.3000061153434217E-4</v>
      </c>
      <c r="F1537" s="16">
        <v>0.9999890374117513</v>
      </c>
      <c r="G1537" s="16"/>
      <c r="H1537" s="16">
        <v>0.09090909090909091</v>
      </c>
      <c r="I1537" s="16">
        <v>0.0</v>
      </c>
      <c r="J1537" s="16">
        <v>0.0</v>
      </c>
      <c r="K1537" s="4">
        <v>0.0</v>
      </c>
      <c r="M1537" s="4" t="s">
        <v>32</v>
      </c>
    </row>
    <row r="1538" ht="18.0" customHeight="1">
      <c r="A1538" s="4" t="s">
        <v>49</v>
      </c>
      <c r="B1538" s="4">
        <v>29.0</v>
      </c>
      <c r="C1538" s="4" t="s">
        <v>94</v>
      </c>
      <c r="D1538" s="4" t="s">
        <v>1249</v>
      </c>
      <c r="E1538" s="16">
        <v>0.4647137522697449</v>
      </c>
      <c r="F1538" s="16">
        <v>0.8340941220521927</v>
      </c>
      <c r="G1538" s="16"/>
      <c r="H1538" s="16">
        <v>1.0</v>
      </c>
      <c r="I1538" s="16">
        <v>0.45</v>
      </c>
      <c r="J1538" s="16">
        <v>0.654320987654321</v>
      </c>
      <c r="K1538" s="4">
        <v>0.0</v>
      </c>
      <c r="M1538" s="4" t="s">
        <v>32</v>
      </c>
    </row>
    <row r="1539" ht="18.0" customHeight="1">
      <c r="A1539" s="4" t="s">
        <v>49</v>
      </c>
      <c r="B1539" s="4">
        <v>30.0</v>
      </c>
      <c r="C1539" s="4" t="s">
        <v>879</v>
      </c>
      <c r="D1539" s="4" t="s">
        <v>923</v>
      </c>
      <c r="E1539" s="16">
        <v>7.653266075067222E-4</v>
      </c>
      <c r="F1539" s="16">
        <v>0.9999255486582115</v>
      </c>
      <c r="G1539" s="16"/>
      <c r="H1539" s="16">
        <v>1.0</v>
      </c>
      <c r="I1539" s="16">
        <v>0.4583333333333333</v>
      </c>
      <c r="J1539" s="16">
        <v>0.6666666666666667</v>
      </c>
      <c r="K1539" s="4">
        <v>0.0</v>
      </c>
      <c r="M1539" s="4" t="s">
        <v>32</v>
      </c>
    </row>
    <row r="1540" ht="18.0" customHeight="1">
      <c r="A1540" s="4" t="s">
        <v>49</v>
      </c>
      <c r="B1540" s="4">
        <v>31.0</v>
      </c>
      <c r="C1540" s="4" t="s">
        <v>865</v>
      </c>
      <c r="D1540" s="4" t="s">
        <v>1250</v>
      </c>
      <c r="E1540" s="16">
        <v>0.18524020910263062</v>
      </c>
      <c r="F1540" s="16">
        <v>0.9295473173260689</v>
      </c>
      <c r="G1540" s="16"/>
      <c r="H1540" s="16">
        <v>1.0</v>
      </c>
      <c r="I1540" s="16">
        <v>0.45416666666666666</v>
      </c>
      <c r="J1540" s="16">
        <v>0.6044444444444445</v>
      </c>
      <c r="K1540" s="4">
        <v>0.0</v>
      </c>
      <c r="M1540" s="4" t="s">
        <v>32</v>
      </c>
    </row>
    <row r="1541" ht="18.0" customHeight="1">
      <c r="A1541" s="4" t="s">
        <v>49</v>
      </c>
      <c r="B1541" s="4">
        <v>32.0</v>
      </c>
      <c r="C1541" s="4" t="s">
        <v>1247</v>
      </c>
      <c r="D1541" s="4" t="s">
        <v>1251</v>
      </c>
      <c r="E1541" s="16">
        <v>0.16272875666618347</v>
      </c>
      <c r="F1541" s="16">
        <v>0.9260495789349079</v>
      </c>
      <c r="G1541" s="16"/>
      <c r="H1541" s="16">
        <v>0.09090909090909091</v>
      </c>
      <c r="I1541" s="16">
        <v>0.05833333333333333</v>
      </c>
      <c r="J1541" s="16">
        <v>0.33333333333333337</v>
      </c>
      <c r="K1541" s="4">
        <v>0.0</v>
      </c>
      <c r="M1541" s="4" t="s">
        <v>32</v>
      </c>
    </row>
    <row r="1542" ht="18.0" customHeight="1">
      <c r="A1542" s="4" t="s">
        <v>49</v>
      </c>
      <c r="B1542" s="4">
        <v>33.0</v>
      </c>
      <c r="C1542" s="4" t="s">
        <v>1248</v>
      </c>
      <c r="D1542" s="4" t="s">
        <v>1252</v>
      </c>
      <c r="E1542" s="16">
        <v>0.002153826877474785</v>
      </c>
      <c r="F1542" s="16">
        <v>0.9996143450262025</v>
      </c>
      <c r="G1542" s="16"/>
      <c r="H1542" s="16">
        <v>1.0</v>
      </c>
      <c r="I1542" s="16">
        <v>0.3541666666666667</v>
      </c>
      <c r="J1542" s="16">
        <v>0.0</v>
      </c>
      <c r="K1542" s="4">
        <v>0.0</v>
      </c>
      <c r="M1542" s="4" t="s">
        <v>32</v>
      </c>
    </row>
    <row r="1543" ht="18.0" customHeight="1">
      <c r="A1543" s="4" t="s">
        <v>49</v>
      </c>
      <c r="B1543" s="4">
        <v>34.0</v>
      </c>
      <c r="C1543" s="4" t="s">
        <v>900</v>
      </c>
      <c r="D1543" s="4" t="s">
        <v>1253</v>
      </c>
      <c r="E1543" s="16">
        <v>4.544212424661964E-4</v>
      </c>
      <c r="F1543" s="16">
        <v>0.9999564456747976</v>
      </c>
      <c r="G1543" s="16"/>
      <c r="H1543" s="16">
        <v>0.09090909090909091</v>
      </c>
      <c r="I1543" s="16">
        <v>0.0</v>
      </c>
      <c r="J1543" s="16">
        <v>0.0</v>
      </c>
      <c r="K1543" s="4">
        <v>0.0</v>
      </c>
      <c r="M1543" s="4" t="s">
        <v>32</v>
      </c>
    </row>
    <row r="1544" ht="18.0" customHeight="1">
      <c r="A1544" s="4" t="s">
        <v>49</v>
      </c>
      <c r="B1544" s="4">
        <v>35.0</v>
      </c>
      <c r="C1544" s="4" t="s">
        <v>879</v>
      </c>
      <c r="D1544" s="4" t="s">
        <v>1113</v>
      </c>
      <c r="E1544" s="16">
        <v>0.6605913043022156</v>
      </c>
      <c r="F1544" s="16">
        <v>0.6505134254693985</v>
      </c>
      <c r="G1544" s="16"/>
      <c r="H1544" s="16">
        <v>1.0</v>
      </c>
      <c r="I1544" s="16">
        <v>0.4083333333333334</v>
      </c>
      <c r="J1544" s="16">
        <v>0.0</v>
      </c>
      <c r="K1544" s="4">
        <v>0.0</v>
      </c>
      <c r="M1544" s="4" t="s">
        <v>32</v>
      </c>
    </row>
    <row r="1545" ht="18.0" customHeight="1">
      <c r="A1545" s="4" t="s">
        <v>49</v>
      </c>
      <c r="B1545" s="4">
        <v>36.0</v>
      </c>
      <c r="C1545" s="4" t="s">
        <v>180</v>
      </c>
      <c r="D1545" s="4" t="s">
        <v>937</v>
      </c>
      <c r="E1545" s="16">
        <v>0.0021354835480451584</v>
      </c>
      <c r="F1545" s="16">
        <v>0.9997496474024956</v>
      </c>
      <c r="G1545" s="16"/>
      <c r="H1545" s="16">
        <v>1.0</v>
      </c>
      <c r="I1545" s="16">
        <v>0.375</v>
      </c>
      <c r="J1545" s="16">
        <v>0.4285714285714286</v>
      </c>
      <c r="K1545" s="4">
        <v>0.0</v>
      </c>
      <c r="M1545" s="4" t="s">
        <v>32</v>
      </c>
    </row>
    <row r="1546" ht="18.0" customHeight="1">
      <c r="A1546" s="4" t="s">
        <v>49</v>
      </c>
      <c r="B1546" s="4">
        <v>37.0</v>
      </c>
      <c r="C1546" s="4" t="s">
        <v>879</v>
      </c>
      <c r="D1546" s="4" t="s">
        <v>884</v>
      </c>
      <c r="E1546" s="16">
        <v>0.004031965509057045</v>
      </c>
      <c r="F1546" s="16">
        <v>0.9991004666662775</v>
      </c>
      <c r="G1546" s="16"/>
      <c r="H1546" s="16">
        <v>1.0</v>
      </c>
      <c r="I1546" s="16">
        <v>0.41250000000000003</v>
      </c>
      <c r="J1546" s="16">
        <v>0.9</v>
      </c>
      <c r="K1546" s="4">
        <v>0.0</v>
      </c>
      <c r="M1546" s="4" t="s">
        <v>32</v>
      </c>
    </row>
    <row r="1547" ht="18.0" customHeight="1">
      <c r="A1547" s="4" t="s">
        <v>49</v>
      </c>
      <c r="B1547" s="4">
        <v>38.0</v>
      </c>
      <c r="C1547" s="4" t="s">
        <v>937</v>
      </c>
      <c r="D1547" s="4" t="s">
        <v>1254</v>
      </c>
      <c r="E1547" s="16">
        <v>0.001903890515677631</v>
      </c>
      <c r="F1547" s="16">
        <v>0.9997046340067754</v>
      </c>
      <c r="G1547" s="16"/>
      <c r="H1547" s="16">
        <v>1.0</v>
      </c>
      <c r="I1547" s="16">
        <v>0.375</v>
      </c>
      <c r="J1547" s="16">
        <v>0.6300000000000001</v>
      </c>
      <c r="K1547" s="4">
        <v>0.0</v>
      </c>
      <c r="M1547" s="4" t="s">
        <v>32</v>
      </c>
    </row>
    <row r="1548" ht="18.0" customHeight="1">
      <c r="A1548" s="4" t="s">
        <v>49</v>
      </c>
      <c r="B1548" s="4">
        <v>39.0</v>
      </c>
      <c r="C1548" s="4" t="s">
        <v>1255</v>
      </c>
      <c r="D1548" s="4" t="s">
        <v>1256</v>
      </c>
      <c r="E1548" s="16">
        <v>3.6837070365436375E-4</v>
      </c>
      <c r="F1548" s="16">
        <v>0.9999456591449416</v>
      </c>
      <c r="G1548" s="16"/>
      <c r="H1548" s="16">
        <v>1.0</v>
      </c>
      <c r="I1548" s="16">
        <v>0.3333333333333333</v>
      </c>
      <c r="J1548" s="16">
        <v>0.19999999999999996</v>
      </c>
      <c r="K1548" s="4">
        <v>0.0</v>
      </c>
      <c r="M1548" s="4" t="s">
        <v>32</v>
      </c>
    </row>
    <row r="1549" ht="18.0" customHeight="1">
      <c r="A1549" s="4" t="s">
        <v>49</v>
      </c>
      <c r="B1549" s="4">
        <v>40.0</v>
      </c>
      <c r="C1549" s="4" t="s">
        <v>582</v>
      </c>
      <c r="D1549" s="4" t="s">
        <v>900</v>
      </c>
      <c r="E1549" s="16">
        <v>0.0033510271459817886</v>
      </c>
      <c r="F1549" s="16">
        <v>0.9992504553520121</v>
      </c>
      <c r="G1549" s="16"/>
      <c r="H1549" s="16">
        <v>1.0</v>
      </c>
      <c r="I1549" s="16">
        <v>0.3666666666666667</v>
      </c>
      <c r="J1549" s="16">
        <v>0.41509433962264153</v>
      </c>
      <c r="K1549" s="4">
        <v>0.0</v>
      </c>
      <c r="M1549" s="4" t="s">
        <v>32</v>
      </c>
    </row>
    <row r="1550" ht="18.0" customHeight="1">
      <c r="A1550" s="4" t="s">
        <v>49</v>
      </c>
      <c r="B1550" s="4">
        <v>41.0</v>
      </c>
      <c r="C1550" s="4" t="s">
        <v>261</v>
      </c>
      <c r="D1550" s="4" t="s">
        <v>262</v>
      </c>
      <c r="E1550" s="16">
        <v>0.016677681356668472</v>
      </c>
      <c r="F1550" s="16">
        <v>0.9952774995472282</v>
      </c>
      <c r="G1550" s="16"/>
      <c r="H1550" s="16">
        <v>1.0</v>
      </c>
      <c r="I1550" s="16">
        <v>0.39166666666666666</v>
      </c>
      <c r="J1550" s="16">
        <v>0.6666666666666667</v>
      </c>
      <c r="K1550" s="4">
        <v>0.0</v>
      </c>
      <c r="M1550" s="4" t="s">
        <v>32</v>
      </c>
    </row>
    <row r="1551" ht="18.0" customHeight="1">
      <c r="A1551" s="4" t="s">
        <v>49</v>
      </c>
      <c r="B1551" s="4">
        <v>42.0</v>
      </c>
      <c r="C1551" s="4" t="s">
        <v>225</v>
      </c>
      <c r="D1551" s="4" t="s">
        <v>258</v>
      </c>
      <c r="E1551" s="16">
        <v>2.2352258383762091E-4</v>
      </c>
      <c r="F1551" s="16">
        <v>0.999966429095366</v>
      </c>
      <c r="G1551" s="16"/>
      <c r="H1551" s="16">
        <v>1.0</v>
      </c>
      <c r="I1551" s="16">
        <v>0.5416666666666666</v>
      </c>
      <c r="J1551" s="16">
        <v>0.0</v>
      </c>
      <c r="K1551" s="4">
        <v>0.0</v>
      </c>
      <c r="M1551" s="4" t="s">
        <v>32</v>
      </c>
    </row>
    <row r="1552" ht="18.0" customHeight="1">
      <c r="A1552" s="4" t="s">
        <v>49</v>
      </c>
      <c r="B1552" s="4">
        <v>43.0</v>
      </c>
      <c r="C1552" s="4" t="s">
        <v>900</v>
      </c>
      <c r="D1552" s="4" t="s">
        <v>1253</v>
      </c>
      <c r="E1552" s="16">
        <v>1.6266058082692325E-4</v>
      </c>
      <c r="F1552" s="16">
        <v>0.9999841473963897</v>
      </c>
      <c r="G1552" s="16"/>
      <c r="H1552" s="16">
        <v>0.0</v>
      </c>
      <c r="I1552" s="16">
        <v>0.0</v>
      </c>
      <c r="J1552" s="16">
        <v>0.0</v>
      </c>
      <c r="K1552" s="4">
        <v>0.0</v>
      </c>
      <c r="M1552" s="4" t="s">
        <v>32</v>
      </c>
    </row>
    <row r="1553" ht="18.0" customHeight="1">
      <c r="A1553" s="4" t="s">
        <v>49</v>
      </c>
      <c r="B1553" s="4">
        <v>44.0</v>
      </c>
      <c r="C1553" s="4" t="s">
        <v>879</v>
      </c>
      <c r="D1553" s="4" t="s">
        <v>1113</v>
      </c>
      <c r="E1553" s="16">
        <v>1.3114232388033997E-5</v>
      </c>
      <c r="F1553" s="16">
        <v>0.9999991552171821</v>
      </c>
      <c r="G1553" s="16"/>
      <c r="H1553" s="16">
        <v>1.0</v>
      </c>
      <c r="I1553" s="16">
        <v>0.4916666666666667</v>
      </c>
      <c r="J1553" s="16">
        <v>0.0</v>
      </c>
      <c r="K1553" s="4">
        <v>0.0</v>
      </c>
      <c r="M1553" s="4" t="s">
        <v>32</v>
      </c>
    </row>
    <row r="1554" ht="18.0" customHeight="1">
      <c r="A1554" s="4" t="s">
        <v>49</v>
      </c>
      <c r="B1554" s="4">
        <v>45.0</v>
      </c>
      <c r="C1554" s="4" t="s">
        <v>180</v>
      </c>
      <c r="D1554" s="4" t="s">
        <v>1250</v>
      </c>
      <c r="E1554" s="16">
        <v>4.562020330922678E-5</v>
      </c>
      <c r="F1554" s="16">
        <v>0.9999953227566039</v>
      </c>
      <c r="G1554" s="16"/>
      <c r="H1554" s="16">
        <v>1.0</v>
      </c>
      <c r="I1554" s="16">
        <v>0.3666666666666667</v>
      </c>
      <c r="J1554" s="16">
        <v>0.0</v>
      </c>
      <c r="K1554" s="4">
        <v>0.0</v>
      </c>
      <c r="M1554" s="4" t="s">
        <v>32</v>
      </c>
    </row>
    <row r="1555" ht="18.0" customHeight="1">
      <c r="A1555" s="4" t="s">
        <v>49</v>
      </c>
      <c r="B1555" s="4">
        <v>46.0</v>
      </c>
      <c r="C1555" s="4" t="s">
        <v>879</v>
      </c>
      <c r="D1555" s="4" t="s">
        <v>880</v>
      </c>
      <c r="E1555" s="16">
        <v>1.703559246379882E-5</v>
      </c>
      <c r="F1555" s="16">
        <v>0.9999987805533976</v>
      </c>
      <c r="G1555" s="16"/>
      <c r="H1555" s="16">
        <v>0.09090909090909091</v>
      </c>
      <c r="I1555" s="16">
        <v>0.041666666666666664</v>
      </c>
      <c r="J1555" s="16">
        <v>0.0</v>
      </c>
      <c r="K1555" s="4">
        <v>1.0</v>
      </c>
      <c r="L1555" s="4">
        <v>0.0</v>
      </c>
      <c r="M1555" s="4" t="s">
        <v>239</v>
      </c>
    </row>
    <row r="1556" ht="18.0" customHeight="1">
      <c r="A1556" s="4" t="s">
        <v>49</v>
      </c>
      <c r="B1556" s="4">
        <v>47.0</v>
      </c>
      <c r="C1556" s="4" t="s">
        <v>1250</v>
      </c>
      <c r="D1556" s="4" t="s">
        <v>1257</v>
      </c>
      <c r="E1556" s="16">
        <v>5.2073584811296314E-5</v>
      </c>
      <c r="F1556" s="16">
        <v>0.9999950593308995</v>
      </c>
      <c r="G1556" s="16"/>
      <c r="H1556" s="16">
        <v>0.0</v>
      </c>
      <c r="I1556" s="16">
        <v>0.041666666666666664</v>
      </c>
      <c r="J1556" s="16">
        <v>0.5714285714285714</v>
      </c>
      <c r="K1556" s="4">
        <v>0.0</v>
      </c>
      <c r="M1556" s="4" t="s">
        <v>32</v>
      </c>
    </row>
    <row r="1557" ht="18.0" customHeight="1">
      <c r="A1557" s="4" t="s">
        <v>49</v>
      </c>
      <c r="B1557" s="4">
        <v>48.0</v>
      </c>
      <c r="C1557" s="4" t="s">
        <v>1255</v>
      </c>
      <c r="D1557" s="4" t="s">
        <v>1258</v>
      </c>
      <c r="E1557" s="16">
        <v>0.038342833518981934</v>
      </c>
      <c r="F1557" s="16">
        <v>0.9882630878128111</v>
      </c>
      <c r="G1557" s="16"/>
      <c r="H1557" s="16">
        <v>0.0</v>
      </c>
      <c r="I1557" s="16">
        <v>0.0</v>
      </c>
      <c r="J1557" s="16">
        <v>0.0</v>
      </c>
      <c r="K1557" s="4">
        <v>0.0</v>
      </c>
      <c r="M1557" s="4" t="s">
        <v>32</v>
      </c>
    </row>
    <row r="1558" ht="18.0" customHeight="1">
      <c r="A1558" s="4" t="s">
        <v>49</v>
      </c>
      <c r="B1558" s="4">
        <v>49.0</v>
      </c>
      <c r="C1558" s="4" t="s">
        <v>582</v>
      </c>
      <c r="D1558" s="4" t="s">
        <v>1259</v>
      </c>
      <c r="E1558" s="16">
        <v>0.3101321756839752</v>
      </c>
      <c r="F1558" s="16">
        <v>0.8882174119353294</v>
      </c>
      <c r="G1558" s="16"/>
      <c r="H1558" s="16">
        <v>1.0</v>
      </c>
      <c r="I1558" s="16">
        <v>0.5625</v>
      </c>
      <c r="J1558" s="16">
        <v>0.18412698412698408</v>
      </c>
      <c r="K1558" s="4">
        <v>0.0</v>
      </c>
      <c r="M1558" s="4" t="s">
        <v>32</v>
      </c>
    </row>
    <row r="1559" ht="18.0" customHeight="1">
      <c r="A1559" s="4" t="s">
        <v>49</v>
      </c>
      <c r="B1559" s="4">
        <v>50.0</v>
      </c>
      <c r="C1559" s="4" t="s">
        <v>94</v>
      </c>
      <c r="D1559" s="4" t="s">
        <v>476</v>
      </c>
      <c r="E1559" s="16">
        <v>0.0775691345334053</v>
      </c>
      <c r="F1559" s="16">
        <v>0.9725638870149851</v>
      </c>
      <c r="G1559" s="16"/>
      <c r="H1559" s="16">
        <v>1.0</v>
      </c>
      <c r="I1559" s="16">
        <v>0.6041666666666666</v>
      </c>
      <c r="J1559" s="16">
        <v>0.8181818181818181</v>
      </c>
      <c r="K1559" s="4">
        <v>1.0</v>
      </c>
      <c r="L1559" s="4">
        <v>0.0</v>
      </c>
      <c r="M1559" s="4" t="s">
        <v>239</v>
      </c>
    </row>
    <row r="1560" ht="18.0" customHeight="1">
      <c r="A1560" s="4" t="s">
        <v>49</v>
      </c>
      <c r="B1560" s="4">
        <v>51.0</v>
      </c>
      <c r="C1560" s="4" t="s">
        <v>879</v>
      </c>
      <c r="D1560" s="4" t="s">
        <v>880</v>
      </c>
      <c r="E1560" s="16">
        <v>1.7844373360276222E-4</v>
      </c>
      <c r="F1560" s="16">
        <v>0.999983174803674</v>
      </c>
      <c r="G1560" s="16"/>
      <c r="H1560" s="16">
        <v>0.09090909090909091</v>
      </c>
      <c r="I1560" s="16">
        <v>0.041666666666666664</v>
      </c>
      <c r="J1560" s="16">
        <v>0.0</v>
      </c>
      <c r="K1560" s="4">
        <v>0.0</v>
      </c>
      <c r="M1560" s="4" t="s">
        <v>32</v>
      </c>
    </row>
    <row r="1561" ht="18.0" customHeight="1">
      <c r="A1561" s="4" t="s">
        <v>49</v>
      </c>
      <c r="B1561" s="4">
        <v>52.0</v>
      </c>
      <c r="C1561" s="4" t="s">
        <v>172</v>
      </c>
      <c r="D1561" s="4" t="s">
        <v>1250</v>
      </c>
      <c r="E1561" s="16">
        <v>0.3983423113822937</v>
      </c>
      <c r="F1561" s="16">
        <v>0.7335853576660156</v>
      </c>
      <c r="G1561" s="16"/>
      <c r="H1561" s="16">
        <v>1.0</v>
      </c>
      <c r="I1561" s="16">
        <v>0.47500000000000003</v>
      </c>
      <c r="J1561" s="16">
        <v>0.33333333333333337</v>
      </c>
      <c r="K1561" s="4">
        <v>0.0</v>
      </c>
      <c r="M1561" s="4" t="s">
        <v>32</v>
      </c>
    </row>
    <row r="1562" ht="18.0" customHeight="1">
      <c r="A1562" s="4" t="s">
        <v>49</v>
      </c>
      <c r="B1562" s="4">
        <v>53.0</v>
      </c>
      <c r="C1562" s="4" t="s">
        <v>876</v>
      </c>
      <c r="D1562" s="4" t="s">
        <v>509</v>
      </c>
      <c r="E1562" s="16">
        <v>0.0053238775581121445</v>
      </c>
      <c r="F1562" s="16">
        <v>0.9987853147904389</v>
      </c>
      <c r="G1562" s="16"/>
      <c r="H1562" s="16">
        <v>1.0</v>
      </c>
      <c r="I1562" s="16">
        <v>0.43333333333333335</v>
      </c>
      <c r="J1562" s="16">
        <v>0.5755813953488372</v>
      </c>
      <c r="K1562" s="4">
        <v>0.0</v>
      </c>
      <c r="M1562" s="4" t="s">
        <v>32</v>
      </c>
    </row>
    <row r="1563" ht="18.0" customHeight="1">
      <c r="A1563" s="4" t="s">
        <v>49</v>
      </c>
      <c r="B1563" s="4">
        <v>54.0</v>
      </c>
      <c r="C1563" s="4" t="s">
        <v>225</v>
      </c>
      <c r="D1563" s="4" t="s">
        <v>1250</v>
      </c>
      <c r="E1563" s="16">
        <v>0.00501882703974843</v>
      </c>
      <c r="F1563" s="16">
        <v>0.9990992435195949</v>
      </c>
      <c r="G1563" s="16"/>
      <c r="H1563" s="16">
        <v>1.0</v>
      </c>
      <c r="I1563" s="16">
        <v>0.4166666666666667</v>
      </c>
      <c r="J1563" s="16">
        <v>0.4</v>
      </c>
      <c r="K1563" s="4">
        <v>0.0</v>
      </c>
      <c r="M1563" s="4" t="s">
        <v>32</v>
      </c>
    </row>
    <row r="1564" ht="18.0" customHeight="1">
      <c r="A1564" s="4" t="s">
        <v>49</v>
      </c>
      <c r="B1564" s="4">
        <v>55.0</v>
      </c>
      <c r="C1564" s="4" t="s">
        <v>900</v>
      </c>
      <c r="D1564" s="4" t="s">
        <v>1260</v>
      </c>
      <c r="E1564" s="16">
        <v>4.078427446074784E-4</v>
      </c>
      <c r="F1564" s="16">
        <v>0.9999569838637399</v>
      </c>
      <c r="G1564" s="16"/>
      <c r="H1564" s="16">
        <v>0.8181818181818182</v>
      </c>
      <c r="I1564" s="16">
        <v>0.3958333333333333</v>
      </c>
      <c r="J1564" s="16">
        <v>0.4</v>
      </c>
      <c r="K1564" s="4">
        <v>0.0</v>
      </c>
      <c r="M1564" s="4" t="s">
        <v>32</v>
      </c>
    </row>
    <row r="1565" ht="18.0" customHeight="1">
      <c r="A1565" s="4" t="s">
        <v>49</v>
      </c>
      <c r="B1565" s="4">
        <v>56.0</v>
      </c>
      <c r="C1565" s="4" t="s">
        <v>476</v>
      </c>
      <c r="D1565" s="4" t="s">
        <v>94</v>
      </c>
      <c r="E1565" s="16">
        <v>0.5481141209602356</v>
      </c>
      <c r="F1565" s="16">
        <v>0.7999949380755424</v>
      </c>
      <c r="G1565" s="16"/>
      <c r="H1565" s="16">
        <v>0.8181818181818182</v>
      </c>
      <c r="I1565" s="16">
        <v>0.4375</v>
      </c>
      <c r="J1565" s="16">
        <v>0.6141732283464568</v>
      </c>
      <c r="K1565" s="4">
        <v>0.0</v>
      </c>
      <c r="M1565" s="4" t="s">
        <v>32</v>
      </c>
    </row>
    <row r="1566" ht="18.0" customHeight="1">
      <c r="A1566" s="4" t="s">
        <v>49</v>
      </c>
      <c r="B1566" s="4">
        <v>57.0</v>
      </c>
      <c r="C1566" s="4" t="s">
        <v>180</v>
      </c>
      <c r="D1566" s="4" t="s">
        <v>1261</v>
      </c>
      <c r="E1566" s="16">
        <v>8.766509563429281E-5</v>
      </c>
      <c r="F1566" s="16">
        <v>0.9999928809213543</v>
      </c>
      <c r="G1566" s="16"/>
      <c r="H1566" s="16">
        <v>1.0</v>
      </c>
      <c r="I1566" s="16">
        <v>0.4916666666666667</v>
      </c>
      <c r="J1566" s="16">
        <v>0.168503937007874</v>
      </c>
      <c r="K1566" s="4">
        <v>0.0</v>
      </c>
      <c r="M1566" s="4" t="s">
        <v>32</v>
      </c>
    </row>
    <row r="1567" ht="18.0" customHeight="1">
      <c r="A1567" s="4" t="s">
        <v>49</v>
      </c>
      <c r="B1567" s="4">
        <v>58.0</v>
      </c>
      <c r="C1567" s="4" t="s">
        <v>876</v>
      </c>
      <c r="D1567" s="4" t="s">
        <v>456</v>
      </c>
      <c r="E1567" s="16">
        <v>0.6657034754753113</v>
      </c>
      <c r="F1567" s="16">
        <v>0.26658594608306885</v>
      </c>
      <c r="G1567" s="16"/>
      <c r="H1567" s="16">
        <v>1.0</v>
      </c>
      <c r="I1567" s="16">
        <v>0.6041666666666666</v>
      </c>
      <c r="J1567" s="16">
        <v>0.75</v>
      </c>
      <c r="K1567" s="4">
        <v>1.0</v>
      </c>
      <c r="L1567" s="4">
        <v>0.0</v>
      </c>
      <c r="M1567" s="4" t="s">
        <v>239</v>
      </c>
    </row>
    <row r="1568" ht="18.0" customHeight="1">
      <c r="A1568" s="4" t="s">
        <v>49</v>
      </c>
      <c r="B1568" s="4">
        <v>59.0</v>
      </c>
      <c r="C1568" s="4" t="s">
        <v>1262</v>
      </c>
      <c r="D1568" s="4" t="s">
        <v>1263</v>
      </c>
      <c r="E1568" s="16">
        <v>0.05806629732251167</v>
      </c>
      <c r="F1568" s="16">
        <v>0.9798022760078311</v>
      </c>
      <c r="G1568" s="16"/>
      <c r="H1568" s="16">
        <v>0.0</v>
      </c>
      <c r="I1568" s="16">
        <v>0.041666666666666664</v>
      </c>
      <c r="J1568" s="16">
        <v>0.5</v>
      </c>
      <c r="K1568" s="4">
        <v>0.0</v>
      </c>
      <c r="M1568" s="4" t="s">
        <v>32</v>
      </c>
    </row>
    <row r="1569" ht="18.0" customHeight="1">
      <c r="A1569" s="4" t="s">
        <v>49</v>
      </c>
      <c r="B1569" s="4">
        <v>60.0</v>
      </c>
      <c r="C1569" s="4" t="s">
        <v>880</v>
      </c>
      <c r="D1569" s="4" t="s">
        <v>1264</v>
      </c>
      <c r="E1569" s="16">
        <v>2.20622187043773E-5</v>
      </c>
      <c r="F1569" s="16">
        <v>0.9999980990561994</v>
      </c>
      <c r="G1569" s="16"/>
      <c r="H1569" s="16">
        <v>0.09090909090909091</v>
      </c>
      <c r="I1569" s="16">
        <v>0.041666666666666664</v>
      </c>
      <c r="J1569" s="16">
        <v>0.0</v>
      </c>
      <c r="K1569" s="4">
        <v>0.0</v>
      </c>
      <c r="M1569" s="4" t="s">
        <v>32</v>
      </c>
    </row>
    <row r="1570" ht="18.0" customHeight="1">
      <c r="A1570" s="4" t="s">
        <v>49</v>
      </c>
      <c r="B1570" s="4">
        <v>61.0</v>
      </c>
      <c r="C1570" s="4" t="s">
        <v>591</v>
      </c>
      <c r="D1570" s="4" t="s">
        <v>1250</v>
      </c>
      <c r="E1570" s="16">
        <v>0.5842739343643188</v>
      </c>
      <c r="F1570" s="16">
        <v>0.6891238689422607</v>
      </c>
      <c r="G1570" s="16"/>
      <c r="H1570" s="16">
        <v>1.0</v>
      </c>
      <c r="I1570" s="16">
        <v>0.5833333333333334</v>
      </c>
      <c r="J1570" s="16">
        <v>0.33333333333333337</v>
      </c>
      <c r="K1570" s="4">
        <v>0.0</v>
      </c>
      <c r="M1570" s="4" t="s">
        <v>32</v>
      </c>
    </row>
    <row r="1571" ht="18.0" customHeight="1">
      <c r="A1571" s="4" t="s">
        <v>49</v>
      </c>
      <c r="B1571" s="4">
        <v>62.0</v>
      </c>
      <c r="C1571" s="4" t="s">
        <v>900</v>
      </c>
      <c r="D1571" s="4" t="s">
        <v>582</v>
      </c>
      <c r="E1571" s="16">
        <v>2.5450915927649476E-5</v>
      </c>
      <c r="F1571" s="16">
        <v>0.9999975511840375</v>
      </c>
      <c r="G1571" s="16"/>
      <c r="H1571" s="16">
        <v>1.0</v>
      </c>
      <c r="I1571" s="16">
        <v>0.625</v>
      </c>
      <c r="J1571" s="16">
        <v>0.875</v>
      </c>
      <c r="K1571" s="4">
        <v>1.0</v>
      </c>
      <c r="L1571" s="4">
        <v>0.0</v>
      </c>
      <c r="M1571" s="4" t="s">
        <v>239</v>
      </c>
    </row>
    <row r="1572" ht="18.0" customHeight="1">
      <c r="A1572" s="4" t="s">
        <v>49</v>
      </c>
      <c r="B1572" s="4">
        <v>63.0</v>
      </c>
      <c r="C1572" s="4" t="s">
        <v>879</v>
      </c>
      <c r="D1572" s="4" t="s">
        <v>94</v>
      </c>
      <c r="E1572" s="16">
        <v>0.24253404140472412</v>
      </c>
      <c r="F1572" s="16">
        <v>0.9165610410273075</v>
      </c>
      <c r="G1572" s="16"/>
      <c r="H1572" s="16">
        <v>1.0</v>
      </c>
      <c r="I1572" s="16">
        <v>0.6041666666666666</v>
      </c>
      <c r="J1572" s="16">
        <v>0.5714285714285714</v>
      </c>
      <c r="K1572" s="4">
        <v>0.0</v>
      </c>
      <c r="M1572" s="4" t="s">
        <v>32</v>
      </c>
    </row>
    <row r="1573" ht="18.0" customHeight="1">
      <c r="A1573" s="4" t="s">
        <v>49</v>
      </c>
      <c r="B1573" s="4">
        <v>64.0</v>
      </c>
      <c r="C1573" s="4" t="s">
        <v>180</v>
      </c>
      <c r="D1573" s="4" t="s">
        <v>896</v>
      </c>
      <c r="E1573" s="16">
        <v>3.0258939659688622E-5</v>
      </c>
      <c r="F1573" s="16">
        <v>0.9999981546238246</v>
      </c>
      <c r="G1573" s="16"/>
      <c r="H1573" s="16">
        <v>1.0</v>
      </c>
      <c r="I1573" s="16">
        <v>0.625</v>
      </c>
      <c r="J1573" s="16">
        <v>0.5714285714285714</v>
      </c>
      <c r="K1573" s="4">
        <v>1.0</v>
      </c>
      <c r="L1573" s="4">
        <v>0.0</v>
      </c>
      <c r="M1573" s="4" t="s">
        <v>239</v>
      </c>
    </row>
    <row r="1574" ht="18.0" customHeight="1">
      <c r="A1574" s="4" t="s">
        <v>49</v>
      </c>
      <c r="B1574" s="4">
        <v>65.0</v>
      </c>
      <c r="C1574" s="4" t="s">
        <v>884</v>
      </c>
      <c r="D1574" s="4" t="s">
        <v>876</v>
      </c>
      <c r="E1574" s="16">
        <v>0.43231213092803955</v>
      </c>
      <c r="F1574" s="16">
        <v>0.6955353021621704</v>
      </c>
      <c r="G1574" s="16"/>
      <c r="H1574" s="16">
        <v>1.0</v>
      </c>
      <c r="I1574" s="16">
        <v>0.6416666666666667</v>
      </c>
      <c r="J1574" s="16">
        <v>0.5384615384615385</v>
      </c>
      <c r="K1574" s="4">
        <v>1.0</v>
      </c>
      <c r="L1574" s="4">
        <v>0.0</v>
      </c>
      <c r="M1574" s="4" t="s">
        <v>239</v>
      </c>
    </row>
    <row r="1575" ht="18.0" customHeight="1">
      <c r="A1575" s="4" t="s">
        <v>49</v>
      </c>
      <c r="B1575" s="4">
        <v>66.0</v>
      </c>
      <c r="C1575" s="4" t="s">
        <v>871</v>
      </c>
      <c r="D1575" s="4" t="s">
        <v>872</v>
      </c>
      <c r="E1575" s="16">
        <v>1.1731834411621094</v>
      </c>
      <c r="F1575" s="16">
        <v>0.3322557955980301</v>
      </c>
      <c r="G1575" s="16"/>
      <c r="H1575" s="16">
        <v>1.0</v>
      </c>
      <c r="I1575" s="16">
        <v>0.6458333333333334</v>
      </c>
      <c r="J1575" s="16">
        <v>0.19999999999999996</v>
      </c>
      <c r="K1575" s="4">
        <v>1.0</v>
      </c>
      <c r="L1575" s="4">
        <v>0.0</v>
      </c>
      <c r="M1575" s="4" t="s">
        <v>239</v>
      </c>
    </row>
    <row r="1576" ht="18.0" customHeight="1">
      <c r="A1576" s="4" t="s">
        <v>49</v>
      </c>
      <c r="B1576" s="4">
        <v>67.0</v>
      </c>
      <c r="C1576" s="4" t="s">
        <v>100</v>
      </c>
      <c r="D1576" s="4" t="s">
        <v>868</v>
      </c>
      <c r="E1576" s="16">
        <v>0.6862329840660095</v>
      </c>
      <c r="F1576" s="16">
        <v>0.20747044682502747</v>
      </c>
      <c r="G1576" s="16"/>
      <c r="H1576" s="16">
        <v>1.0</v>
      </c>
      <c r="I1576" s="16">
        <v>0.6208333333333333</v>
      </c>
      <c r="J1576" s="16">
        <v>0.12804878048780488</v>
      </c>
      <c r="K1576" s="4">
        <v>1.0</v>
      </c>
      <c r="L1576" s="4">
        <v>0.0</v>
      </c>
      <c r="M1576" s="4" t="s">
        <v>239</v>
      </c>
    </row>
    <row r="1577" ht="18.0" customHeight="1">
      <c r="A1577" s="4" t="s">
        <v>49</v>
      </c>
      <c r="B1577" s="4">
        <v>68.0</v>
      </c>
      <c r="C1577" s="4" t="s">
        <v>397</v>
      </c>
      <c r="D1577" s="4" t="s">
        <v>398</v>
      </c>
      <c r="E1577" s="16">
        <v>0.5444186925888062</v>
      </c>
      <c r="F1577" s="16">
        <v>0.5325585305690765</v>
      </c>
      <c r="G1577" s="16"/>
      <c r="H1577" s="16">
        <v>0.0</v>
      </c>
      <c r="I1577" s="16">
        <v>0.016666666666666666</v>
      </c>
      <c r="J1577" s="16">
        <v>0.0</v>
      </c>
      <c r="K1577" s="4">
        <v>0.0</v>
      </c>
      <c r="M1577" s="4" t="s">
        <v>32</v>
      </c>
    </row>
    <row r="1578" ht="18.0" customHeight="1">
      <c r="A1578" s="4" t="s">
        <v>49</v>
      </c>
      <c r="B1578" s="4">
        <v>69.0</v>
      </c>
      <c r="C1578" s="4" t="s">
        <v>505</v>
      </c>
      <c r="D1578" s="4" t="s">
        <v>1009</v>
      </c>
      <c r="E1578" s="16">
        <v>8.062459528446198E-4</v>
      </c>
      <c r="F1578" s="16">
        <v>0.999896727334999</v>
      </c>
      <c r="G1578" s="16"/>
      <c r="H1578" s="16">
        <v>0.0</v>
      </c>
      <c r="I1578" s="16">
        <v>0.041666666666666664</v>
      </c>
      <c r="J1578" s="16">
        <v>0.0</v>
      </c>
      <c r="K1578" s="4">
        <v>0.0</v>
      </c>
      <c r="M1578" s="4" t="s">
        <v>32</v>
      </c>
    </row>
    <row r="1579" ht="18.0" customHeight="1">
      <c r="A1579" s="4" t="s">
        <v>49</v>
      </c>
      <c r="B1579" s="4">
        <v>70.0</v>
      </c>
      <c r="C1579" s="4" t="s">
        <v>630</v>
      </c>
      <c r="D1579" s="4" t="s">
        <v>94</v>
      </c>
      <c r="E1579" s="16">
        <v>0.0018303422257304192</v>
      </c>
      <c r="F1579" s="16">
        <v>0.9996931779169245</v>
      </c>
      <c r="G1579" s="16"/>
      <c r="H1579" s="16">
        <v>1.0</v>
      </c>
      <c r="I1579" s="16">
        <v>0.6875</v>
      </c>
      <c r="J1579" s="16">
        <v>0.1596731101681597</v>
      </c>
      <c r="K1579" s="4">
        <v>0.0</v>
      </c>
      <c r="M1579" s="4" t="s">
        <v>32</v>
      </c>
    </row>
    <row r="1580" ht="18.0" customHeight="1">
      <c r="A1580" s="4" t="s">
        <v>49</v>
      </c>
      <c r="B1580" s="4">
        <v>71.0</v>
      </c>
      <c r="C1580" s="4" t="s">
        <v>456</v>
      </c>
      <c r="D1580" s="4" t="s">
        <v>476</v>
      </c>
      <c r="E1580" s="16">
        <v>0.0038703090976923704</v>
      </c>
      <c r="F1580" s="16">
        <v>0.9993307157128584</v>
      </c>
      <c r="G1580" s="16"/>
      <c r="H1580" s="16">
        <v>1.0</v>
      </c>
      <c r="I1580" s="16">
        <v>0.4791666666666667</v>
      </c>
      <c r="J1580" s="16">
        <v>0.20493827160493827</v>
      </c>
      <c r="K1580" s="4">
        <v>0.0</v>
      </c>
      <c r="M1580" s="4" t="s">
        <v>32</v>
      </c>
    </row>
    <row r="1581" ht="18.0" customHeight="1">
      <c r="A1581" s="4" t="s">
        <v>49</v>
      </c>
      <c r="B1581" s="4">
        <v>72.0</v>
      </c>
      <c r="C1581" s="4" t="s">
        <v>1265</v>
      </c>
      <c r="D1581" s="4" t="s">
        <v>160</v>
      </c>
      <c r="E1581" s="16">
        <v>4.280371649656445E-4</v>
      </c>
      <c r="F1581" s="16">
        <v>0.9999516096631851</v>
      </c>
      <c r="G1581" s="16"/>
      <c r="H1581" s="16">
        <v>0.9090909090909091</v>
      </c>
      <c r="I1581" s="16">
        <v>0.45416666666666666</v>
      </c>
      <c r="J1581" s="16">
        <v>0.0</v>
      </c>
      <c r="K1581" s="4">
        <v>0.0</v>
      </c>
      <c r="M1581" s="4" t="s">
        <v>32</v>
      </c>
    </row>
    <row r="1582" ht="18.0" customHeight="1">
      <c r="A1582" s="4" t="s">
        <v>49</v>
      </c>
      <c r="B1582" s="4">
        <v>73.0</v>
      </c>
      <c r="C1582" s="4" t="s">
        <v>630</v>
      </c>
      <c r="D1582" s="4" t="s">
        <v>890</v>
      </c>
      <c r="E1582" s="16">
        <v>8.29768308904022E-4</v>
      </c>
      <c r="F1582" s="16">
        <v>0.9998815770923102</v>
      </c>
      <c r="G1582" s="16"/>
      <c r="H1582" s="16">
        <v>1.0</v>
      </c>
      <c r="I1582" s="16">
        <v>0.49583333333333335</v>
      </c>
      <c r="J1582" s="16">
        <v>0.19999999999999996</v>
      </c>
      <c r="K1582" s="4">
        <v>1.0</v>
      </c>
      <c r="L1582" s="4">
        <v>0.0</v>
      </c>
      <c r="M1582" s="4" t="s">
        <v>239</v>
      </c>
    </row>
    <row r="1583" ht="18.0" customHeight="1">
      <c r="A1583" s="4" t="s">
        <v>49</v>
      </c>
      <c r="B1583" s="4">
        <v>74.0</v>
      </c>
      <c r="C1583" s="4" t="s">
        <v>159</v>
      </c>
      <c r="D1583" s="4" t="s">
        <v>160</v>
      </c>
      <c r="E1583" s="16">
        <v>2.172775857616216E-4</v>
      </c>
      <c r="F1583" s="16">
        <v>0.9999770285494378</v>
      </c>
      <c r="G1583" s="16"/>
      <c r="H1583" s="16">
        <v>1.0</v>
      </c>
      <c r="I1583" s="16">
        <v>0.45416666666666666</v>
      </c>
      <c r="J1583" s="16">
        <v>0.0</v>
      </c>
      <c r="K1583" s="4">
        <v>0.0</v>
      </c>
      <c r="M1583" s="4" t="s">
        <v>32</v>
      </c>
    </row>
    <row r="1584" ht="18.0" customHeight="1">
      <c r="A1584" s="4" t="s">
        <v>49</v>
      </c>
      <c r="B1584" s="4">
        <v>75.0</v>
      </c>
      <c r="C1584" s="4" t="s">
        <v>160</v>
      </c>
      <c r="D1584" s="4" t="s">
        <v>181</v>
      </c>
      <c r="E1584" s="16">
        <v>0.0067454450763762</v>
      </c>
      <c r="F1584" s="16">
        <v>0.9987115529947914</v>
      </c>
      <c r="G1584" s="16"/>
      <c r="H1584" s="16">
        <v>0.0</v>
      </c>
      <c r="I1584" s="16">
        <v>0.08333333333333333</v>
      </c>
      <c r="J1584" s="16">
        <v>0.33333333333333337</v>
      </c>
      <c r="K1584" s="4">
        <v>0.0</v>
      </c>
      <c r="M1584" s="4" t="s">
        <v>32</v>
      </c>
    </row>
    <row r="1585" ht="18.0" customHeight="1">
      <c r="A1585" s="4" t="s">
        <v>49</v>
      </c>
      <c r="B1585" s="4">
        <v>76.0</v>
      </c>
      <c r="C1585" s="4" t="s">
        <v>169</v>
      </c>
      <c r="D1585" s="4" t="s">
        <v>1266</v>
      </c>
      <c r="E1585" s="16">
        <v>0.004565604962408543</v>
      </c>
      <c r="F1585" s="16">
        <v>0.9991373509983532</v>
      </c>
      <c r="G1585" s="16"/>
      <c r="H1585" s="16">
        <v>1.0</v>
      </c>
      <c r="I1585" s="16">
        <v>0.43333333333333335</v>
      </c>
      <c r="J1585" s="16">
        <v>0.23414634146341468</v>
      </c>
      <c r="K1585" s="4">
        <v>0.0</v>
      </c>
      <c r="M1585" s="4" t="s">
        <v>32</v>
      </c>
    </row>
    <row r="1586" ht="18.0" customHeight="1">
      <c r="A1586" s="4" t="s">
        <v>49</v>
      </c>
      <c r="B1586" s="4">
        <v>77.0</v>
      </c>
      <c r="C1586" s="4" t="s">
        <v>686</v>
      </c>
      <c r="D1586" s="4" t="s">
        <v>1267</v>
      </c>
      <c r="E1586" s="16">
        <v>1.2285971024539322E-4</v>
      </c>
      <c r="F1586" s="16">
        <v>0.9999888126587848</v>
      </c>
      <c r="G1586" s="16"/>
      <c r="H1586" s="16">
        <v>0.0</v>
      </c>
      <c r="I1586" s="16">
        <v>0.08333333333333333</v>
      </c>
      <c r="J1586" s="16">
        <v>0.0</v>
      </c>
      <c r="K1586" s="4">
        <v>0.0</v>
      </c>
      <c r="M1586" s="4" t="s">
        <v>32</v>
      </c>
    </row>
    <row r="1587" ht="18.0" customHeight="1">
      <c r="A1587" s="4" t="s">
        <v>49</v>
      </c>
      <c r="B1587" s="4">
        <v>78.0</v>
      </c>
      <c r="C1587" s="4" t="s">
        <v>159</v>
      </c>
      <c r="D1587" s="4" t="s">
        <v>710</v>
      </c>
      <c r="E1587" s="16">
        <v>0.002989480970427394</v>
      </c>
      <c r="F1587" s="16">
        <v>0.9993389821029268</v>
      </c>
      <c r="G1587" s="16"/>
      <c r="H1587" s="16">
        <v>1.0</v>
      </c>
      <c r="I1587" s="16">
        <v>0.37083333333333335</v>
      </c>
      <c r="J1587" s="16">
        <v>0.34698795180722897</v>
      </c>
      <c r="K1587" s="4">
        <v>0.0</v>
      </c>
      <c r="M1587" s="4" t="s">
        <v>32</v>
      </c>
    </row>
    <row r="1588" ht="18.0" customHeight="1">
      <c r="A1588" s="4" t="s">
        <v>49</v>
      </c>
      <c r="B1588" s="4">
        <v>79.0</v>
      </c>
      <c r="C1588" s="4" t="s">
        <v>160</v>
      </c>
      <c r="D1588" s="4" t="s">
        <v>761</v>
      </c>
      <c r="E1588" s="16">
        <v>0.01909642107784748</v>
      </c>
      <c r="F1588" s="16">
        <v>0.9944783495739102</v>
      </c>
      <c r="G1588" s="16"/>
      <c r="H1588" s="16">
        <v>1.0</v>
      </c>
      <c r="I1588" s="16">
        <v>0.3666666666666667</v>
      </c>
      <c r="J1588" s="16">
        <v>0.4</v>
      </c>
      <c r="K1588" s="4">
        <v>0.0</v>
      </c>
      <c r="M1588" s="4" t="s">
        <v>32</v>
      </c>
    </row>
    <row r="1589" ht="18.0" customHeight="1">
      <c r="A1589" s="4" t="s">
        <v>49</v>
      </c>
      <c r="B1589" s="4">
        <v>80.0</v>
      </c>
      <c r="C1589" s="4" t="s">
        <v>634</v>
      </c>
      <c r="D1589" s="4" t="s">
        <v>761</v>
      </c>
      <c r="E1589" s="16">
        <v>9.28767622099258E-5</v>
      </c>
      <c r="F1589" s="16">
        <v>0.9999868820850679</v>
      </c>
      <c r="G1589" s="16"/>
      <c r="H1589" s="16">
        <v>0.0</v>
      </c>
      <c r="I1589" s="16">
        <v>0.08333333333333333</v>
      </c>
      <c r="J1589" s="16">
        <v>0.4</v>
      </c>
      <c r="K1589" s="4">
        <v>0.0</v>
      </c>
      <c r="M1589" s="4" t="s">
        <v>32</v>
      </c>
    </row>
    <row r="1590" ht="18.0" customHeight="1">
      <c r="A1590" s="4" t="s">
        <v>49</v>
      </c>
      <c r="B1590" s="4">
        <v>81.0</v>
      </c>
      <c r="C1590" s="4" t="s">
        <v>591</v>
      </c>
      <c r="D1590" s="4" t="s">
        <v>169</v>
      </c>
      <c r="E1590" s="16">
        <v>0.1581362932920456</v>
      </c>
      <c r="F1590" s="16">
        <v>0.949360890313983</v>
      </c>
      <c r="G1590" s="16"/>
      <c r="H1590" s="16">
        <v>1.0</v>
      </c>
      <c r="I1590" s="16">
        <v>0.45</v>
      </c>
      <c r="J1590" s="16">
        <v>1.0</v>
      </c>
      <c r="K1590" s="4">
        <v>0.0</v>
      </c>
      <c r="M1590" s="4" t="s">
        <v>32</v>
      </c>
    </row>
    <row r="1591" ht="18.0" customHeight="1">
      <c r="A1591" s="4" t="s">
        <v>67</v>
      </c>
      <c r="B1591" s="4">
        <v>2.0</v>
      </c>
      <c r="C1591" s="4" t="s">
        <v>122</v>
      </c>
      <c r="D1591" s="4" t="s">
        <v>220</v>
      </c>
      <c r="E1591" s="16">
        <v>0.0015298416838049889</v>
      </c>
      <c r="F1591" s="16">
        <v>0.9997469233858283</v>
      </c>
      <c r="G1591" s="16"/>
      <c r="H1591" s="16">
        <v>1.0</v>
      </c>
      <c r="I1591" s="16">
        <v>0.5208333333333334</v>
      </c>
      <c r="J1591" s="16">
        <v>0.06976744186046512</v>
      </c>
      <c r="K1591" s="4">
        <v>0.0</v>
      </c>
      <c r="M1591" s="4" t="s">
        <v>32</v>
      </c>
    </row>
    <row r="1592" ht="18.0" customHeight="1">
      <c r="A1592" s="4" t="s">
        <v>67</v>
      </c>
      <c r="B1592" s="4">
        <v>3.0</v>
      </c>
      <c r="C1592" s="4" t="s">
        <v>231</v>
      </c>
      <c r="D1592" s="4" t="s">
        <v>232</v>
      </c>
      <c r="E1592" s="16">
        <v>0.004989056382328272</v>
      </c>
      <c r="F1592" s="16">
        <v>0.9990209894021973</v>
      </c>
      <c r="G1592" s="16"/>
      <c r="H1592" s="16">
        <v>1.0</v>
      </c>
      <c r="I1592" s="16">
        <v>0.41250000000000003</v>
      </c>
      <c r="J1592" s="16">
        <v>0.6666666666666667</v>
      </c>
      <c r="K1592" s="4">
        <v>0.0</v>
      </c>
      <c r="M1592" s="4" t="s">
        <v>32</v>
      </c>
    </row>
    <row r="1593" ht="18.0" customHeight="1">
      <c r="A1593" s="4" t="s">
        <v>67</v>
      </c>
      <c r="B1593" s="4">
        <v>4.0</v>
      </c>
      <c r="C1593" s="4" t="s">
        <v>1268</v>
      </c>
      <c r="D1593" s="4" t="s">
        <v>83</v>
      </c>
      <c r="E1593" s="16">
        <v>6.666690751444548E-5</v>
      </c>
      <c r="F1593" s="16">
        <v>0.9999928627914869</v>
      </c>
      <c r="G1593" s="16"/>
      <c r="H1593" s="16">
        <v>0.7272727272727273</v>
      </c>
      <c r="I1593" s="16">
        <v>0.45</v>
      </c>
      <c r="J1593" s="16">
        <v>0.875</v>
      </c>
      <c r="K1593" s="4">
        <v>0.0</v>
      </c>
      <c r="M1593" s="4" t="s">
        <v>32</v>
      </c>
    </row>
    <row r="1594" ht="18.0" customHeight="1">
      <c r="A1594" s="4" t="s">
        <v>67</v>
      </c>
      <c r="B1594" s="4">
        <v>5.0</v>
      </c>
      <c r="C1594" s="4" t="s">
        <v>1269</v>
      </c>
      <c r="D1594" s="4" t="s">
        <v>1270</v>
      </c>
      <c r="E1594" s="16">
        <v>4.88368677906692E-5</v>
      </c>
      <c r="F1594" s="16">
        <v>0.9999962398826483</v>
      </c>
      <c r="G1594" s="16"/>
      <c r="H1594" s="16">
        <v>0.18181818181818182</v>
      </c>
      <c r="I1594" s="16">
        <v>0.075</v>
      </c>
      <c r="J1594" s="16">
        <v>0.33333333333333337</v>
      </c>
      <c r="K1594" s="4">
        <v>0.0</v>
      </c>
      <c r="M1594" s="4" t="s">
        <v>32</v>
      </c>
    </row>
    <row r="1595" ht="18.0" customHeight="1">
      <c r="A1595" s="4" t="s">
        <v>67</v>
      </c>
      <c r="B1595" s="4">
        <v>6.0</v>
      </c>
      <c r="C1595" s="4" t="s">
        <v>1271</v>
      </c>
      <c r="D1595" s="4" t="s">
        <v>1272</v>
      </c>
      <c r="E1595" s="16">
        <v>5.3148607548791915E-5</v>
      </c>
      <c r="F1595" s="16">
        <v>0.9999947175416537</v>
      </c>
      <c r="G1595" s="16"/>
      <c r="H1595" s="16">
        <v>0.18181818181818182</v>
      </c>
      <c r="I1595" s="16">
        <v>0.075</v>
      </c>
      <c r="J1595" s="16">
        <v>0.33333333333333337</v>
      </c>
      <c r="K1595" s="4">
        <v>0.0</v>
      </c>
      <c r="M1595" s="4" t="s">
        <v>32</v>
      </c>
    </row>
    <row r="1596" ht="18.0" customHeight="1">
      <c r="A1596" s="4" t="s">
        <v>67</v>
      </c>
      <c r="B1596" s="4">
        <v>7.0</v>
      </c>
      <c r="C1596" s="4" t="s">
        <v>524</v>
      </c>
      <c r="D1596" s="4" t="s">
        <v>930</v>
      </c>
      <c r="E1596" s="16">
        <v>0.9239221215248108</v>
      </c>
      <c r="F1596" s="16">
        <v>0.5365092903375626</v>
      </c>
      <c r="G1596" s="16"/>
      <c r="H1596" s="16">
        <v>0.09090909090909091</v>
      </c>
      <c r="I1596" s="16">
        <v>0.05833333333333333</v>
      </c>
      <c r="J1596" s="16">
        <v>0.0</v>
      </c>
      <c r="K1596" s="4">
        <v>1.0</v>
      </c>
      <c r="L1596" s="4">
        <v>0.0</v>
      </c>
      <c r="M1596" s="4" t="s">
        <v>239</v>
      </c>
    </row>
    <row r="1597" ht="18.0" customHeight="1">
      <c r="A1597" s="4" t="s">
        <v>67</v>
      </c>
      <c r="B1597" s="4">
        <v>8.0</v>
      </c>
      <c r="C1597" s="4" t="s">
        <v>139</v>
      </c>
      <c r="D1597" s="4" t="s">
        <v>1273</v>
      </c>
      <c r="E1597" s="16">
        <v>0.29418694972991943</v>
      </c>
      <c r="F1597" s="16">
        <v>0.853166252374649</v>
      </c>
      <c r="G1597" s="16"/>
      <c r="H1597" s="16">
        <v>1.0</v>
      </c>
      <c r="I1597" s="16">
        <v>0.375</v>
      </c>
      <c r="J1597" s="16">
        <v>0.0</v>
      </c>
      <c r="K1597" s="4">
        <v>0.0</v>
      </c>
      <c r="M1597" s="4" t="s">
        <v>32</v>
      </c>
    </row>
    <row r="1598" ht="18.0" customHeight="1">
      <c r="A1598" s="4" t="s">
        <v>67</v>
      </c>
      <c r="B1598" s="4">
        <v>9.0</v>
      </c>
      <c r="C1598" s="4" t="s">
        <v>232</v>
      </c>
      <c r="D1598" s="4" t="s">
        <v>159</v>
      </c>
      <c r="E1598" s="16">
        <v>0.0026573340874165297</v>
      </c>
      <c r="F1598" s="16">
        <v>0.9995314045081614</v>
      </c>
      <c r="G1598" s="16"/>
      <c r="H1598" s="16">
        <v>0.36363636363636365</v>
      </c>
      <c r="I1598" s="16">
        <v>0.09999999999999999</v>
      </c>
      <c r="J1598" s="16">
        <v>0.1622641509433962</v>
      </c>
      <c r="K1598" s="4">
        <v>0.0</v>
      </c>
      <c r="M1598" s="4" t="s">
        <v>32</v>
      </c>
    </row>
    <row r="1599" ht="18.0" customHeight="1">
      <c r="A1599" s="4" t="s">
        <v>67</v>
      </c>
      <c r="B1599" s="4">
        <v>10.0</v>
      </c>
      <c r="C1599" s="4" t="s">
        <v>94</v>
      </c>
      <c r="D1599" s="4" t="s">
        <v>921</v>
      </c>
      <c r="E1599" s="16">
        <v>0.016101187095046043</v>
      </c>
      <c r="F1599" s="16">
        <v>0.9963358782697469</v>
      </c>
      <c r="G1599" s="16"/>
      <c r="H1599" s="16">
        <v>0.9090909090909091</v>
      </c>
      <c r="I1599" s="16">
        <v>0.35000000000000003</v>
      </c>
      <c r="J1599" s="16">
        <v>0.625</v>
      </c>
      <c r="K1599" s="4">
        <v>0.0</v>
      </c>
      <c r="M1599" s="4" t="s">
        <v>32</v>
      </c>
    </row>
    <row r="1600" ht="18.0" customHeight="1">
      <c r="A1600" s="4" t="s">
        <v>67</v>
      </c>
      <c r="B1600" s="4">
        <v>11.0</v>
      </c>
      <c r="C1600" s="4" t="s">
        <v>923</v>
      </c>
      <c r="D1600" s="4" t="s">
        <v>710</v>
      </c>
      <c r="E1600" s="16">
        <v>0.0024927863851189613</v>
      </c>
      <c r="F1600" s="16">
        <v>0.9994667158462107</v>
      </c>
      <c r="G1600" s="16"/>
      <c r="H1600" s="16">
        <v>1.0</v>
      </c>
      <c r="I1600" s="16">
        <v>0.4791666666666667</v>
      </c>
      <c r="J1600" s="16">
        <v>0.75</v>
      </c>
      <c r="K1600" s="4">
        <v>0.0</v>
      </c>
      <c r="M1600" s="4" t="s">
        <v>32</v>
      </c>
    </row>
    <row r="1601" ht="18.0" customHeight="1">
      <c r="A1601" s="4" t="s">
        <v>67</v>
      </c>
      <c r="B1601" s="4">
        <v>12.0</v>
      </c>
      <c r="C1601" s="4" t="s">
        <v>1274</v>
      </c>
      <c r="D1601" s="4" t="s">
        <v>1011</v>
      </c>
      <c r="E1601" s="16">
        <v>8.944516303017735E-4</v>
      </c>
      <c r="F1601" s="16">
        <v>0.9998725035402458</v>
      </c>
      <c r="G1601" s="16"/>
      <c r="H1601" s="16">
        <v>1.0</v>
      </c>
      <c r="I1601" s="16">
        <v>0.43333333333333335</v>
      </c>
      <c r="J1601" s="16">
        <v>0.33333333333333337</v>
      </c>
      <c r="K1601" s="4">
        <v>0.0</v>
      </c>
      <c r="M1601" s="4" t="s">
        <v>32</v>
      </c>
    </row>
    <row r="1602" ht="18.0" customHeight="1">
      <c r="A1602" s="4" t="s">
        <v>67</v>
      </c>
      <c r="B1602" s="4">
        <v>13.0</v>
      </c>
      <c r="C1602" s="4" t="s">
        <v>225</v>
      </c>
      <c r="D1602" s="4" t="s">
        <v>258</v>
      </c>
      <c r="E1602" s="16">
        <v>0.006412861868739128</v>
      </c>
      <c r="F1602" s="16">
        <v>0.998671121080406</v>
      </c>
      <c r="G1602" s="16"/>
      <c r="H1602" s="16">
        <v>1.0</v>
      </c>
      <c r="I1602" s="16">
        <v>0.5208333333333334</v>
      </c>
      <c r="J1602" s="16">
        <v>0.5714285714285714</v>
      </c>
      <c r="K1602" s="4">
        <v>0.0</v>
      </c>
      <c r="M1602" s="4" t="s">
        <v>32</v>
      </c>
    </row>
    <row r="1603" ht="18.0" customHeight="1">
      <c r="A1603" s="4" t="s">
        <v>67</v>
      </c>
      <c r="B1603" s="4">
        <v>14.0</v>
      </c>
      <c r="C1603" s="4" t="s">
        <v>326</v>
      </c>
      <c r="D1603" s="4" t="s">
        <v>1275</v>
      </c>
      <c r="E1603" s="16">
        <v>2.3514572603744455E-5</v>
      </c>
      <c r="F1603" s="16">
        <v>0.9999980651413694</v>
      </c>
      <c r="G1603" s="16"/>
      <c r="H1603" s="16">
        <v>0.0</v>
      </c>
      <c r="I1603" s="16">
        <v>0.0</v>
      </c>
      <c r="J1603" s="16">
        <v>0.0</v>
      </c>
      <c r="K1603" s="4">
        <v>0.0</v>
      </c>
      <c r="M1603" s="4" t="s">
        <v>32</v>
      </c>
    </row>
    <row r="1604" ht="18.0" customHeight="1">
      <c r="A1604" s="4" t="s">
        <v>67</v>
      </c>
      <c r="B1604" s="4">
        <v>15.0</v>
      </c>
      <c r="C1604" s="4" t="s">
        <v>163</v>
      </c>
      <c r="D1604" s="4" t="s">
        <v>1276</v>
      </c>
      <c r="E1604" s="16">
        <v>2.378516728640534E-5</v>
      </c>
      <c r="F1604" s="16">
        <v>0.9999979006733497</v>
      </c>
      <c r="G1604" s="16"/>
      <c r="H1604" s="16">
        <v>1.0</v>
      </c>
      <c r="I1604" s="16">
        <v>0.43333333333333335</v>
      </c>
      <c r="J1604" s="16">
        <v>0.16229221347331582</v>
      </c>
      <c r="K1604" s="4">
        <v>0.0</v>
      </c>
      <c r="M1604" s="4" t="s">
        <v>32</v>
      </c>
    </row>
    <row r="1605" ht="18.0" customHeight="1">
      <c r="A1605" s="4" t="s">
        <v>67</v>
      </c>
      <c r="B1605" s="4">
        <v>16.0</v>
      </c>
      <c r="C1605" s="4" t="s">
        <v>1276</v>
      </c>
      <c r="D1605" s="4" t="s">
        <v>1277</v>
      </c>
      <c r="E1605" s="16">
        <v>7.77483219280839E-5</v>
      </c>
      <c r="F1605" s="16">
        <v>0.9999925451309082</v>
      </c>
      <c r="G1605" s="16"/>
      <c r="H1605" s="16">
        <v>0.8181818181818182</v>
      </c>
      <c r="I1605" s="16">
        <v>0.43333333333333335</v>
      </c>
      <c r="J1605" s="16">
        <v>0.6666666666666667</v>
      </c>
      <c r="K1605" s="4">
        <v>0.0</v>
      </c>
      <c r="M1605" s="4" t="s">
        <v>32</v>
      </c>
    </row>
    <row r="1606" ht="18.0" customHeight="1">
      <c r="A1606" s="4" t="s">
        <v>67</v>
      </c>
      <c r="B1606" s="4">
        <v>17.0</v>
      </c>
      <c r="C1606" s="4" t="s">
        <v>122</v>
      </c>
      <c r="D1606" s="4" t="s">
        <v>123</v>
      </c>
      <c r="E1606" s="16">
        <v>0.9227830171585083</v>
      </c>
      <c r="F1606" s="16">
        <v>0.4383409321308136</v>
      </c>
      <c r="G1606" s="16"/>
      <c r="H1606" s="16">
        <v>0.9090909090909091</v>
      </c>
      <c r="I1606" s="16">
        <v>0.43333333333333335</v>
      </c>
      <c r="J1606" s="16">
        <v>0.8333333333333334</v>
      </c>
      <c r="K1606" s="4">
        <v>1.0</v>
      </c>
      <c r="L1606" s="4">
        <v>0.0</v>
      </c>
      <c r="M1606" s="4" t="s">
        <v>239</v>
      </c>
    </row>
    <row r="1607" ht="18.0" customHeight="1">
      <c r="A1607" s="4" t="s">
        <v>67</v>
      </c>
      <c r="B1607" s="4">
        <v>18.0</v>
      </c>
      <c r="C1607" s="4" t="s">
        <v>232</v>
      </c>
      <c r="D1607" s="4" t="s">
        <v>592</v>
      </c>
      <c r="E1607" s="16">
        <v>9.562173509038985E-4</v>
      </c>
      <c r="F1607" s="16">
        <v>0.9999030621329439</v>
      </c>
      <c r="G1607" s="16"/>
      <c r="H1607" s="16">
        <v>1.0</v>
      </c>
      <c r="I1607" s="16">
        <v>0.6416666666666667</v>
      </c>
      <c r="J1607" s="16">
        <v>0.8888888888888888</v>
      </c>
      <c r="K1607" s="4">
        <v>1.0</v>
      </c>
      <c r="L1607" s="4">
        <v>0.0</v>
      </c>
      <c r="M1607" s="4" t="s">
        <v>239</v>
      </c>
    </row>
    <row r="1608" ht="18.0" customHeight="1">
      <c r="A1608" s="4" t="s">
        <v>67</v>
      </c>
      <c r="B1608" s="4">
        <v>19.0</v>
      </c>
      <c r="C1608" s="4" t="s">
        <v>921</v>
      </c>
      <c r="D1608" s="4" t="s">
        <v>922</v>
      </c>
      <c r="E1608" s="16">
        <v>0.9820677638053894</v>
      </c>
      <c r="F1608" s="16">
        <v>0.10629388689994812</v>
      </c>
      <c r="G1608" s="16"/>
      <c r="H1608" s="16">
        <v>1.0</v>
      </c>
      <c r="I1608" s="16">
        <v>0.5333333333333333</v>
      </c>
      <c r="J1608" s="16">
        <v>0.8520341207349083</v>
      </c>
      <c r="K1608" s="4">
        <v>1.0</v>
      </c>
      <c r="L1608" s="4">
        <v>0.0</v>
      </c>
      <c r="M1608" s="4" t="s">
        <v>239</v>
      </c>
    </row>
    <row r="1609" ht="18.0" customHeight="1">
      <c r="A1609" s="4" t="s">
        <v>67</v>
      </c>
      <c r="B1609" s="4">
        <v>20.0</v>
      </c>
      <c r="C1609" s="4" t="s">
        <v>180</v>
      </c>
      <c r="D1609" s="4" t="s">
        <v>945</v>
      </c>
      <c r="E1609" s="16">
        <v>0.04421604052186012</v>
      </c>
      <c r="F1609" s="16">
        <v>0.9899498713202775</v>
      </c>
      <c r="G1609" s="16"/>
      <c r="H1609" s="16">
        <v>0.9090909090909091</v>
      </c>
      <c r="I1609" s="16">
        <v>0.5333333333333333</v>
      </c>
      <c r="J1609" s="16">
        <v>0.3725881570192948</v>
      </c>
      <c r="K1609" s="4">
        <v>1.0</v>
      </c>
      <c r="L1609" s="4">
        <v>1.0</v>
      </c>
      <c r="M1609" s="4" t="s">
        <v>486</v>
      </c>
    </row>
    <row r="1610" ht="18.0" customHeight="1">
      <c r="A1610" s="4" t="s">
        <v>67</v>
      </c>
      <c r="B1610" s="4">
        <v>21.0</v>
      </c>
      <c r="C1610" s="4" t="s">
        <v>806</v>
      </c>
      <c r="D1610" s="4" t="s">
        <v>1274</v>
      </c>
      <c r="E1610" s="16">
        <v>0.060754016041755676</v>
      </c>
      <c r="F1610" s="16">
        <v>0.979288712143898</v>
      </c>
      <c r="G1610" s="16"/>
      <c r="H1610" s="16">
        <v>1.0</v>
      </c>
      <c r="I1610" s="16">
        <v>0.4916666666666667</v>
      </c>
      <c r="J1610" s="16">
        <v>0.2857142857142857</v>
      </c>
      <c r="K1610" s="4">
        <v>0.0</v>
      </c>
      <c r="M1610" s="4" t="s">
        <v>32</v>
      </c>
    </row>
    <row r="1611" ht="18.0" customHeight="1">
      <c r="A1611" s="4" t="s">
        <v>67</v>
      </c>
      <c r="B1611" s="4">
        <v>22.0</v>
      </c>
      <c r="C1611" s="4" t="s">
        <v>524</v>
      </c>
      <c r="D1611" s="4" t="s">
        <v>1278</v>
      </c>
      <c r="E1611" s="16">
        <v>1.3613097507914063E-5</v>
      </c>
      <c r="F1611" s="16">
        <v>0.9999989174695543</v>
      </c>
      <c r="G1611" s="16"/>
      <c r="H1611" s="16">
        <v>1.0</v>
      </c>
      <c r="I1611" s="16">
        <v>0.4291666666666667</v>
      </c>
      <c r="J1611" s="16">
        <v>0.5</v>
      </c>
      <c r="K1611" s="4">
        <v>0.0</v>
      </c>
      <c r="M1611" s="4" t="s">
        <v>32</v>
      </c>
    </row>
    <row r="1612" ht="18.0" customHeight="1">
      <c r="A1612" s="4" t="s">
        <v>67</v>
      </c>
      <c r="B1612" s="4">
        <v>23.0</v>
      </c>
      <c r="C1612" s="4" t="s">
        <v>942</v>
      </c>
      <c r="D1612" s="4" t="s">
        <v>591</v>
      </c>
      <c r="E1612" s="16">
        <v>0.002503656782209873</v>
      </c>
      <c r="F1612" s="16">
        <v>0.9996024863503408</v>
      </c>
      <c r="G1612" s="16"/>
      <c r="H1612" s="16">
        <v>1.0</v>
      </c>
      <c r="I1612" s="16">
        <v>0.6</v>
      </c>
      <c r="J1612" s="16">
        <v>0.20743639921722112</v>
      </c>
      <c r="K1612" s="4">
        <v>0.0</v>
      </c>
      <c r="M1612" s="4" t="s">
        <v>32</v>
      </c>
    </row>
    <row r="1613" ht="18.0" customHeight="1">
      <c r="A1613" s="4" t="s">
        <v>67</v>
      </c>
      <c r="B1613" s="4">
        <v>24.0</v>
      </c>
      <c r="C1613" s="4" t="s">
        <v>933</v>
      </c>
      <c r="D1613" s="4" t="s">
        <v>934</v>
      </c>
      <c r="E1613" s="16">
        <v>3.7541292840614915E-4</v>
      </c>
      <c r="F1613" s="16">
        <v>0.9999597315309074</v>
      </c>
      <c r="G1613" s="16"/>
      <c r="H1613" s="16">
        <v>1.0</v>
      </c>
      <c r="I1613" s="16">
        <v>0.6</v>
      </c>
      <c r="J1613" s="16">
        <v>0.0</v>
      </c>
      <c r="K1613" s="4">
        <v>1.0</v>
      </c>
      <c r="L1613" s="4">
        <v>0.0</v>
      </c>
      <c r="M1613" s="4" t="s">
        <v>239</v>
      </c>
    </row>
    <row r="1614" ht="18.0" customHeight="1">
      <c r="A1614" s="4" t="s">
        <v>67</v>
      </c>
      <c r="B1614" s="4">
        <v>25.0</v>
      </c>
      <c r="C1614" s="4" t="s">
        <v>232</v>
      </c>
      <c r="D1614" s="4" t="s">
        <v>289</v>
      </c>
      <c r="E1614" s="16">
        <v>5.429927841760218E-4</v>
      </c>
      <c r="F1614" s="16">
        <v>0.9999015607572801</v>
      </c>
      <c r="G1614" s="16"/>
      <c r="H1614" s="16">
        <v>1.0</v>
      </c>
      <c r="I1614" s="16">
        <v>0.6625</v>
      </c>
      <c r="J1614" s="16">
        <v>0.16229221347331582</v>
      </c>
      <c r="K1614" s="4">
        <v>0.0</v>
      </c>
      <c r="M1614" s="4" t="s">
        <v>32</v>
      </c>
    </row>
    <row r="1615" ht="18.0" customHeight="1">
      <c r="A1615" s="4" t="s">
        <v>67</v>
      </c>
      <c r="B1615" s="4">
        <v>26.0</v>
      </c>
      <c r="C1615" s="4" t="s">
        <v>911</v>
      </c>
      <c r="D1615" s="4" t="s">
        <v>94</v>
      </c>
      <c r="E1615" s="16">
        <v>1.2170977592468262</v>
      </c>
      <c r="F1615" s="16">
        <v>0.27311597764492035</v>
      </c>
      <c r="G1615" s="16"/>
      <c r="H1615" s="16">
        <v>1.0</v>
      </c>
      <c r="I1615" s="16">
        <v>0.7041666666666666</v>
      </c>
      <c r="J1615" s="16">
        <v>0.47309027777777785</v>
      </c>
      <c r="K1615" s="4">
        <v>1.0</v>
      </c>
      <c r="L1615" s="4">
        <v>1.0</v>
      </c>
      <c r="M1615" s="4" t="s">
        <v>486</v>
      </c>
    </row>
    <row r="1616" ht="18.0" customHeight="1">
      <c r="A1616" s="4" t="s">
        <v>67</v>
      </c>
      <c r="B1616" s="4">
        <v>27.0</v>
      </c>
      <c r="C1616" s="4" t="s">
        <v>1279</v>
      </c>
      <c r="D1616" s="4" t="s">
        <v>1280</v>
      </c>
      <c r="E1616" s="16">
        <v>0.08035165071487427</v>
      </c>
      <c r="F1616" s="16">
        <v>0.9834887436591089</v>
      </c>
      <c r="G1616" s="16"/>
      <c r="H1616" s="16">
        <v>0.09090909090909091</v>
      </c>
      <c r="I1616" s="16">
        <v>0.0375</v>
      </c>
      <c r="J1616" s="16">
        <v>0.13806327900287635</v>
      </c>
      <c r="K1616" s="4">
        <v>0.0</v>
      </c>
      <c r="M1616" s="4" t="s">
        <v>32</v>
      </c>
    </row>
    <row r="1617" ht="18.0" customHeight="1">
      <c r="A1617" s="4" t="s">
        <v>67</v>
      </c>
      <c r="B1617" s="4">
        <v>28.0</v>
      </c>
      <c r="C1617" s="4" t="s">
        <v>180</v>
      </c>
      <c r="D1617" s="4" t="s">
        <v>1271</v>
      </c>
      <c r="E1617" s="16">
        <v>1.1596734111662954E-4</v>
      </c>
      <c r="F1617" s="16">
        <v>0.999987406710261</v>
      </c>
      <c r="G1617" s="16"/>
      <c r="H1617" s="16">
        <v>1.0</v>
      </c>
      <c r="I1617" s="16">
        <v>0.8125</v>
      </c>
      <c r="J1617" s="16">
        <v>0.13806327900287635</v>
      </c>
      <c r="K1617" s="4">
        <v>0.0</v>
      </c>
      <c r="M1617" s="4" t="s">
        <v>32</v>
      </c>
    </row>
    <row r="1618" ht="18.0" customHeight="1">
      <c r="A1618" s="4" t="s">
        <v>67</v>
      </c>
      <c r="B1618" s="4">
        <v>29.0</v>
      </c>
      <c r="C1618" s="4" t="s">
        <v>911</v>
      </c>
      <c r="D1618" s="4" t="s">
        <v>743</v>
      </c>
      <c r="E1618" s="16">
        <v>0.0017731701955199242</v>
      </c>
      <c r="F1618" s="16">
        <v>0.9997703748231288</v>
      </c>
      <c r="G1618" s="16"/>
      <c r="H1618" s="16">
        <v>0.2727272727272727</v>
      </c>
      <c r="I1618" s="16">
        <v>0.14166666666666666</v>
      </c>
      <c r="J1618" s="16">
        <v>0.13650793650793655</v>
      </c>
      <c r="K1618" s="4">
        <v>0.0</v>
      </c>
      <c r="M1618" s="4" t="s">
        <v>32</v>
      </c>
    </row>
    <row r="1619" ht="18.0" customHeight="1">
      <c r="A1619" s="4" t="s">
        <v>67</v>
      </c>
      <c r="B1619" s="4">
        <v>30.0</v>
      </c>
      <c r="C1619" s="4" t="s">
        <v>1281</v>
      </c>
      <c r="D1619" s="4" t="s">
        <v>1282</v>
      </c>
      <c r="E1619" s="16">
        <v>0.4780194163322449</v>
      </c>
      <c r="F1619" s="16">
        <v>0.687147468328476</v>
      </c>
      <c r="G1619" s="16"/>
      <c r="H1619" s="16">
        <v>0.18181818181818182</v>
      </c>
      <c r="I1619" s="16">
        <v>0.09999999999999999</v>
      </c>
      <c r="J1619" s="16">
        <v>0.0</v>
      </c>
      <c r="K1619" s="4">
        <v>0.0</v>
      </c>
      <c r="M1619" s="4" t="s">
        <v>32</v>
      </c>
    </row>
    <row r="1620" ht="18.0" customHeight="1">
      <c r="A1620" s="4" t="s">
        <v>67</v>
      </c>
      <c r="B1620" s="4">
        <v>31.0</v>
      </c>
      <c r="C1620" s="4" t="s">
        <v>865</v>
      </c>
      <c r="D1620" s="4" t="s">
        <v>143</v>
      </c>
      <c r="E1620" s="16">
        <v>0.024800041690468788</v>
      </c>
      <c r="F1620" s="16">
        <v>0.9949066985864192</v>
      </c>
      <c r="G1620" s="16"/>
      <c r="H1620" s="16">
        <v>1.0</v>
      </c>
      <c r="I1620" s="16">
        <v>0.6999999999999998</v>
      </c>
      <c r="J1620" s="16">
        <v>0.7777777777777778</v>
      </c>
      <c r="K1620" s="4">
        <v>1.0</v>
      </c>
      <c r="L1620" s="4">
        <v>0.0</v>
      </c>
      <c r="M1620" s="4" t="s">
        <v>239</v>
      </c>
    </row>
    <row r="1621" ht="18.0" customHeight="1">
      <c r="A1621" s="4" t="s">
        <v>67</v>
      </c>
      <c r="B1621" s="4">
        <v>32.0</v>
      </c>
      <c r="C1621" s="4" t="s">
        <v>1247</v>
      </c>
      <c r="D1621" s="4" t="s">
        <v>1246</v>
      </c>
      <c r="E1621" s="16">
        <v>0.003676534863188863</v>
      </c>
      <c r="F1621" s="16">
        <v>0.9992698113492224</v>
      </c>
      <c r="G1621" s="16"/>
      <c r="H1621" s="16">
        <v>0.8181818181818182</v>
      </c>
      <c r="I1621" s="16">
        <v>0.5083333333333334</v>
      </c>
      <c r="J1621" s="16">
        <v>0.7777777777777778</v>
      </c>
      <c r="K1621" s="4">
        <v>0.0</v>
      </c>
      <c r="M1621" s="4" t="s">
        <v>32</v>
      </c>
    </row>
    <row r="1622" ht="18.0" customHeight="1">
      <c r="A1622" s="4" t="s">
        <v>67</v>
      </c>
      <c r="B1622" s="4">
        <v>33.0</v>
      </c>
      <c r="C1622" s="4" t="s">
        <v>1256</v>
      </c>
      <c r="D1622" s="4" t="s">
        <v>453</v>
      </c>
      <c r="E1622" s="16">
        <v>5.7750934502109885E-5</v>
      </c>
      <c r="F1622" s="16">
        <v>0.9999929648947727</v>
      </c>
      <c r="G1622" s="16"/>
      <c r="H1622" s="16">
        <v>1.0</v>
      </c>
      <c r="I1622" s="16">
        <v>0.6666666666666666</v>
      </c>
      <c r="J1622" s="16">
        <v>0.0</v>
      </c>
      <c r="K1622" s="4">
        <v>0.0</v>
      </c>
      <c r="M1622" s="4" t="s">
        <v>32</v>
      </c>
    </row>
    <row r="1623" ht="18.0" customHeight="1">
      <c r="A1623" s="4" t="s">
        <v>67</v>
      </c>
      <c r="B1623" s="4">
        <v>34.0</v>
      </c>
      <c r="C1623" s="4" t="s">
        <v>453</v>
      </c>
      <c r="D1623" s="4" t="s">
        <v>467</v>
      </c>
      <c r="E1623" s="16">
        <v>0.013765336014330387</v>
      </c>
      <c r="F1623" s="16">
        <v>0.9962955808732659</v>
      </c>
      <c r="G1623" s="16"/>
      <c r="H1623" s="16">
        <v>1.0</v>
      </c>
      <c r="I1623" s="16">
        <v>0.6</v>
      </c>
      <c r="J1623" s="16">
        <v>0.4</v>
      </c>
      <c r="K1623" s="4">
        <v>0.0</v>
      </c>
      <c r="M1623" s="4" t="s">
        <v>32</v>
      </c>
    </row>
    <row r="1624" ht="18.0" customHeight="1">
      <c r="A1624" s="4" t="s">
        <v>67</v>
      </c>
      <c r="B1624" s="4">
        <v>35.0</v>
      </c>
      <c r="C1624" s="4" t="s">
        <v>538</v>
      </c>
      <c r="D1624" s="4" t="s">
        <v>951</v>
      </c>
      <c r="E1624" s="16">
        <v>3.196330726495944E-5</v>
      </c>
      <c r="F1624" s="16">
        <v>0.9999971054111825</v>
      </c>
      <c r="G1624" s="16"/>
      <c r="H1624" s="16">
        <v>0.09090909090909091</v>
      </c>
      <c r="I1624" s="16">
        <v>0.05833333333333333</v>
      </c>
      <c r="J1624" s="16">
        <v>0.0</v>
      </c>
      <c r="K1624" s="4">
        <v>0.0</v>
      </c>
      <c r="M1624" s="4" t="s">
        <v>32</v>
      </c>
    </row>
    <row r="1625" ht="18.0" customHeight="1">
      <c r="A1625" s="4" t="s">
        <v>67</v>
      </c>
      <c r="B1625" s="4">
        <v>36.0</v>
      </c>
      <c r="C1625" s="4" t="s">
        <v>172</v>
      </c>
      <c r="D1625" s="4" t="s">
        <v>862</v>
      </c>
      <c r="E1625" s="16">
        <v>2.5479082978563383E-5</v>
      </c>
      <c r="F1625" s="16">
        <v>0.9999981642341993</v>
      </c>
      <c r="G1625" s="16"/>
      <c r="H1625" s="16">
        <v>0.09090909090909091</v>
      </c>
      <c r="I1625" s="16">
        <v>0.09999999999999999</v>
      </c>
      <c r="J1625" s="16">
        <v>0.25</v>
      </c>
      <c r="K1625" s="4">
        <v>0.0</v>
      </c>
      <c r="M1625" s="4" t="s">
        <v>32</v>
      </c>
    </row>
    <row r="1626" ht="18.0" customHeight="1">
      <c r="A1626" s="4" t="s">
        <v>67</v>
      </c>
      <c r="B1626" s="4">
        <v>37.0</v>
      </c>
      <c r="C1626" s="4" t="s">
        <v>921</v>
      </c>
      <c r="D1626" s="4" t="s">
        <v>1283</v>
      </c>
      <c r="E1626" s="16">
        <v>2.3740530014038086E-4</v>
      </c>
      <c r="F1626" s="16">
        <v>0.9999779734735057</v>
      </c>
      <c r="G1626" s="16"/>
      <c r="H1626" s="16">
        <v>0.45454545454545453</v>
      </c>
      <c r="I1626" s="16">
        <v>0.20833333333333334</v>
      </c>
      <c r="J1626" s="16">
        <v>0.5</v>
      </c>
      <c r="K1626" s="4">
        <v>0.0</v>
      </c>
      <c r="M1626" s="4" t="s">
        <v>32</v>
      </c>
    </row>
    <row r="1627" ht="18.0" customHeight="1">
      <c r="A1627" s="4" t="s">
        <v>67</v>
      </c>
      <c r="B1627" s="4">
        <v>38.0</v>
      </c>
      <c r="C1627" s="4" t="s">
        <v>94</v>
      </c>
      <c r="D1627" s="4" t="s">
        <v>591</v>
      </c>
      <c r="E1627" s="16">
        <v>0.6976203918457031</v>
      </c>
      <c r="F1627" s="16">
        <v>0.046808212995529175</v>
      </c>
      <c r="G1627" s="16"/>
      <c r="H1627" s="16">
        <v>1.0</v>
      </c>
      <c r="I1627" s="16">
        <v>0.5166666666666667</v>
      </c>
      <c r="J1627" s="16">
        <v>0.7142857142857143</v>
      </c>
      <c r="K1627" s="4">
        <v>1.0</v>
      </c>
      <c r="L1627" s="4">
        <v>0.0</v>
      </c>
      <c r="M1627" s="4" t="s">
        <v>239</v>
      </c>
    </row>
    <row r="1628" ht="18.0" customHeight="1">
      <c r="A1628" s="4" t="s">
        <v>67</v>
      </c>
      <c r="B1628" s="4">
        <v>39.0</v>
      </c>
      <c r="C1628" s="4" t="s">
        <v>1284</v>
      </c>
      <c r="D1628" s="4" t="s">
        <v>1285</v>
      </c>
      <c r="E1628" s="16">
        <v>0.05369500815868378</v>
      </c>
      <c r="F1628" s="16">
        <v>0.981363857164979</v>
      </c>
      <c r="G1628" s="16"/>
      <c r="H1628" s="16">
        <v>0.9090909090909091</v>
      </c>
      <c r="I1628" s="16">
        <v>0.45</v>
      </c>
      <c r="J1628" s="16">
        <v>0.6697819314641744</v>
      </c>
      <c r="K1628" s="4">
        <v>0.0</v>
      </c>
      <c r="M1628" s="4" t="s">
        <v>32</v>
      </c>
    </row>
    <row r="1629" ht="18.0" customHeight="1">
      <c r="A1629" s="4" t="s">
        <v>67</v>
      </c>
      <c r="B1629" s="4">
        <v>40.0</v>
      </c>
      <c r="C1629" s="4" t="s">
        <v>1281</v>
      </c>
      <c r="D1629" s="4" t="s">
        <v>1283</v>
      </c>
      <c r="E1629" s="16">
        <v>5.033793058828451E-6</v>
      </c>
      <c r="F1629" s="16">
        <v>0.9999996779523812</v>
      </c>
      <c r="G1629" s="16"/>
      <c r="H1629" s="16">
        <v>0.0</v>
      </c>
      <c r="I1629" s="16">
        <v>0.041666666666666664</v>
      </c>
      <c r="J1629" s="16">
        <v>0.0</v>
      </c>
      <c r="K1629" s="4">
        <v>0.0</v>
      </c>
      <c r="M1629" s="4" t="s">
        <v>32</v>
      </c>
    </row>
    <row r="1630" ht="18.0" customHeight="1">
      <c r="A1630" s="4" t="s">
        <v>67</v>
      </c>
      <c r="B1630" s="4">
        <v>41.0</v>
      </c>
      <c r="C1630" s="4" t="s">
        <v>151</v>
      </c>
      <c r="D1630" s="4" t="s">
        <v>1286</v>
      </c>
      <c r="E1630" s="16">
        <v>1.5512589015997946E-4</v>
      </c>
      <c r="F1630" s="16">
        <v>0.9999850061844882</v>
      </c>
      <c r="G1630" s="16"/>
      <c r="H1630" s="16">
        <v>1.0</v>
      </c>
      <c r="I1630" s="16">
        <v>0.5583333333333333</v>
      </c>
      <c r="J1630" s="16">
        <v>0.19999999999999996</v>
      </c>
      <c r="K1630" s="4">
        <v>0.0</v>
      </c>
      <c r="M1630" s="4" t="s">
        <v>32</v>
      </c>
    </row>
    <row r="1631" ht="18.0" customHeight="1">
      <c r="A1631" s="4" t="s">
        <v>67</v>
      </c>
      <c r="B1631" s="4">
        <v>42.0</v>
      </c>
      <c r="C1631" s="4" t="s">
        <v>263</v>
      </c>
      <c r="D1631" s="4" t="s">
        <v>456</v>
      </c>
      <c r="E1631" s="16">
        <v>3.2747266232036054E-5</v>
      </c>
      <c r="F1631" s="16">
        <v>0.99999706018815</v>
      </c>
      <c r="G1631" s="16"/>
      <c r="H1631" s="16">
        <v>1.0</v>
      </c>
      <c r="I1631" s="16">
        <v>0.5583333333333333</v>
      </c>
      <c r="J1631" s="16">
        <v>0.2943396226415094</v>
      </c>
      <c r="K1631" s="4">
        <v>0.0</v>
      </c>
      <c r="M1631" s="4" t="s">
        <v>32</v>
      </c>
    </row>
    <row r="1632" ht="18.0" customHeight="1">
      <c r="A1632" s="4" t="s">
        <v>67</v>
      </c>
      <c r="B1632" s="4">
        <v>43.0</v>
      </c>
      <c r="C1632" s="4" t="s">
        <v>1266</v>
      </c>
      <c r="D1632" s="4" t="s">
        <v>1176</v>
      </c>
      <c r="E1632" s="16">
        <v>1.5494361286982894E-4</v>
      </c>
      <c r="F1632" s="16">
        <v>0.9999855861906326</v>
      </c>
      <c r="G1632" s="16"/>
      <c r="H1632" s="16">
        <v>1.0</v>
      </c>
      <c r="I1632" s="16">
        <v>0.6</v>
      </c>
      <c r="J1632" s="16">
        <v>0.0</v>
      </c>
      <c r="K1632" s="4">
        <v>0.0</v>
      </c>
      <c r="M1632" s="4" t="s">
        <v>32</v>
      </c>
    </row>
    <row r="1633" ht="18.0" customHeight="1">
      <c r="A1633" s="4" t="s">
        <v>67</v>
      </c>
      <c r="B1633" s="4">
        <v>44.0</v>
      </c>
      <c r="C1633" s="4" t="s">
        <v>232</v>
      </c>
      <c r="D1633" s="4" t="s">
        <v>289</v>
      </c>
      <c r="E1633" s="16">
        <v>2.2375647859007586E-6</v>
      </c>
      <c r="F1633" s="16">
        <v>0.9999998046455971</v>
      </c>
      <c r="G1633" s="16"/>
      <c r="H1633" s="16">
        <v>1.0</v>
      </c>
      <c r="I1633" s="16">
        <v>0.5375</v>
      </c>
      <c r="J1633" s="16">
        <v>0.7165354330708662</v>
      </c>
      <c r="K1633" s="4">
        <v>0.0</v>
      </c>
      <c r="M1633" s="4" t="s">
        <v>32</v>
      </c>
    </row>
    <row r="1634" ht="18.0" customHeight="1">
      <c r="A1634" s="4" t="s">
        <v>67</v>
      </c>
      <c r="B1634" s="4">
        <v>45.0</v>
      </c>
      <c r="C1634" s="4" t="s">
        <v>911</v>
      </c>
      <c r="D1634" s="4" t="s">
        <v>94</v>
      </c>
      <c r="E1634" s="16">
        <v>5.7229110097978264E-5</v>
      </c>
      <c r="F1634" s="16">
        <v>0.9999938761116027</v>
      </c>
      <c r="G1634" s="16"/>
      <c r="H1634" s="16">
        <v>1.0</v>
      </c>
      <c r="I1634" s="16">
        <v>0.6166666666666667</v>
      </c>
      <c r="J1634" s="16">
        <v>0.8888888888888888</v>
      </c>
      <c r="K1634" s="4">
        <v>1.0</v>
      </c>
      <c r="L1634" s="4">
        <v>0.0</v>
      </c>
      <c r="M1634" s="4" t="s">
        <v>239</v>
      </c>
    </row>
    <row r="1635" ht="18.0" customHeight="1">
      <c r="A1635" s="4" t="s">
        <v>67</v>
      </c>
      <c r="B1635" s="4">
        <v>46.0</v>
      </c>
      <c r="C1635" s="4" t="s">
        <v>1287</v>
      </c>
      <c r="D1635" s="4" t="s">
        <v>1288</v>
      </c>
      <c r="E1635" s="16">
        <v>1.7243098409380764E-4</v>
      </c>
      <c r="F1635" s="16">
        <v>0.999980735011377</v>
      </c>
      <c r="G1635" s="16"/>
      <c r="H1635" s="16">
        <v>0.0</v>
      </c>
      <c r="I1635" s="16">
        <v>0.016666666666666666</v>
      </c>
      <c r="J1635" s="16">
        <v>0.0</v>
      </c>
      <c r="K1635" s="4">
        <v>0.0</v>
      </c>
      <c r="M1635" s="4" t="s">
        <v>32</v>
      </c>
    </row>
    <row r="1636" ht="18.0" customHeight="1">
      <c r="A1636" s="4" t="s">
        <v>67</v>
      </c>
      <c r="B1636" s="4">
        <v>47.0</v>
      </c>
      <c r="C1636" s="4" t="s">
        <v>180</v>
      </c>
      <c r="D1636" s="4" t="s">
        <v>969</v>
      </c>
      <c r="E1636" s="16">
        <v>2.9541356525442097E-6</v>
      </c>
      <c r="F1636" s="16">
        <v>0.9999997481918683</v>
      </c>
      <c r="G1636" s="16"/>
      <c r="H1636" s="16">
        <v>0.0</v>
      </c>
      <c r="I1636" s="16">
        <v>0.08333333333333333</v>
      </c>
      <c r="J1636" s="16">
        <v>0.0</v>
      </c>
      <c r="K1636" s="4">
        <v>0.0</v>
      </c>
      <c r="M1636" s="4" t="s">
        <v>32</v>
      </c>
    </row>
    <row r="1637" ht="18.0" customHeight="1">
      <c r="A1637" s="4" t="s">
        <v>67</v>
      </c>
      <c r="B1637" s="4">
        <v>48.0</v>
      </c>
      <c r="C1637" s="4" t="s">
        <v>911</v>
      </c>
      <c r="D1637" s="4" t="s">
        <v>1289</v>
      </c>
      <c r="E1637" s="16">
        <v>1.9331861039972864E-5</v>
      </c>
      <c r="F1637" s="16">
        <v>0.9999980267589308</v>
      </c>
      <c r="G1637" s="16"/>
      <c r="H1637" s="16">
        <v>0.0</v>
      </c>
      <c r="I1637" s="16">
        <v>0.041666666666666664</v>
      </c>
      <c r="J1637" s="16">
        <v>0.125</v>
      </c>
      <c r="K1637" s="4">
        <v>0.0</v>
      </c>
      <c r="M1637" s="4" t="s">
        <v>32</v>
      </c>
    </row>
    <row r="1638" ht="18.0" customHeight="1">
      <c r="A1638" s="4" t="s">
        <v>67</v>
      </c>
      <c r="B1638" s="4">
        <v>49.0</v>
      </c>
      <c r="C1638" s="4" t="s">
        <v>1281</v>
      </c>
      <c r="D1638" s="4" t="s">
        <v>1282</v>
      </c>
      <c r="E1638" s="16">
        <v>4.715792783827055E-6</v>
      </c>
      <c r="F1638" s="16">
        <v>0.9999996984549071</v>
      </c>
      <c r="G1638" s="16"/>
      <c r="H1638" s="16">
        <v>0.18181818181818182</v>
      </c>
      <c r="I1638" s="16">
        <v>0.09999999999999999</v>
      </c>
      <c r="J1638" s="16">
        <v>0.0</v>
      </c>
      <c r="K1638" s="4">
        <v>0.0</v>
      </c>
      <c r="M1638" s="4" t="s">
        <v>32</v>
      </c>
    </row>
    <row r="1639" ht="18.0" customHeight="1">
      <c r="A1639" s="4" t="s">
        <v>67</v>
      </c>
      <c r="B1639" s="4">
        <v>50.0</v>
      </c>
      <c r="C1639" s="4" t="s">
        <v>865</v>
      </c>
      <c r="D1639" s="4" t="s">
        <v>937</v>
      </c>
      <c r="E1639" s="16">
        <v>9.439645509701222E-5</v>
      </c>
      <c r="F1639" s="16">
        <v>0.9999857159468775</v>
      </c>
      <c r="G1639" s="16"/>
      <c r="H1639" s="16">
        <v>1.0</v>
      </c>
      <c r="I1639" s="16">
        <v>0.8333333333333334</v>
      </c>
      <c r="J1639" s="16">
        <v>0.5555555555555556</v>
      </c>
      <c r="K1639" s="4">
        <v>1.0</v>
      </c>
      <c r="L1639" s="4">
        <v>0.0</v>
      </c>
      <c r="M1639" s="4" t="s">
        <v>239</v>
      </c>
    </row>
    <row r="1640" ht="18.0" customHeight="1">
      <c r="A1640" s="4" t="s">
        <v>67</v>
      </c>
      <c r="B1640" s="4">
        <v>51.0</v>
      </c>
      <c r="C1640" s="4" t="s">
        <v>1251</v>
      </c>
      <c r="D1640" s="4" t="s">
        <v>937</v>
      </c>
      <c r="E1640" s="16">
        <v>4.454649570106994E-6</v>
      </c>
      <c r="F1640" s="16">
        <v>0.9999996300144716</v>
      </c>
      <c r="G1640" s="16"/>
      <c r="H1640" s="16">
        <v>0.0</v>
      </c>
      <c r="I1640" s="16">
        <v>0.041666666666666664</v>
      </c>
      <c r="J1640" s="16">
        <v>0.16666666666666663</v>
      </c>
      <c r="K1640" s="4">
        <v>0.0</v>
      </c>
      <c r="M1640" s="4" t="s">
        <v>32</v>
      </c>
    </row>
    <row r="1641" ht="18.0" customHeight="1">
      <c r="A1641" s="4" t="s">
        <v>67</v>
      </c>
      <c r="B1641" s="4">
        <v>52.0</v>
      </c>
      <c r="C1641" s="4" t="s">
        <v>1256</v>
      </c>
      <c r="D1641" s="4" t="s">
        <v>1255</v>
      </c>
      <c r="E1641" s="16">
        <v>2.530722895244253E-6</v>
      </c>
      <c r="F1641" s="16">
        <v>0.9999998255152889</v>
      </c>
      <c r="G1641" s="16"/>
      <c r="H1641" s="16">
        <v>1.0</v>
      </c>
      <c r="I1641" s="16">
        <v>0.5625</v>
      </c>
      <c r="J1641" s="16">
        <v>0.09090909090909091</v>
      </c>
      <c r="K1641" s="4">
        <v>0.0</v>
      </c>
      <c r="M1641" s="4" t="s">
        <v>32</v>
      </c>
    </row>
    <row r="1642" ht="18.0" customHeight="1">
      <c r="A1642" s="4" t="s">
        <v>67</v>
      </c>
      <c r="B1642" s="4">
        <v>53.0</v>
      </c>
      <c r="C1642" s="4" t="s">
        <v>453</v>
      </c>
      <c r="D1642" s="4" t="s">
        <v>467</v>
      </c>
      <c r="E1642" s="16">
        <v>2.8007879154756665E-4</v>
      </c>
      <c r="F1642" s="16">
        <v>0.9999627932702424</v>
      </c>
      <c r="G1642" s="16"/>
      <c r="H1642" s="16">
        <v>0.9090909090909091</v>
      </c>
      <c r="I1642" s="16">
        <v>0.6166666666666667</v>
      </c>
      <c r="J1642" s="16">
        <v>0.5</v>
      </c>
      <c r="K1642" s="4">
        <v>1.0</v>
      </c>
      <c r="L1642" s="4">
        <v>0.0</v>
      </c>
      <c r="M1642" s="4" t="s">
        <v>239</v>
      </c>
    </row>
    <row r="1643" ht="18.0" customHeight="1">
      <c r="A1643" s="4" t="s">
        <v>67</v>
      </c>
      <c r="B1643" s="4">
        <v>54.0</v>
      </c>
      <c r="C1643" s="4" t="s">
        <v>538</v>
      </c>
      <c r="D1643" s="4" t="s">
        <v>1281</v>
      </c>
      <c r="E1643" s="16">
        <v>4.248012373864185E-6</v>
      </c>
      <c r="F1643" s="16">
        <v>0.9999996866168317</v>
      </c>
      <c r="G1643" s="16"/>
      <c r="H1643" s="16">
        <v>0.0</v>
      </c>
      <c r="I1643" s="16">
        <v>0.041666666666666664</v>
      </c>
      <c r="J1643" s="16">
        <v>0.0</v>
      </c>
      <c r="K1643" s="4">
        <v>0.0</v>
      </c>
      <c r="M1643" s="4" t="s">
        <v>32</v>
      </c>
    </row>
    <row r="1644" ht="18.0" customHeight="1">
      <c r="A1644" s="4" t="s">
        <v>67</v>
      </c>
      <c r="B1644" s="4">
        <v>55.0</v>
      </c>
      <c r="C1644" s="4" t="s">
        <v>172</v>
      </c>
      <c r="D1644" s="4" t="s">
        <v>94</v>
      </c>
      <c r="E1644" s="16">
        <v>1.8747341528069228E-5</v>
      </c>
      <c r="F1644" s="16">
        <v>0.999998691473138</v>
      </c>
      <c r="G1644" s="16"/>
      <c r="H1644" s="16">
        <v>1.0</v>
      </c>
      <c r="I1644" s="16">
        <v>0.5333333333333333</v>
      </c>
      <c r="J1644" s="16">
        <v>0.4</v>
      </c>
      <c r="K1644" s="4">
        <v>0.0</v>
      </c>
      <c r="M1644" s="4" t="s">
        <v>32</v>
      </c>
    </row>
    <row r="1645" ht="18.0" customHeight="1">
      <c r="A1645" s="4" t="s">
        <v>67</v>
      </c>
      <c r="B1645" s="4">
        <v>56.0</v>
      </c>
      <c r="C1645" s="4" t="s">
        <v>921</v>
      </c>
      <c r="D1645" s="4" t="s">
        <v>942</v>
      </c>
      <c r="E1645" s="16">
        <v>1.6187210349016823E-5</v>
      </c>
      <c r="F1645" s="16">
        <v>0.9999985009963552</v>
      </c>
      <c r="G1645" s="16"/>
      <c r="H1645" s="16">
        <v>0.0</v>
      </c>
      <c r="I1645" s="16">
        <v>0.041666666666666664</v>
      </c>
      <c r="J1645" s="16">
        <v>0.19999999999999996</v>
      </c>
      <c r="K1645" s="4">
        <v>1.0</v>
      </c>
      <c r="L1645" s="4">
        <v>0.0</v>
      </c>
      <c r="M1645" s="4" t="s">
        <v>239</v>
      </c>
    </row>
    <row r="1646" ht="18.0" customHeight="1">
      <c r="A1646" s="4" t="s">
        <v>67</v>
      </c>
      <c r="B1646" s="4">
        <v>57.0</v>
      </c>
      <c r="C1646" s="4" t="s">
        <v>94</v>
      </c>
      <c r="D1646" s="4" t="s">
        <v>591</v>
      </c>
      <c r="E1646" s="16">
        <v>3.1181974918581545E-5</v>
      </c>
      <c r="F1646" s="16">
        <v>0.9999968964838217</v>
      </c>
      <c r="G1646" s="16"/>
      <c r="H1646" s="16">
        <v>1.0</v>
      </c>
      <c r="I1646" s="16">
        <v>0.49583333333333335</v>
      </c>
      <c r="J1646" s="16">
        <v>0.5</v>
      </c>
      <c r="K1646" s="4">
        <v>0.0</v>
      </c>
      <c r="M1646" s="4" t="s">
        <v>32</v>
      </c>
    </row>
    <row r="1647" ht="18.0" customHeight="1">
      <c r="A1647" s="4" t="s">
        <v>67</v>
      </c>
      <c r="B1647" s="4">
        <v>58.0</v>
      </c>
      <c r="C1647" s="4" t="s">
        <v>1284</v>
      </c>
      <c r="D1647" s="4" t="s">
        <v>1290</v>
      </c>
      <c r="E1647" s="16">
        <v>2.593592398625333E-6</v>
      </c>
      <c r="F1647" s="16">
        <v>0.9999997845342747</v>
      </c>
      <c r="G1647" s="16"/>
      <c r="H1647" s="16">
        <v>0.0</v>
      </c>
      <c r="I1647" s="16">
        <v>0.041666666666666664</v>
      </c>
      <c r="J1647" s="16">
        <v>0.0</v>
      </c>
      <c r="K1647" s="4">
        <v>0.0</v>
      </c>
      <c r="M1647" s="4" t="s">
        <v>32</v>
      </c>
    </row>
    <row r="1648" ht="18.0" customHeight="1">
      <c r="A1648" s="4" t="s">
        <v>67</v>
      </c>
      <c r="B1648" s="4">
        <v>59.0</v>
      </c>
      <c r="C1648" s="4" t="s">
        <v>1281</v>
      </c>
      <c r="D1648" s="4" t="s">
        <v>1282</v>
      </c>
      <c r="E1648" s="16">
        <v>2.7297537599224597E-6</v>
      </c>
      <c r="F1648" s="16">
        <v>0.9999998453799464</v>
      </c>
      <c r="G1648" s="16"/>
      <c r="H1648" s="16">
        <v>0.0</v>
      </c>
      <c r="I1648" s="16">
        <v>0.041666666666666664</v>
      </c>
      <c r="J1648" s="16">
        <v>0.0</v>
      </c>
      <c r="K1648" s="4">
        <v>0.0</v>
      </c>
      <c r="M1648" s="4" t="s">
        <v>32</v>
      </c>
    </row>
    <row r="1649" ht="18.0" customHeight="1">
      <c r="A1649" s="4" t="s">
        <v>67</v>
      </c>
      <c r="B1649" s="4">
        <v>60.0</v>
      </c>
      <c r="C1649" s="4" t="s">
        <v>151</v>
      </c>
      <c r="D1649" s="4" t="s">
        <v>1286</v>
      </c>
      <c r="E1649" s="16">
        <v>9.455991857976187E-6</v>
      </c>
      <c r="F1649" s="16">
        <v>0.9999992309312162</v>
      </c>
      <c r="G1649" s="16"/>
      <c r="H1649" s="16">
        <v>1.0</v>
      </c>
      <c r="I1649" s="16">
        <v>0.45</v>
      </c>
      <c r="J1649" s="16">
        <v>0.0</v>
      </c>
      <c r="K1649" s="4">
        <v>0.0</v>
      </c>
      <c r="M1649" s="4" t="s">
        <v>32</v>
      </c>
    </row>
    <row r="1650" ht="18.0" customHeight="1">
      <c r="A1650" s="4" t="s">
        <v>67</v>
      </c>
      <c r="B1650" s="4">
        <v>61.0</v>
      </c>
      <c r="C1650" s="4" t="s">
        <v>263</v>
      </c>
      <c r="D1650" s="4" t="s">
        <v>360</v>
      </c>
      <c r="E1650" s="16">
        <v>8.874549166648649E-6</v>
      </c>
      <c r="F1650" s="16">
        <v>0.9999994298679056</v>
      </c>
      <c r="G1650" s="16"/>
      <c r="H1650" s="16">
        <v>0.0</v>
      </c>
      <c r="I1650" s="16">
        <v>0.041666666666666664</v>
      </c>
      <c r="J1650" s="16">
        <v>0.0</v>
      </c>
      <c r="K1650" s="4">
        <v>0.0</v>
      </c>
      <c r="M1650" s="4" t="s">
        <v>32</v>
      </c>
    </row>
  </sheetData>
  <printOptions/>
  <pageMargins bottom="0.75" footer="0.0" header="0.0" left="0.7" right="0.7" top="0.75"/>
  <pageSetup orientation="landscape"/>
  <drawing r:id="rId1"/>
</worksheet>
</file>